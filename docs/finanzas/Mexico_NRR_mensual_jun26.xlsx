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RR Conglomerado" sheetId="2" state="visible" r:id="rId4"/>
    <sheet name="Detalle 2026-06" sheetId="3" state="visible" r:id="rId5"/>
    <sheet name="Detalle Fuga 2026-06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MRR mensual en MXN por conglomerado (México): suma de todos los RUT del conglomerado, extraída de la hoja "MRR Consolidado Moneda Loca v2" de MRR_a_junio_26.xlsx (filas en columna D). La columna B trae el nombre de la(s) empresa(s) (columna Cliente de la fuente). Únicos valores pegados del archivo; el resto son fórmulas.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Cohorte mensual de 2026-06: conglomerados de México con MRR &gt; 0 en 2025-06 (12 meses antes). Incluye todos los conglomerados; los sin MRR base quedan vacíos y fuera de la cohorte automáticamente. Fórmulas sobre la hoja "MRR Conglomerado".</t>
        </r>
      </text>
    </comment>
  </commentList>
</comments>
</file>

<file path=xl/sharedStrings.xml><?xml version="1.0" encoding="utf-8"?>
<sst xmlns="http://schemas.openxmlformats.org/spreadsheetml/2006/main" count="3224" uniqueCount="2432">
  <si>
    <t xml:space="preserve">MÉXICO — NRR DE JUNIO 2026, BASE MENSUAL, POR SEGMENTO DE TAMAÑO</t>
  </si>
  <si>
    <t xml:space="preserve">NRR del mes X = MRR de la cohorte en X / MRR en X-12 (cohorte = conglomerados de México con MRR &gt; 0 en X-12; los creados después quedan fuera). Todo en MXN; USD sólo para segmentar (TC del mes base). Fuga = MRR actual = 0. GRR = MIN(actual; base) / base (retención sin expansión).</t>
  </si>
  <si>
    <t xml:space="preserve">NRR 2026-06 (vs 2025-06)</t>
  </si>
  <si>
    <t xml:space="preserve">Segmento</t>
  </si>
  <si>
    <t xml:space="preserve">N</t>
  </si>
  <si>
    <t xml:space="preserve">Fuga (n)</t>
  </si>
  <si>
    <t xml:space="preserve">% Fuga</t>
  </si>
  <si>
    <t xml:space="preserve">GRR</t>
  </si>
  <si>
    <t xml:space="preserve">NRR</t>
  </si>
  <si>
    <t xml:space="preserve">Menos de 100 USD</t>
  </si>
  <si>
    <t xml:space="preserve">100 a 500 USD</t>
  </si>
  <si>
    <t xml:space="preserve">500 a 2.000 USD</t>
  </si>
  <si>
    <t xml:space="preserve">Más de 2.000 USD</t>
  </si>
  <si>
    <t xml:space="preserve">Total México</t>
  </si>
  <si>
    <t xml:space="preserve">Conglomerado</t>
  </si>
  <si>
    <t xml:space="preserve">Empresa(s) (Cliente)</t>
  </si>
  <si>
    <t xml:space="preserve">N° RUTs</t>
  </si>
  <si>
    <t xml:space="preserve">Filas en MRR_a_junio_26 (Moneda Loca v2)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</si>
  <si>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</si>
  <si>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</si>
  <si>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</si>
  <si>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</si>
  <si>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</si>
  <si>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</si>
  <si>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</si>
  <si>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</si>
  <si>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</si>
  <si>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</si>
  <si>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</si>
  <si>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</si>
  <si>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</si>
  <si>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</si>
  <si>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</si>
  <si>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</si>
  <si>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</si>
  <si>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</si>
  <si>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</si>
  <si>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</si>
  <si>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</si>
  <si>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</si>
  <si>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</si>
  <si>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</si>
  <si>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</si>
  <si>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</si>
  <si>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</si>
  <si>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</si>
  <si>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</si>
  <si>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</si>
  <si>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</si>
  <si>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</si>
  <si>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</si>
  <si>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</si>
  <si>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</si>
  <si>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</si>
  <si>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</si>
  <si>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</si>
  <si>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</si>
  <si>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</si>
  <si>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</si>
  <si>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</si>
  <si>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180719670</t>
  </si>
  <si>
    <t xml:space="preserve">SERVICIOS DE ADMINISTRACION GARFLO S.C.</t>
  </si>
  <si>
    <t xml:space="preserve">10780</t>
  </si>
  <si>
    <t xml:space="preserve">20602200958</t>
  </si>
  <si>
    <t xml:space="preserve">VISMA ENTERPRISE SAC</t>
  </si>
  <si>
    <t xml:space="preserve">10781</t>
  </si>
  <si>
    <t xml:space="preserve">24082020</t>
  </si>
  <si>
    <t xml:space="preserve">BANKAYA SAPI DE CV</t>
  </si>
  <si>
    <t xml:space="preserve">10782</t>
  </si>
  <si>
    <t xml:space="preserve">AAAG8010092</t>
  </si>
  <si>
    <t xml:space="preserve">GIORDANO AYALA ARIAS</t>
  </si>
  <si>
    <t xml:space="preserve">10783</t>
  </si>
  <si>
    <t xml:space="preserve">AAAL6611248</t>
  </si>
  <si>
    <t xml:space="preserve">LETICIA ALMAZAN ARELLANO</t>
  </si>
  <si>
    <t xml:space="preserve">10784</t>
  </si>
  <si>
    <t xml:space="preserve">AAG160805FE</t>
  </si>
  <si>
    <t xml:space="preserve">ABASTECEDORA AGRICENTER</t>
  </si>
  <si>
    <t xml:space="preserve">10785</t>
  </si>
  <si>
    <t xml:space="preserve">AAGA570212I</t>
  </si>
  <si>
    <t xml:space="preserve">ARTURO ALMARAZ GARCIA</t>
  </si>
  <si>
    <t xml:space="preserve">10786</t>
  </si>
  <si>
    <t xml:space="preserve">AAM970602V7</t>
  </si>
  <si>
    <t xml:space="preserve">ANALISIS AMBIENTAL</t>
  </si>
  <si>
    <t xml:space="preserve">10787</t>
  </si>
  <si>
    <t xml:space="preserve">AAR160311AL</t>
  </si>
  <si>
    <t xml:space="preserve">ALIMENTOS AREM</t>
  </si>
  <si>
    <t xml:space="preserve">10788</t>
  </si>
  <si>
    <t xml:space="preserve">AARG6801036</t>
  </si>
  <si>
    <t xml:space="preserve">GERARDO FILADELFO ALVAREZ ROSAS</t>
  </si>
  <si>
    <t xml:space="preserve">10789</t>
  </si>
  <si>
    <t xml:space="preserve">AARG680103H</t>
  </si>
  <si>
    <t xml:space="preserve">10790</t>
  </si>
  <si>
    <t xml:space="preserve">AAS9610021I</t>
  </si>
  <si>
    <t xml:space="preserve">ANCORA AGENTE DE SEGUROS Y DE FIANZAS</t>
  </si>
  <si>
    <t xml:space="preserve">10791</t>
  </si>
  <si>
    <t xml:space="preserve">ABA930301AZ</t>
  </si>
  <si>
    <t xml:space="preserve">AGROINDUSTRIAS DEL BALSAS</t>
  </si>
  <si>
    <t xml:space="preserve">10792</t>
  </si>
  <si>
    <t xml:space="preserve">ABA960625AC</t>
  </si>
  <si>
    <t xml:space="preserve">ARROCERA DEL BAJIO</t>
  </si>
  <si>
    <t xml:space="preserve">10793</t>
  </si>
  <si>
    <t xml:space="preserve">ABN190123KI</t>
  </si>
  <si>
    <t xml:space="preserve">ALIMENTOS Y BANQUETES EL NUEVO ESPAÑA</t>
  </si>
  <si>
    <t xml:space="preserve">10794</t>
  </si>
  <si>
    <t xml:space="preserve">ABT191017EQ</t>
  </si>
  <si>
    <t xml:space="preserve">APPIO BTL</t>
  </si>
  <si>
    <t xml:space="preserve">10795</t>
  </si>
  <si>
    <t xml:space="preserve">ABV221010F3</t>
  </si>
  <si>
    <t xml:space="preserve">EL ARTE DEL BUEN VIVIR</t>
  </si>
  <si>
    <t xml:space="preserve">10796</t>
  </si>
  <si>
    <t xml:space="preserve">ABY14100757</t>
  </si>
  <si>
    <t xml:space="preserve">ABYGIM</t>
  </si>
  <si>
    <t xml:space="preserve">10797</t>
  </si>
  <si>
    <t xml:space="preserve">ACB950109JZ</t>
  </si>
  <si>
    <t xml:space="preserve">ADMINISTRADORA DE CAJA BIENESTAR</t>
  </si>
  <si>
    <t xml:space="preserve">10798</t>
  </si>
  <si>
    <t xml:space="preserve">ACM040107U9</t>
  </si>
  <si>
    <t xml:space="preserve">ALIMENTOS CENTRALIZADOS DE MEXICO</t>
  </si>
  <si>
    <t xml:space="preserve">10799</t>
  </si>
  <si>
    <t xml:space="preserve">ACO18091464</t>
  </si>
  <si>
    <t xml:space="preserve">ALOTROPO CONSULTORES</t>
  </si>
  <si>
    <t xml:space="preserve">10800</t>
  </si>
  <si>
    <t xml:space="preserve">ACO2007247V</t>
  </si>
  <si>
    <t xml:space="preserve">ARMAZON CONSTRUCTORA</t>
  </si>
  <si>
    <t xml:space="preserve">10801</t>
  </si>
  <si>
    <t xml:space="preserve">ACP230110IW</t>
  </si>
  <si>
    <t xml:space="preserve">AB CONTROL DE PLAGAS</t>
  </si>
  <si>
    <t xml:space="preserve">10802</t>
  </si>
  <si>
    <t xml:space="preserve">ACT221111IF</t>
  </si>
  <si>
    <t xml:space="preserve">ACTIC</t>
  </si>
  <si>
    <t xml:space="preserve">10803</t>
  </si>
  <si>
    <t xml:space="preserve">ACW230906UM</t>
  </si>
  <si>
    <t xml:space="preserve">ASADOR CITY WOK MEXICO ZHOU ZHAO AL</t>
  </si>
  <si>
    <t xml:space="preserve">10804</t>
  </si>
  <si>
    <t xml:space="preserve">ACZ201021U9</t>
  </si>
  <si>
    <t xml:space="preserve">ACRUX CZM</t>
  </si>
  <si>
    <t xml:space="preserve">10805</t>
  </si>
  <si>
    <t xml:space="preserve">ADI060418D2</t>
  </si>
  <si>
    <t xml:space="preserve">ADICTT</t>
  </si>
  <si>
    <t xml:space="preserve">10806</t>
  </si>
  <si>
    <t xml:space="preserve">AEAR791019G</t>
  </si>
  <si>
    <t xml:space="preserve">RONALD ARELLANO ARELLANO</t>
  </si>
  <si>
    <t xml:space="preserve">10807</t>
  </si>
  <si>
    <t xml:space="preserve">AEI24092768</t>
  </si>
  <si>
    <t xml:space="preserve">ACTIVIDADES EMPRESARIALES IRNA</t>
  </si>
  <si>
    <t xml:space="preserve">10808</t>
  </si>
  <si>
    <t xml:space="preserve">AFA0610128Q</t>
  </si>
  <si>
    <t xml:space="preserve">ACCORD FARMA</t>
  </si>
  <si>
    <t xml:space="preserve">10809</t>
  </si>
  <si>
    <t xml:space="preserve">AFC18083066</t>
  </si>
  <si>
    <t xml:space="preserve">ADMINISTRADORA FORTUNE CHIHUAHUA</t>
  </si>
  <si>
    <t xml:space="preserve">10810</t>
  </si>
  <si>
    <t xml:space="preserve">AGE94112299</t>
  </si>
  <si>
    <t xml:space="preserve">AUTOMOTRIZ GEISHA</t>
  </si>
  <si>
    <t xml:space="preserve">10811</t>
  </si>
  <si>
    <t xml:space="preserve">AGG2106173B</t>
  </si>
  <si>
    <t xml:space="preserve">AUTOPARTES GLASS DE GUERRERO</t>
  </si>
  <si>
    <t xml:space="preserve">10812</t>
  </si>
  <si>
    <t xml:space="preserve">AGN1010295D</t>
  </si>
  <si>
    <t xml:space="preserve">ASESORES GRUPO NUÑO, AGENTE DE SEGUROS Y DE FIANZAS</t>
  </si>
  <si>
    <t xml:space="preserve">10813</t>
  </si>
  <si>
    <t xml:space="preserve">AGQ9303268S</t>
  </si>
  <si>
    <t xml:space="preserve">AUTOS GALIA QUERETARO</t>
  </si>
  <si>
    <t xml:space="preserve">10814</t>
  </si>
  <si>
    <t xml:space="preserve">AIN200709AD</t>
  </si>
  <si>
    <t xml:space="preserve">ALCORE INGENIEROS</t>
  </si>
  <si>
    <t xml:space="preserve">10815</t>
  </si>
  <si>
    <t xml:space="preserve">AIN230522RC</t>
  </si>
  <si>
    <t xml:space="preserve">AGRAIRON INDUSTRIAL</t>
  </si>
  <si>
    <t xml:space="preserve">10816</t>
  </si>
  <si>
    <t xml:space="preserve">AIN8002073E</t>
  </si>
  <si>
    <t xml:space="preserve">ALIMENTOS INTEGRONATURALES</t>
  </si>
  <si>
    <t xml:space="preserve">10817</t>
  </si>
  <si>
    <t xml:space="preserve">AIR950829IU</t>
  </si>
  <si>
    <t xml:space="preserve">AIRSA</t>
  </si>
  <si>
    <t xml:space="preserve">10818</t>
  </si>
  <si>
    <t xml:space="preserve">AJE010718ET</t>
  </si>
  <si>
    <t xml:space="preserve">AJEMEX</t>
  </si>
  <si>
    <t xml:space="preserve">10819</t>
  </si>
  <si>
    <t xml:space="preserve">AKQ141209NN</t>
  </si>
  <si>
    <t xml:space="preserve">GEISHA K</t>
  </si>
  <si>
    <t xml:space="preserve">10820</t>
  </si>
  <si>
    <t xml:space="preserve">ALO0508239T</t>
  </si>
  <si>
    <t xml:space="preserve">ABC LOGISTICA</t>
  </si>
  <si>
    <t xml:space="preserve">10821</t>
  </si>
  <si>
    <t xml:space="preserve">AME200109CP</t>
  </si>
  <si>
    <t xml:space="preserve">ASCENTY MEXICO</t>
  </si>
  <si>
    <t xml:space="preserve">10822</t>
  </si>
  <si>
    <t xml:space="preserve">AMI9306213R</t>
  </si>
  <si>
    <t xml:space="preserve">ASOCIACION MEXICANA DE INSTITUCIONES BURSATILES</t>
  </si>
  <si>
    <t xml:space="preserve">10823</t>
  </si>
  <si>
    <t xml:space="preserve">AMO080904JR</t>
  </si>
  <si>
    <t xml:space="preserve">ANDAMIOS MONTERREY</t>
  </si>
  <si>
    <t xml:space="preserve">10824</t>
  </si>
  <si>
    <t xml:space="preserve">AOC720907BC</t>
  </si>
  <si>
    <t xml:space="preserve">ANAHUAC ORGANIZACION CONSTRUCTORA</t>
  </si>
  <si>
    <t xml:space="preserve">10825</t>
  </si>
  <si>
    <t xml:space="preserve">APA090528GT</t>
  </si>
  <si>
    <t xml:space="preserve">ADMINISTRADORA DE PUERTOS AEREOS Y TERRESTRES</t>
  </si>
  <si>
    <t xml:space="preserve">10826</t>
  </si>
  <si>
    <t xml:space="preserve">APE18081067</t>
  </si>
  <si>
    <t xml:space="preserve">ALPINO PENINSULAR</t>
  </si>
  <si>
    <t xml:space="preserve">10827</t>
  </si>
  <si>
    <t xml:space="preserve">APR221107DJ</t>
  </si>
  <si>
    <t xml:space="preserve">APROTEA</t>
  </si>
  <si>
    <t xml:space="preserve">10828</t>
  </si>
  <si>
    <t xml:space="preserve">APV940803PI</t>
  </si>
  <si>
    <t xml:space="preserve">AGUA PURIFICADA / TRANSPORTADORA LOS VOLCANES (grupo Los Volcanes)</t>
  </si>
  <si>
    <t xml:space="preserve">10829</t>
  </si>
  <si>
    <t xml:space="preserve">AQU030811UM</t>
  </si>
  <si>
    <t xml:space="preserve">GEISHA QUERETARO</t>
  </si>
  <si>
    <t xml:space="preserve">10830</t>
  </si>
  <si>
    <t xml:space="preserve">ARI</t>
  </si>
  <si>
    <t xml:space="preserve">SPORTS DATA INTELLIGENCE</t>
  </si>
  <si>
    <t xml:space="preserve">10831</t>
  </si>
  <si>
    <t xml:space="preserve">ARM201029DR</t>
  </si>
  <si>
    <t xml:space="preserve">ACCESORIOS Y REFACCIONES PARA MOVILIDAD</t>
  </si>
  <si>
    <t xml:space="preserve">10832</t>
  </si>
  <si>
    <t xml:space="preserve">ARO090305TK</t>
  </si>
  <si>
    <t xml:space="preserve">AROMAESENCIA</t>
  </si>
  <si>
    <t xml:space="preserve">10833</t>
  </si>
  <si>
    <t xml:space="preserve">ASC951228IM</t>
  </si>
  <si>
    <t xml:space="preserve">ALMACENADORA SUR SA DE CV ORGANIZACION AUXILIAR DEL CREDITO</t>
  </si>
  <si>
    <t xml:space="preserve">10834</t>
  </si>
  <si>
    <t xml:space="preserve">ASE150612NX</t>
  </si>
  <si>
    <t xml:space="preserve">ARTE Y SOLUCIONES EN ESPACIOS</t>
  </si>
  <si>
    <t xml:space="preserve">10835</t>
  </si>
  <si>
    <t xml:space="preserve">ASL070709I3</t>
  </si>
  <si>
    <t xml:space="preserve">AGRICOLA SL</t>
  </si>
  <si>
    <t xml:space="preserve">10836</t>
  </si>
  <si>
    <t xml:space="preserve">ASO19022748</t>
  </si>
  <si>
    <t xml:space="preserve">ANGULAR SOLUTIONS</t>
  </si>
  <si>
    <t xml:space="preserve">10837</t>
  </si>
  <si>
    <t xml:space="preserve">ASU961217L8</t>
  </si>
  <si>
    <t xml:space="preserve">AFORE SURA</t>
  </si>
  <si>
    <t xml:space="preserve">10838</t>
  </si>
  <si>
    <t xml:space="preserve">ATE100413UD</t>
  </si>
  <si>
    <t xml:space="preserve">ALIADOS EN TECNOLOGIA</t>
  </si>
  <si>
    <t xml:space="preserve">10839</t>
  </si>
  <si>
    <t xml:space="preserve">ATO110314DD</t>
  </si>
  <si>
    <t xml:space="preserve">AG. TRAUMA Y ORTOPEDIA</t>
  </si>
  <si>
    <t xml:space="preserve">10840</t>
  </si>
  <si>
    <t xml:space="preserve">ATU1805296F</t>
  </si>
  <si>
    <t xml:space="preserve">ALEA TULUM</t>
  </si>
  <si>
    <t xml:space="preserve">10841</t>
  </si>
  <si>
    <t xml:space="preserve">AUN100616QZ</t>
  </si>
  <si>
    <t xml:space="preserve">AUTOPISTA URBANA NORTE</t>
  </si>
  <si>
    <t xml:space="preserve">10842</t>
  </si>
  <si>
    <t xml:space="preserve">AUT160620UK</t>
  </si>
  <si>
    <t xml:space="preserve">AUTSOL</t>
  </si>
  <si>
    <t xml:space="preserve">10843</t>
  </si>
  <si>
    <t xml:space="preserve">AVN030811P6</t>
  </si>
  <si>
    <t xml:space="preserve">AGROFORESTAL DEL VALLE DE NEJAPA</t>
  </si>
  <si>
    <t xml:space="preserve">10844</t>
  </si>
  <si>
    <t xml:space="preserve">AVR220729EB</t>
  </si>
  <si>
    <t xml:space="preserve">AM VACATION RENTAL</t>
  </si>
  <si>
    <t xml:space="preserve">10845</t>
  </si>
  <si>
    <t xml:space="preserve">BAC920106U9</t>
  </si>
  <si>
    <t xml:space="preserve">BIODIST</t>
  </si>
  <si>
    <t xml:space="preserve">10846</t>
  </si>
  <si>
    <t xml:space="preserve">BAIE860613N</t>
  </si>
  <si>
    <t xml:space="preserve">ELIAS BARBOSA IBARRA</t>
  </si>
  <si>
    <t xml:space="preserve">10847</t>
  </si>
  <si>
    <t xml:space="preserve">BAJ231023QJ</t>
  </si>
  <si>
    <t xml:space="preserve">BIOINSUMOS AGRICOLAS DE JALISCO</t>
  </si>
  <si>
    <t xml:space="preserve">10848</t>
  </si>
  <si>
    <t xml:space="preserve">BAML880127E</t>
  </si>
  <si>
    <t xml:space="preserve">LAURA GABRIELA BARRETO MONTAÑO</t>
  </si>
  <si>
    <t xml:space="preserve">10849</t>
  </si>
  <si>
    <t xml:space="preserve">BAN191001Q6</t>
  </si>
  <si>
    <t xml:space="preserve">BKAYA</t>
  </si>
  <si>
    <t xml:space="preserve">10850</t>
  </si>
  <si>
    <t xml:space="preserve">BBE190715CI</t>
  </si>
  <si>
    <t xml:space="preserve">BROTHERS BEEF</t>
  </si>
  <si>
    <t xml:space="preserve">10851</t>
  </si>
  <si>
    <t xml:space="preserve">BEGL810615G</t>
  </si>
  <si>
    <t xml:space="preserve">LILIANA BECERRA GUAJARDO</t>
  </si>
  <si>
    <t xml:space="preserve">10852</t>
  </si>
  <si>
    <t xml:space="preserve">BES0906299F</t>
  </si>
  <si>
    <t xml:space="preserve">BNI ESTACIONAMIENTOS</t>
  </si>
  <si>
    <t xml:space="preserve">10853</t>
  </si>
  <si>
    <t xml:space="preserve">BGM191223LI</t>
  </si>
  <si>
    <t xml:space="preserve">BOTICAS GRIEGAS DE MEXICO</t>
  </si>
  <si>
    <t xml:space="preserve">10854</t>
  </si>
  <si>
    <t xml:space="preserve">BGM951208EX</t>
  </si>
  <si>
    <t xml:space="preserve">BOMBAS GOULDS DE MEXICO</t>
  </si>
  <si>
    <t xml:space="preserve">10855</t>
  </si>
  <si>
    <t xml:space="preserve">BIO970908SF</t>
  </si>
  <si>
    <t xml:space="preserve">BIOTECCSA</t>
  </si>
  <si>
    <t xml:space="preserve">10856</t>
  </si>
  <si>
    <t xml:space="preserve">BMA991220B1</t>
  </si>
  <si>
    <t xml:space="preserve">BUFETE MEXICANO DE ADUANAS</t>
  </si>
  <si>
    <t xml:space="preserve">10857</t>
  </si>
  <si>
    <t xml:space="preserve">BME940722RI</t>
  </si>
  <si>
    <t xml:space="preserve">BEMIS DE MEXICO</t>
  </si>
  <si>
    <t xml:space="preserve">10858</t>
  </si>
  <si>
    <t xml:space="preserve">BND1502266C</t>
  </si>
  <si>
    <t xml:space="preserve">BIOCLINIQ NUCLEO DE DIAGNOSIS CLINICO</t>
  </si>
  <si>
    <t xml:space="preserve">10859</t>
  </si>
  <si>
    <t xml:space="preserve">BOB210906A2</t>
  </si>
  <si>
    <t xml:space="preserve">BOBURHAM</t>
  </si>
  <si>
    <t xml:space="preserve">10860</t>
  </si>
  <si>
    <t xml:space="preserve">BPI9205273M</t>
  </si>
  <si>
    <t xml:space="preserve">BENEDETTI'S PIZZA</t>
  </si>
  <si>
    <t xml:space="preserve">10861</t>
  </si>
  <si>
    <t xml:space="preserve">BPR021017CF</t>
  </si>
  <si>
    <t xml:space="preserve">BILLIARD PROJECT</t>
  </si>
  <si>
    <t xml:space="preserve">10862</t>
  </si>
  <si>
    <t xml:space="preserve">BRC0109073D</t>
  </si>
  <si>
    <t xml:space="preserve">BARRADAS REFRIGERACION COMERCIAL</t>
  </si>
  <si>
    <t xml:space="preserve">10863</t>
  </si>
  <si>
    <t xml:space="preserve">BSS20040753</t>
  </si>
  <si>
    <t xml:space="preserve">BULLSEYESP SOLUCIONES EN SEGURIDAD PRIVADA SA DE CV</t>
  </si>
  <si>
    <t xml:space="preserve">10864</t>
  </si>
  <si>
    <t xml:space="preserve">BTI091109N5</t>
  </si>
  <si>
    <t xml:space="preserve">BENEFICIOS PARA TI</t>
  </si>
  <si>
    <t xml:space="preserve">10865</t>
  </si>
  <si>
    <t xml:space="preserve">CAEE6306059</t>
  </si>
  <si>
    <t xml:space="preserve">EDWIN MARTIN CAUICH ESCALANTE</t>
  </si>
  <si>
    <t xml:space="preserve">10866</t>
  </si>
  <si>
    <t xml:space="preserve">CAF880309V9</t>
  </si>
  <si>
    <t xml:space="preserve">CENTRO AUTOMOTRIZ FUTURAMA</t>
  </si>
  <si>
    <t xml:space="preserve">10867</t>
  </si>
  <si>
    <t xml:space="preserve">CAFS5910225</t>
  </si>
  <si>
    <t xml:space="preserve">MARIA SALOME ESTHER CASTILLO FLORES</t>
  </si>
  <si>
    <t xml:space="preserve">10868</t>
  </si>
  <si>
    <t xml:space="preserve">CAG120903M8</t>
  </si>
  <si>
    <t xml:space="preserve">C. &amp; G. OFTALMOLOGOS</t>
  </si>
  <si>
    <t xml:space="preserve">10869</t>
  </si>
  <si>
    <t xml:space="preserve">CAG161004AR</t>
  </si>
  <si>
    <t xml:space="preserve">CENTROS AUDITIVOS GAES MEXICO</t>
  </si>
  <si>
    <t xml:space="preserve">10870</t>
  </si>
  <si>
    <t xml:space="preserve">CAGC780928U</t>
  </si>
  <si>
    <t xml:space="preserve">CECILIA CABRERA GARCIA</t>
  </si>
  <si>
    <t xml:space="preserve">10871</t>
  </si>
  <si>
    <t xml:space="preserve">CAMH990519T</t>
  </si>
  <si>
    <t xml:space="preserve">HECTOR ANTONIO CAMARGO MORALES</t>
  </si>
  <si>
    <t xml:space="preserve">10872</t>
  </si>
  <si>
    <t xml:space="preserve">CAP050928A7</t>
  </si>
  <si>
    <t xml:space="preserve">CONSTRUCCIONES AMOZOC PEROTE</t>
  </si>
  <si>
    <t xml:space="preserve">10873</t>
  </si>
  <si>
    <t xml:space="preserve">CAPA500210U</t>
  </si>
  <si>
    <t xml:space="preserve">ALFREDO CADENA PADRON</t>
  </si>
  <si>
    <t xml:space="preserve">10874</t>
  </si>
  <si>
    <t xml:space="preserve">CAR020813DI</t>
  </si>
  <si>
    <t xml:space="preserve">CENTRO DE ASISTENCIA RENAL</t>
  </si>
  <si>
    <t xml:space="preserve">10875</t>
  </si>
  <si>
    <t xml:space="preserve">CAR080410FF</t>
  </si>
  <si>
    <t xml:space="preserve">CONSTRUCTORA ARBO-S</t>
  </si>
  <si>
    <t xml:space="preserve">10876</t>
  </si>
  <si>
    <t xml:space="preserve">CAR2208226S</t>
  </si>
  <si>
    <t xml:space="preserve">CARINT</t>
  </si>
  <si>
    <t xml:space="preserve">10877</t>
  </si>
  <si>
    <t xml:space="preserve">CAR221004PI</t>
  </si>
  <si>
    <t xml:space="preserve">CERRO AZUL RESTAURANTES ET CETERA</t>
  </si>
  <si>
    <t xml:space="preserve">10878</t>
  </si>
  <si>
    <t xml:space="preserve">CAU210203MM</t>
  </si>
  <si>
    <t xml:space="preserve">CENTRAL ADMINISTRATIVA URBAN</t>
  </si>
  <si>
    <t xml:space="preserve">10879</t>
  </si>
  <si>
    <t xml:space="preserve">CBA11111137</t>
  </si>
  <si>
    <t xml:space="preserve">CONSTRUCTORA BALBEK</t>
  </si>
  <si>
    <t xml:space="preserve">10880</t>
  </si>
  <si>
    <t xml:space="preserve">CBE920513BS</t>
  </si>
  <si>
    <t xml:space="preserve">COMISARIATO BENEDETTI' S</t>
  </si>
  <si>
    <t xml:space="preserve">10881</t>
  </si>
  <si>
    <t xml:space="preserve">CBM8112029H</t>
  </si>
  <si>
    <t xml:space="preserve">CLEAVER BROOKS DE MEXICO</t>
  </si>
  <si>
    <t xml:space="preserve">10882</t>
  </si>
  <si>
    <t xml:space="preserve">CBO210709DH</t>
  </si>
  <si>
    <t xml:space="preserve">COMERCIALIZADORA EL BOMBON</t>
  </si>
  <si>
    <t xml:space="preserve">10883</t>
  </si>
  <si>
    <t xml:space="preserve">CBT2312043K</t>
  </si>
  <si>
    <t xml:space="preserve">CHAVITO BIEN TOYS</t>
  </si>
  <si>
    <t xml:space="preserve">10884</t>
  </si>
  <si>
    <t xml:space="preserve">CBU140905EX</t>
  </si>
  <si>
    <t xml:space="preserve">CAPITAL BUS</t>
  </si>
  <si>
    <t xml:space="preserve">10885</t>
  </si>
  <si>
    <t xml:space="preserve">CBZ930226CK</t>
  </si>
  <si>
    <t xml:space="preserve">CALKINS BURKE AND ZANNIE DE MEXICO</t>
  </si>
  <si>
    <t xml:space="preserve">10886</t>
  </si>
  <si>
    <t xml:space="preserve">CCE110823BQ</t>
  </si>
  <si>
    <t xml:space="preserve">CONSTRUCCIONES DE CALIDAD E INGENIERIA DE MEXICO</t>
  </si>
  <si>
    <t xml:space="preserve">10887</t>
  </si>
  <si>
    <t xml:space="preserve">CCJ101213GX</t>
  </si>
  <si>
    <t xml:space="preserve">CUELLAR CONSULTORES JURIDICO PROFESIONALES SC</t>
  </si>
  <si>
    <t xml:space="preserve">10888</t>
  </si>
  <si>
    <t xml:space="preserve">CCL8603057Q</t>
  </si>
  <si>
    <t xml:space="preserve">CONFECCIONES CLABECK</t>
  </si>
  <si>
    <t xml:space="preserve">10889</t>
  </si>
  <si>
    <t xml:space="preserve">CCO200911F4</t>
  </si>
  <si>
    <t xml:space="preserve">Congeladora Comfrut SA de CV</t>
  </si>
  <si>
    <t xml:space="preserve">10890</t>
  </si>
  <si>
    <t xml:space="preserve">CCO21082721</t>
  </si>
  <si>
    <t xml:space="preserve">CONEJO CORRIENDO</t>
  </si>
  <si>
    <t xml:space="preserve">10891</t>
  </si>
  <si>
    <t xml:space="preserve">CCO220121FM</t>
  </si>
  <si>
    <t xml:space="preserve">CARBONO COMSOLTA</t>
  </si>
  <si>
    <t xml:space="preserve">10892</t>
  </si>
  <si>
    <t xml:space="preserve">CCO8605231N</t>
  </si>
  <si>
    <t xml:space="preserve">CADENA COMERCIAL OXXO</t>
  </si>
  <si>
    <t xml:space="preserve">10893</t>
  </si>
  <si>
    <t xml:space="preserve">CCO990211T6</t>
  </si>
  <si>
    <t xml:space="preserve">CINCO CONTEMPORANEA</t>
  </si>
  <si>
    <t xml:space="preserve">10894</t>
  </si>
  <si>
    <t xml:space="preserve">CCS1407042B</t>
  </si>
  <si>
    <t xml:space="preserve">PEOPLE 2.0 MEXICO</t>
  </si>
  <si>
    <t xml:space="preserve">10895</t>
  </si>
  <si>
    <t xml:space="preserve">CDF020121KW</t>
  </si>
  <si>
    <t xml:space="preserve">CONSTRUCCIONES D. F.</t>
  </si>
  <si>
    <t xml:space="preserve">10896</t>
  </si>
  <si>
    <t xml:space="preserve">CDG181016JS</t>
  </si>
  <si>
    <t xml:space="preserve">CARPAS Y DOMOS GIGANTES</t>
  </si>
  <si>
    <t xml:space="preserve">10897</t>
  </si>
  <si>
    <t xml:space="preserve">CDI1305022N</t>
  </si>
  <si>
    <t xml:space="preserve">COMPUMEX DIGITAL</t>
  </si>
  <si>
    <t xml:space="preserve">10898</t>
  </si>
  <si>
    <t xml:space="preserve">CDI1609295X</t>
  </si>
  <si>
    <t xml:space="preserve">COLORLAND DISTRIBUCION</t>
  </si>
  <si>
    <t xml:space="preserve">10899</t>
  </si>
  <si>
    <t xml:space="preserve">CDK221129QB</t>
  </si>
  <si>
    <t xml:space="preserve">CORPORATIVO DELVEL K</t>
  </si>
  <si>
    <t xml:space="preserve">10900</t>
  </si>
  <si>
    <t xml:space="preserve">CDO0402126Z</t>
  </si>
  <si>
    <t xml:space="preserve">COMERCIALIZADORA DOMARTS</t>
  </si>
  <si>
    <t xml:space="preserve">10901</t>
  </si>
  <si>
    <t xml:space="preserve">CDT881128GQ</t>
  </si>
  <si>
    <t xml:space="preserve">COMPUTACION, DATOS Y TECNOLOGIA</t>
  </si>
  <si>
    <t xml:space="preserve">10902</t>
  </si>
  <si>
    <t xml:space="preserve">CEC081223FJ</t>
  </si>
  <si>
    <t xml:space="preserve">CAFES DE ESPECIALIDAD DE CHIAPAS S.A.P.I. DE C.V. (CAFESCA)*</t>
  </si>
  <si>
    <t xml:space="preserve">10903</t>
  </si>
  <si>
    <t xml:space="preserve">CEC2211236J</t>
  </si>
  <si>
    <t xml:space="preserve">CONSULTORIA EMPRESARIAL CONSAC</t>
  </si>
  <si>
    <t xml:space="preserve">10904</t>
  </si>
  <si>
    <t xml:space="preserve">CEI0904023V</t>
  </si>
  <si>
    <t xml:space="preserve">CONSTRUCCIONES E INSTALACIONES JOSHE S</t>
  </si>
  <si>
    <t xml:space="preserve">10905</t>
  </si>
  <si>
    <t xml:space="preserve">CEM970905VB</t>
  </si>
  <si>
    <t xml:space="preserve">COMBUSTIBLES ECOLOGICOS MEXICANOS</t>
  </si>
  <si>
    <t xml:space="preserve">10906</t>
  </si>
  <si>
    <t xml:space="preserve">CEN18030789</t>
  </si>
  <si>
    <t xml:space="preserve">COMETA ENERGIA</t>
  </si>
  <si>
    <t xml:space="preserve">10907</t>
  </si>
  <si>
    <t xml:space="preserve">CFD130910CH</t>
  </si>
  <si>
    <t xml:space="preserve">COMISION FEDERAL DE COMPETENCIA ECONOMICA</t>
  </si>
  <si>
    <t xml:space="preserve">10908</t>
  </si>
  <si>
    <t xml:space="preserve">CGI200211AU</t>
  </si>
  <si>
    <t xml:space="preserve">CONSULTORIA GISMMA</t>
  </si>
  <si>
    <t xml:space="preserve">10909</t>
  </si>
  <si>
    <t xml:space="preserve">CGM1103161A</t>
  </si>
  <si>
    <t xml:space="preserve">CRYSTAL GREEN DE MEXICO</t>
  </si>
  <si>
    <t xml:space="preserve">10910</t>
  </si>
  <si>
    <t xml:space="preserve">CGR020208GD</t>
  </si>
  <si>
    <t xml:space="preserve">IDEAL AUTOMOTIVE MEXICO</t>
  </si>
  <si>
    <t xml:space="preserve">10911</t>
  </si>
  <si>
    <t xml:space="preserve">CHA220503J3</t>
  </si>
  <si>
    <t xml:space="preserve">DEL CAMPO HARVEST</t>
  </si>
  <si>
    <t xml:space="preserve">10912</t>
  </si>
  <si>
    <t xml:space="preserve">CHE020812H1</t>
  </si>
  <si>
    <t xml:space="preserve">CONSTRUCTORA HEISER</t>
  </si>
  <si>
    <t xml:space="preserve">10913</t>
  </si>
  <si>
    <t xml:space="preserve">CHM230831FF</t>
  </si>
  <si>
    <t xml:space="preserve">CASA Y HOGAR MAYLO</t>
  </si>
  <si>
    <t xml:space="preserve">10914</t>
  </si>
  <si>
    <t xml:space="preserve">CHS190405V5</t>
  </si>
  <si>
    <t xml:space="preserve">CONVERTIDOR DE HIGIENICO Y SERVILLETA</t>
  </si>
  <si>
    <t xml:space="preserve">10915</t>
  </si>
  <si>
    <t xml:space="preserve">CIC0706161R</t>
  </si>
  <si>
    <t xml:space="preserve">CONSTRUCTORA E IMPULSORA CONDOR</t>
  </si>
  <si>
    <t xml:space="preserve">10916</t>
  </si>
  <si>
    <t xml:space="preserve">CIC9409053C</t>
  </si>
  <si>
    <t xml:space="preserve">COMERCIALIZADORA INTERNACIONAL DE COMPRESORES</t>
  </si>
  <si>
    <t xml:space="preserve">10917</t>
  </si>
  <si>
    <t xml:space="preserve">CIC991005MS</t>
  </si>
  <si>
    <t xml:space="preserve">CONSTRUCTORA E INMOBILIARIA CAROME</t>
  </si>
  <si>
    <t xml:space="preserve">10918</t>
  </si>
  <si>
    <t xml:space="preserve">CIE930727HK</t>
  </si>
  <si>
    <t xml:space="preserve">CONSORCIO INDUSTRIAL EDIFICA</t>
  </si>
  <si>
    <t xml:space="preserve">10919</t>
  </si>
  <si>
    <t xml:space="preserve">CIM060124GG</t>
  </si>
  <si>
    <t xml:space="preserve">COMERCIALIZADORA IMU</t>
  </si>
  <si>
    <t xml:space="preserve">10920</t>
  </si>
  <si>
    <t xml:space="preserve">CIN04100817</t>
  </si>
  <si>
    <t xml:space="preserve">CORREDOR INSURGENTES</t>
  </si>
  <si>
    <t xml:space="preserve">10921</t>
  </si>
  <si>
    <t xml:space="preserve">CIN930226HQ</t>
  </si>
  <si>
    <t xml:space="preserve">CINMSA</t>
  </si>
  <si>
    <t xml:space="preserve">10922</t>
  </si>
  <si>
    <t xml:space="preserve">CJA240311RB</t>
  </si>
  <si>
    <t xml:space="preserve">COMERCIALIZADORA JAGAKAR</t>
  </si>
  <si>
    <t xml:space="preserve">10923</t>
  </si>
  <si>
    <t xml:space="preserve">CJA9212045Z</t>
  </si>
  <si>
    <t xml:space="preserve">CONSULTORIA JURIDICA Y ADMINISTRATIVA MILLA Y ASOCIADOS</t>
  </si>
  <si>
    <t xml:space="preserve">10924</t>
  </si>
  <si>
    <t xml:space="preserve">CJA940502D6</t>
  </si>
  <si>
    <t xml:space="preserve">CONSTRUCTORA JAN</t>
  </si>
  <si>
    <t xml:space="preserve">10925</t>
  </si>
  <si>
    <t xml:space="preserve">CLI1912231Y</t>
  </si>
  <si>
    <t xml:space="preserve">CLIKALIA</t>
  </si>
  <si>
    <t xml:space="preserve">10926</t>
  </si>
  <si>
    <t xml:space="preserve">CMA070307RU</t>
  </si>
  <si>
    <t xml:space="preserve">METRO ASFALTOS</t>
  </si>
  <si>
    <t xml:space="preserve">10927</t>
  </si>
  <si>
    <t xml:space="preserve">CMC130520F3</t>
  </si>
  <si>
    <t xml:space="preserve">COMERCIALIZADORA DE MARCAS CASMA</t>
  </si>
  <si>
    <t xml:space="preserve">10928</t>
  </si>
  <si>
    <t xml:space="preserve">CME030219B6</t>
  </si>
  <si>
    <t xml:space="preserve">CONCESIONARIA MEXIQUENSE</t>
  </si>
  <si>
    <t xml:space="preserve">10929</t>
  </si>
  <si>
    <t xml:space="preserve">CME150827CH</t>
  </si>
  <si>
    <t xml:space="preserve">CARSALES MEXICO</t>
  </si>
  <si>
    <t xml:space="preserve">10930</t>
  </si>
  <si>
    <t xml:space="preserve">CME220205UD</t>
  </si>
  <si>
    <t xml:space="preserve">CARCAMOVIL MEXICO</t>
  </si>
  <si>
    <t xml:space="preserve">10931</t>
  </si>
  <si>
    <t xml:space="preserve">CMI130821M5</t>
  </si>
  <si>
    <t xml:space="preserve">COMERCIALIZADORA MIKONOS</t>
  </si>
  <si>
    <t xml:space="preserve">10932</t>
  </si>
  <si>
    <t xml:space="preserve">CMM180425QF</t>
  </si>
  <si>
    <t xml:space="preserve">CONSERVACION MM</t>
  </si>
  <si>
    <t xml:space="preserve">10933</t>
  </si>
  <si>
    <t xml:space="preserve">CMN210903IE</t>
  </si>
  <si>
    <t xml:space="preserve">COMERCIALIZADORA DE MATERIALES NEFS</t>
  </si>
  <si>
    <t xml:space="preserve">10934</t>
  </si>
  <si>
    <t xml:space="preserve">CNC930315QH</t>
  </si>
  <si>
    <t xml:space="preserve">CORTE NIBLADO Y CONFORMADO</t>
  </si>
  <si>
    <t xml:space="preserve">10935</t>
  </si>
  <si>
    <t xml:space="preserve">CNS140429VA</t>
  </si>
  <si>
    <t xml:space="preserve">CONSORCIO DE NEGOCIOS SM</t>
  </si>
  <si>
    <t xml:space="preserve">10936</t>
  </si>
  <si>
    <t xml:space="preserve">COM1303117D</t>
  </si>
  <si>
    <t xml:space="preserve">COMPUREPDIGITAL</t>
  </si>
  <si>
    <t xml:space="preserve">10937</t>
  </si>
  <si>
    <t xml:space="preserve">COS131011J1</t>
  </si>
  <si>
    <t xml:space="preserve">COSMOPHARMEX</t>
  </si>
  <si>
    <t xml:space="preserve">10938</t>
  </si>
  <si>
    <t xml:space="preserve">COS170110BH</t>
  </si>
  <si>
    <t xml:space="preserve">CB SOLUCIONES TERMICAS SA DECV</t>
  </si>
  <si>
    <t xml:space="preserve">10939</t>
  </si>
  <si>
    <t xml:space="preserve">CPA2108186S</t>
  </si>
  <si>
    <t xml:space="preserve">CLINICA PACIFICA</t>
  </si>
  <si>
    <t xml:space="preserve">10940</t>
  </si>
  <si>
    <t xml:space="preserve">CPA950420F7</t>
  </si>
  <si>
    <t xml:space="preserve">COMERCIALIZADORA DE PINTURAS ARTEAGA</t>
  </si>
  <si>
    <t xml:space="preserve">10941</t>
  </si>
  <si>
    <t xml:space="preserve">CPI0404017C</t>
  </si>
  <si>
    <t xml:space="preserve">CONTROL DE PLAGAS INTERNACIONAL CENTINELA</t>
  </si>
  <si>
    <t xml:space="preserve">10942</t>
  </si>
  <si>
    <t xml:space="preserve">CPI0802085Y</t>
  </si>
  <si>
    <t xml:space="preserve">CCI PLANIGRUPO II</t>
  </si>
  <si>
    <t xml:space="preserve">10943</t>
  </si>
  <si>
    <t xml:space="preserve">CPI080208DN</t>
  </si>
  <si>
    <t xml:space="preserve">CCI PLANIGRUPO III</t>
  </si>
  <si>
    <t xml:space="preserve">10944</t>
  </si>
  <si>
    <t xml:space="preserve">CPR100602NJ</t>
  </si>
  <si>
    <t xml:space="preserve">CESEHSA PRODUCTS</t>
  </si>
  <si>
    <t xml:space="preserve">10945</t>
  </si>
  <si>
    <t xml:space="preserve">CPR21120827</t>
  </si>
  <si>
    <t xml:space="preserve">COSMIC PRODUCT COMPANY</t>
  </si>
  <si>
    <t xml:space="preserve">10946</t>
  </si>
  <si>
    <t xml:space="preserve">CPS220425UI</t>
  </si>
  <si>
    <t xml:space="preserve">ISEG MEXICO SEGURIDAD PRIVADA</t>
  </si>
  <si>
    <t xml:space="preserve">10947</t>
  </si>
  <si>
    <t xml:space="preserve">CRE040604TE</t>
  </si>
  <si>
    <t xml:space="preserve">CREASUNN</t>
  </si>
  <si>
    <t xml:space="preserve">10948</t>
  </si>
  <si>
    <t xml:space="preserve">CRM191212EV</t>
  </si>
  <si>
    <t xml:space="preserve">CORPORACION DE RESTAURANTES MAXIMUS</t>
  </si>
  <si>
    <t xml:space="preserve">10949</t>
  </si>
  <si>
    <t xml:space="preserve">CRT131226HL</t>
  </si>
  <si>
    <t xml:space="preserve">COORDINADORA REGIONAL DE TRANSPORTE URBANO</t>
  </si>
  <si>
    <t xml:space="preserve">10950</t>
  </si>
  <si>
    <t xml:space="preserve">CSI161207HK</t>
  </si>
  <si>
    <t xml:space="preserve">CEPADEMRH SERVICIOS INTEGRALES</t>
  </si>
  <si>
    <t xml:space="preserve">10951</t>
  </si>
  <si>
    <t xml:space="preserve">CSM2008143K</t>
  </si>
  <si>
    <t xml:space="preserve">CADENA DE SALUD MEDICS</t>
  </si>
  <si>
    <t xml:space="preserve">10952</t>
  </si>
  <si>
    <t xml:space="preserve">CSS131101CL</t>
  </si>
  <si>
    <t xml:space="preserve">COMERCIALIZADORA, SERVICIOS Y SUMINISTROS INDUSTRIALES TARO</t>
  </si>
  <si>
    <t xml:space="preserve">10953</t>
  </si>
  <si>
    <t xml:space="preserve">CSS171026G2</t>
  </si>
  <si>
    <t xml:space="preserve">CANADIAN SOLAR SERVICES MEXICO</t>
  </si>
  <si>
    <t xml:space="preserve">10954</t>
  </si>
  <si>
    <t xml:space="preserve">CST950118B8</t>
  </si>
  <si>
    <t xml:space="preserve">CAJA SOLIDARIA TECOLOTLAN</t>
  </si>
  <si>
    <t xml:space="preserve">10955</t>
  </si>
  <si>
    <t xml:space="preserve">CTB0406295H</t>
  </si>
  <si>
    <t xml:space="preserve">CONSTRUCCION Y TRANSPORTACION BASGON</t>
  </si>
  <si>
    <t xml:space="preserve">10956</t>
  </si>
  <si>
    <t xml:space="preserve">CTE120731CF</t>
  </si>
  <si>
    <t xml:space="preserve">COMERCIALIZADORA TELATOR</t>
  </si>
  <si>
    <t xml:space="preserve">10957</t>
  </si>
  <si>
    <t xml:space="preserve">CTE1804309D</t>
  </si>
  <si>
    <t xml:space="preserve">CARIBE TAXI EXPRESS</t>
  </si>
  <si>
    <t xml:space="preserve">10958</t>
  </si>
  <si>
    <t xml:space="preserve">CTI180912LT</t>
  </si>
  <si>
    <t xml:space="preserve">CERVELL TI</t>
  </si>
  <si>
    <t xml:space="preserve">10959</t>
  </si>
  <si>
    <t xml:space="preserve">CTS160922QL</t>
  </si>
  <si>
    <t xml:space="preserve">CORPORATE TRAVEL SERVICES WORLDWIDE</t>
  </si>
  <si>
    <t xml:space="preserve">10960</t>
  </si>
  <si>
    <t xml:space="preserve">CTS9802249S</t>
  </si>
  <si>
    <t xml:space="preserve">CARTONES Y TUBOS DEL SUR</t>
  </si>
  <si>
    <t xml:space="preserve">10961</t>
  </si>
  <si>
    <t xml:space="preserve">CUB940806DE</t>
  </si>
  <si>
    <t xml:space="preserve">COMERCIALIZADORA Y URBANIZADORA DE BIENES DEL SURESTE</t>
  </si>
  <si>
    <t xml:space="preserve">10962</t>
  </si>
  <si>
    <t xml:space="preserve">CUG201217LH</t>
  </si>
  <si>
    <t xml:space="preserve">CENTROS URBANOS GOVA</t>
  </si>
  <si>
    <t xml:space="preserve">10963</t>
  </si>
  <si>
    <t xml:space="preserve">CUGC9008226</t>
  </si>
  <si>
    <t xml:space="preserve">CRISTINA CRUZ GALVEZ</t>
  </si>
  <si>
    <t xml:space="preserve">10964</t>
  </si>
  <si>
    <t xml:space="preserve">CVA1005214M</t>
  </si>
  <si>
    <t xml:space="preserve">COMERCIALIZADORA VALDER</t>
  </si>
  <si>
    <t xml:space="preserve">10965</t>
  </si>
  <si>
    <t xml:space="preserve">CWI140210U2</t>
  </si>
  <si>
    <t xml:space="preserve">COMERCIALIZADORA WIM</t>
  </si>
  <si>
    <t xml:space="preserve">10966</t>
  </si>
  <si>
    <t xml:space="preserve">DAB190621DR</t>
  </si>
  <si>
    <t xml:space="preserve">DASAM ABOGADOS SA DE CV</t>
  </si>
  <si>
    <t xml:space="preserve">10967</t>
  </si>
  <si>
    <t xml:space="preserve">DAC230228AB</t>
  </si>
  <si>
    <t xml:space="preserve">DACONTASOB</t>
  </si>
  <si>
    <t xml:space="preserve">10968</t>
  </si>
  <si>
    <t xml:space="preserve">DAP1608026V</t>
  </si>
  <si>
    <t xml:space="preserve">DESARROLLO ALTERNATIVO EN PERSONAL</t>
  </si>
  <si>
    <t xml:space="preserve">10969</t>
  </si>
  <si>
    <t xml:space="preserve">DAP1909217J</t>
  </si>
  <si>
    <t xml:space="preserve">DARACA ASESORES EN PENSIONES</t>
  </si>
  <si>
    <t xml:space="preserve">10970</t>
  </si>
  <si>
    <t xml:space="preserve">DAX200716G4</t>
  </si>
  <si>
    <t xml:space="preserve">DAXXMX</t>
  </si>
  <si>
    <t xml:space="preserve">10971</t>
  </si>
  <si>
    <t xml:space="preserve">DCH230104LS</t>
  </si>
  <si>
    <t xml:space="preserve">DISEÑOS CONSTRUCTION HAWK</t>
  </si>
  <si>
    <t xml:space="preserve">10972</t>
  </si>
  <si>
    <t xml:space="preserve">DCL121128AC</t>
  </si>
  <si>
    <t xml:space="preserve">DISTRIBUIDORA CLABECK</t>
  </si>
  <si>
    <t xml:space="preserve">10973</t>
  </si>
  <si>
    <t xml:space="preserve">DCM000125IY</t>
  </si>
  <si>
    <t xml:space="preserve">DESPEGAR.COM MEXICO</t>
  </si>
  <si>
    <t xml:space="preserve">10974</t>
  </si>
  <si>
    <t xml:space="preserve">DCP790511D3</t>
  </si>
  <si>
    <t xml:space="preserve">DICIPA</t>
  </si>
  <si>
    <t xml:space="preserve">10975</t>
  </si>
  <si>
    <t xml:space="preserve">DGF920601FY</t>
  </si>
  <si>
    <t xml:space="preserve">DHL GLOBAL FORWARDING (MEXICO)</t>
  </si>
  <si>
    <t xml:space="preserve">10976</t>
  </si>
  <si>
    <t xml:space="preserve">DHG170602LY</t>
  </si>
  <si>
    <t xml:space="preserve">DHGN1</t>
  </si>
  <si>
    <t xml:space="preserve">10977</t>
  </si>
  <si>
    <t xml:space="preserve">DIA1410035S</t>
  </si>
  <si>
    <t xml:space="preserve">DESARROLLO INTEGRAL ADMINISTRATIVO LUAN</t>
  </si>
  <si>
    <t xml:space="preserve">10978</t>
  </si>
  <si>
    <t xml:space="preserve">DIN120419V2</t>
  </si>
  <si>
    <t xml:space="preserve">DRILLMEC INC</t>
  </si>
  <si>
    <t xml:space="preserve">10979</t>
  </si>
  <si>
    <t xml:space="preserve">DIV13100897</t>
  </si>
  <si>
    <t xml:space="preserve">DIVYA</t>
  </si>
  <si>
    <t xml:space="preserve">10980</t>
  </si>
  <si>
    <t xml:space="preserve">DJU890724BU</t>
  </si>
  <si>
    <t xml:space="preserve">DISTRIBUIDORA JUGUETRON</t>
  </si>
  <si>
    <t xml:space="preserve">10981</t>
  </si>
  <si>
    <t xml:space="preserve">DLM140311EH</t>
  </si>
  <si>
    <t xml:space="preserve">DISTRIBUIDORA LED DE MEXICO</t>
  </si>
  <si>
    <t xml:space="preserve">10982</t>
  </si>
  <si>
    <t xml:space="preserve">DLO1006168N</t>
  </si>
  <si>
    <t xml:space="preserve">DICKA LOGISTICS,</t>
  </si>
  <si>
    <t xml:space="preserve">10983</t>
  </si>
  <si>
    <t xml:space="preserve">DLO990908D7</t>
  </si>
  <si>
    <t xml:space="preserve">DESARROLLO LOGISTICO</t>
  </si>
  <si>
    <t xml:space="preserve">10984</t>
  </si>
  <si>
    <t xml:space="preserve">DMA150609DQ</t>
  </si>
  <si>
    <t xml:space="preserve">DESARROLLOS MAFERSA</t>
  </si>
  <si>
    <t xml:space="preserve">10985</t>
  </si>
  <si>
    <t xml:space="preserve">DMA170603DD</t>
  </si>
  <si>
    <t xml:space="preserve">DYA MANUFACTURAS</t>
  </si>
  <si>
    <t xml:space="preserve">10986</t>
  </si>
  <si>
    <t xml:space="preserve">DME150723JW</t>
  </si>
  <si>
    <t xml:space="preserve">DRILLMEC MEXICO</t>
  </si>
  <si>
    <t xml:space="preserve">10987</t>
  </si>
  <si>
    <t xml:space="preserve">DMS170322ME</t>
  </si>
  <si>
    <t xml:space="preserve">DOCFLOW MANAGEMENT SOLUTIONS S DE RL DE CV</t>
  </si>
  <si>
    <t xml:space="preserve">10988</t>
  </si>
  <si>
    <t xml:space="preserve">DOM200311LA</t>
  </si>
  <si>
    <t xml:space="preserve">DOMAINTECH</t>
  </si>
  <si>
    <t xml:space="preserve">10989</t>
  </si>
  <si>
    <t xml:space="preserve">DPU960326RH</t>
  </si>
  <si>
    <t xml:space="preserve">DULCERIA PUEBLA</t>
  </si>
  <si>
    <t xml:space="preserve">10990</t>
  </si>
  <si>
    <t xml:space="preserve">DRP921123HZ</t>
  </si>
  <si>
    <t xml:space="preserve">DIAGNOSTICO RADIOLOGICO PENSIONES</t>
  </si>
  <si>
    <t xml:space="preserve">10991</t>
  </si>
  <si>
    <t xml:space="preserve">DSA070813AZ</t>
  </si>
  <si>
    <t xml:space="preserve">DRP SERVICIOS AUTOMOTRICES</t>
  </si>
  <si>
    <t xml:space="preserve">10992</t>
  </si>
  <si>
    <t xml:space="preserve">DSE221109CB</t>
  </si>
  <si>
    <t xml:space="preserve">DOORVEL SERVICES</t>
  </si>
  <si>
    <t xml:space="preserve">10993</t>
  </si>
  <si>
    <t xml:space="preserve">DUD0806184D</t>
  </si>
  <si>
    <t xml:space="preserve">DESARROLLADORA URBANISTICA DE OCCIDENTE</t>
  </si>
  <si>
    <t xml:space="preserve">10994</t>
  </si>
  <si>
    <t xml:space="preserve">DUE9506226Q</t>
  </si>
  <si>
    <t xml:space="preserve">DOMUS URBANIZADORA Y EDIFICADORA</t>
  </si>
  <si>
    <t xml:space="preserve">10995</t>
  </si>
  <si>
    <t xml:space="preserve">DUG150127SE</t>
  </si>
  <si>
    <t xml:space="preserve">DUGPA</t>
  </si>
  <si>
    <t xml:space="preserve">10996</t>
  </si>
  <si>
    <t xml:space="preserve">DUR010406FM</t>
  </si>
  <si>
    <t xml:space="preserve">DOMUS URBANIZACIONES</t>
  </si>
  <si>
    <t xml:space="preserve">10997</t>
  </si>
  <si>
    <t xml:space="preserve">DVE0910295P</t>
  </si>
  <si>
    <t xml:space="preserve">DAN VIT EMPRESARIAL</t>
  </si>
  <si>
    <t xml:space="preserve">10998</t>
  </si>
  <si>
    <t xml:space="preserve">EAC091217KP</t>
  </si>
  <si>
    <t xml:space="preserve">EXPERTOS EN ADMINISTRACION DE CAPITAL HUMANO</t>
  </si>
  <si>
    <t xml:space="preserve">10999</t>
  </si>
  <si>
    <t xml:space="preserve">EAG020524E2</t>
  </si>
  <si>
    <t xml:space="preserve">EQUIPOS Y ACCESORIOS PARA GAS L.P. Y NATURAL</t>
  </si>
  <si>
    <t xml:space="preserve">11000</t>
  </si>
  <si>
    <t xml:space="preserve">EAL090901TV</t>
  </si>
  <si>
    <t xml:space="preserve">EOLIS AMERICA LATINA</t>
  </si>
  <si>
    <t xml:space="preserve">11001</t>
  </si>
  <si>
    <t xml:space="preserve">EALG7705117</t>
  </si>
  <si>
    <t xml:space="preserve">GERMAN ENRIQUE ESTRADA LARIOS</t>
  </si>
  <si>
    <t xml:space="preserve">11002</t>
  </si>
  <si>
    <t xml:space="preserve">EAS1303221G</t>
  </si>
  <si>
    <t xml:space="preserve">EPIC ADVENTURE SPORTS,</t>
  </si>
  <si>
    <t xml:space="preserve">11003</t>
  </si>
  <si>
    <t xml:space="preserve">EAVE870502S</t>
  </si>
  <si>
    <t xml:space="preserve">ERICK EDUARDO EVANGELISTA VELASCO</t>
  </si>
  <si>
    <t xml:space="preserve">11004</t>
  </si>
  <si>
    <t xml:space="preserve">EBP050202UK</t>
  </si>
  <si>
    <t xml:space="preserve">EXTRUIDOS BOLSA POLIETILENO</t>
  </si>
  <si>
    <t xml:space="preserve">11005</t>
  </si>
  <si>
    <t xml:space="preserve">ECA210318RX</t>
  </si>
  <si>
    <t xml:space="preserve">ECRO CAPITAL</t>
  </si>
  <si>
    <t xml:space="preserve">11006</t>
  </si>
  <si>
    <t xml:space="preserve">ECL1712146Q</t>
  </si>
  <si>
    <t xml:space="preserve">ESLABON CLINICO</t>
  </si>
  <si>
    <t xml:space="preserve">11007</t>
  </si>
  <si>
    <t xml:space="preserve">ECO030618BR</t>
  </si>
  <si>
    <t xml:space="preserve">ECOPLATING</t>
  </si>
  <si>
    <t xml:space="preserve">11008</t>
  </si>
  <si>
    <t xml:space="preserve">EDA970605C3</t>
  </si>
  <si>
    <t xml:space="preserve">EULEN FLEXIPLAN SA DE CV</t>
  </si>
  <si>
    <t xml:space="preserve">11009</t>
  </si>
  <si>
    <t xml:space="preserve">EDI040611KE</t>
  </si>
  <si>
    <t xml:space="preserve">EXPORTACIONES DIEZ</t>
  </si>
  <si>
    <t xml:space="preserve">11010</t>
  </si>
  <si>
    <t xml:space="preserve">EDI0706262N</t>
  </si>
  <si>
    <t xml:space="preserve">ENTRETENIMIENTO DIAMELA</t>
  </si>
  <si>
    <t xml:space="preserve">11011</t>
  </si>
  <si>
    <t xml:space="preserve">EDI170831JU</t>
  </si>
  <si>
    <t xml:space="preserve">EDAN DIAGNOSTICOS</t>
  </si>
  <si>
    <t xml:space="preserve">11012</t>
  </si>
  <si>
    <t xml:space="preserve">EEC9911245I</t>
  </si>
  <si>
    <t xml:space="preserve">VERTIV MEXICO</t>
  </si>
  <si>
    <t xml:space="preserve">11013</t>
  </si>
  <si>
    <t xml:space="preserve">EEN120227CN</t>
  </si>
  <si>
    <t xml:space="preserve">ECOSY ENGINEERING</t>
  </si>
  <si>
    <t xml:space="preserve">11014</t>
  </si>
  <si>
    <t xml:space="preserve">EGO1509181N</t>
  </si>
  <si>
    <t xml:space="preserve">EDIFICACIONES GOVA</t>
  </si>
  <si>
    <t xml:space="preserve">11015</t>
  </si>
  <si>
    <t xml:space="preserve">EHM910503BW</t>
  </si>
  <si>
    <t xml:space="preserve">EQUIPOS HIDROMECANICOS MC</t>
  </si>
  <si>
    <t xml:space="preserve">11016</t>
  </si>
  <si>
    <t xml:space="preserve">EICE070506G</t>
  </si>
  <si>
    <t xml:space="preserve">JOSE EMILIO ESPINOSA CABRERA</t>
  </si>
  <si>
    <t xml:space="preserve">11017</t>
  </si>
  <si>
    <t xml:space="preserve">EICM9908041</t>
  </si>
  <si>
    <t xml:space="preserve">MONICA ESPINOSA CABRERA</t>
  </si>
  <si>
    <t xml:space="preserve">11018</t>
  </si>
  <si>
    <t xml:space="preserve">EISJ670403N</t>
  </si>
  <si>
    <t xml:space="preserve">JOSE JUAN ESPINOSA SANCHEZ</t>
  </si>
  <si>
    <t xml:space="preserve">11019</t>
  </si>
  <si>
    <t xml:space="preserve">ELP180201M2</t>
  </si>
  <si>
    <t xml:space="preserve">ENTRETENIMIENTO LPBC</t>
  </si>
  <si>
    <t xml:space="preserve">11020</t>
  </si>
  <si>
    <t xml:space="preserve">EME110215PE</t>
  </si>
  <si>
    <t xml:space="preserve">ELEMENT MEDIA</t>
  </si>
  <si>
    <t xml:space="preserve">11021</t>
  </si>
  <si>
    <t xml:space="preserve">EME171117B1</t>
  </si>
  <si>
    <t xml:space="preserve">ENELCOM MEXICO</t>
  </si>
  <si>
    <t xml:space="preserve">11022</t>
  </si>
  <si>
    <t xml:space="preserve">EME2001278Y</t>
  </si>
  <si>
    <t xml:space="preserve">ERGOMEDICAL DE MEXICO</t>
  </si>
  <si>
    <t xml:space="preserve">11023</t>
  </si>
  <si>
    <t xml:space="preserve">EME9312162Y</t>
  </si>
  <si>
    <t xml:space="preserve">ORANGE BUSINESS SERVICES MEXICO</t>
  </si>
  <si>
    <t xml:space="preserve">11024</t>
  </si>
  <si>
    <t xml:space="preserve">EME970313KX</t>
  </si>
  <si>
    <t xml:space="preserve">EULEN MEXICO SA DE CV</t>
  </si>
  <si>
    <t xml:space="preserve">11025</t>
  </si>
  <si>
    <t xml:space="preserve">EMO2104135V</t>
  </si>
  <si>
    <t xml:space="preserve">ECOPLATING MONTERREY</t>
  </si>
  <si>
    <t xml:space="preserve">11026</t>
  </si>
  <si>
    <t xml:space="preserve">EMS970314UZ</t>
  </si>
  <si>
    <t xml:space="preserve">EULEN MEXICO DE SERVICIOS SA DE CV</t>
  </si>
  <si>
    <t xml:space="preserve">11027</t>
  </si>
  <si>
    <t xml:space="preserve">ENE150506UG</t>
  </si>
  <si>
    <t xml:space="preserve">ENESTAS</t>
  </si>
  <si>
    <t xml:space="preserve">11028</t>
  </si>
  <si>
    <t xml:space="preserve">ENV990331HF</t>
  </si>
  <si>
    <t xml:space="preserve">EMPACADORA NOR VER</t>
  </si>
  <si>
    <t xml:space="preserve">11029</t>
  </si>
  <si>
    <t xml:space="preserve">EPE150828B9</t>
  </si>
  <si>
    <t xml:space="preserve">ENTRETENIMIENTO LA PERLA</t>
  </si>
  <si>
    <t xml:space="preserve">11030</t>
  </si>
  <si>
    <t xml:space="preserve">EPM811006HH</t>
  </si>
  <si>
    <t xml:space="preserve">NEWREST CATERING MEXICO</t>
  </si>
  <si>
    <t xml:space="preserve">11031</t>
  </si>
  <si>
    <t xml:space="preserve">EPR160503QQ</t>
  </si>
  <si>
    <t xml:space="preserve">PROVEEDORA REM</t>
  </si>
  <si>
    <t xml:space="preserve">11032</t>
  </si>
  <si>
    <t xml:space="preserve">EPS230706UX</t>
  </si>
  <si>
    <t xml:space="preserve">EMLI PRODUCTOS Y SERVICIOS ELECTRICOS</t>
  </si>
  <si>
    <t xml:space="preserve">11033</t>
  </si>
  <si>
    <t xml:space="preserve">EPU9812212U</t>
  </si>
  <si>
    <t xml:space="preserve">CAPITAL NEWS</t>
  </si>
  <si>
    <t xml:space="preserve">11034</t>
  </si>
  <si>
    <t xml:space="preserve">ERE880516B4</t>
  </si>
  <si>
    <t xml:space="preserve">ELEVADORES DE LA REPUBLICA</t>
  </si>
  <si>
    <t xml:space="preserve">11035</t>
  </si>
  <si>
    <t xml:space="preserve">ESA191128G4</t>
  </si>
  <si>
    <t xml:space="preserve">ESAI</t>
  </si>
  <si>
    <t xml:space="preserve">11036</t>
  </si>
  <si>
    <t xml:space="preserve">ESA9402086U</t>
  </si>
  <si>
    <t xml:space="preserve">ESTEBAN SANCHEZ Y ASOCIADOS</t>
  </si>
  <si>
    <t xml:space="preserve">11037</t>
  </si>
  <si>
    <t xml:space="preserve">ESI180502TU</t>
  </si>
  <si>
    <t xml:space="preserve">EB SIETE</t>
  </si>
  <si>
    <t xml:space="preserve">11038</t>
  </si>
  <si>
    <t xml:space="preserve">ESP971110L7</t>
  </si>
  <si>
    <t xml:space="preserve">EULEN DE SEGURIDAD PRIVADA SA DE CV</t>
  </si>
  <si>
    <t xml:space="preserve">11039</t>
  </si>
  <si>
    <t xml:space="preserve">ETP2208223L</t>
  </si>
  <si>
    <t xml:space="preserve">ESQUEMAS TACTICOS DE PROMOCION</t>
  </si>
  <si>
    <t xml:space="preserve">11040</t>
  </si>
  <si>
    <t xml:space="preserve">EVD0911054N</t>
  </si>
  <si>
    <t xml:space="preserve">ENERGIA LIMPIA SALUDABLE</t>
  </si>
  <si>
    <t xml:space="preserve">11041</t>
  </si>
  <si>
    <t xml:space="preserve">EVN190625UL</t>
  </si>
  <si>
    <t xml:space="preserve">ENERGIA VERDE Y NEGOCIOS SUSTENTABLES</t>
  </si>
  <si>
    <t xml:space="preserve">11042</t>
  </si>
  <si>
    <t xml:space="preserve">EXC110204LI</t>
  </si>
  <si>
    <t xml:space="preserve">EXCELLING</t>
  </si>
  <si>
    <t xml:space="preserve">11043</t>
  </si>
  <si>
    <t xml:space="preserve">EXP1907115R</t>
  </si>
  <si>
    <t xml:space="preserve">EXPOMUSEO</t>
  </si>
  <si>
    <t xml:space="preserve">11044</t>
  </si>
  <si>
    <t xml:space="preserve">FBC170911N5</t>
  </si>
  <si>
    <t xml:space="preserve">FUNDADORES BEACH CLUB</t>
  </si>
  <si>
    <t xml:space="preserve">11045</t>
  </si>
  <si>
    <t xml:space="preserve">FBI220303UF</t>
  </si>
  <si>
    <t xml:space="preserve">FEHR BROS. INDUSTRIES</t>
  </si>
  <si>
    <t xml:space="preserve">11046</t>
  </si>
  <si>
    <t xml:space="preserve">FCO0310234W</t>
  </si>
  <si>
    <t xml:space="preserve">LA FERRE COMERCIALIZADORA SA DE CV</t>
  </si>
  <si>
    <t xml:space="preserve">11047</t>
  </si>
  <si>
    <t xml:space="preserve">FCO240904B3</t>
  </si>
  <si>
    <t xml:space="preserve">FRANQUICIAS COLMEX</t>
  </si>
  <si>
    <t xml:space="preserve">11048</t>
  </si>
  <si>
    <t xml:space="preserve">FDA130819JI</t>
  </si>
  <si>
    <t xml:space="preserve">FARMACOS DAROVI</t>
  </si>
  <si>
    <t xml:space="preserve">11049</t>
  </si>
  <si>
    <t xml:space="preserve">FDC740420AD</t>
  </si>
  <si>
    <t xml:space="preserve">FABRICA DE DULCES Y CHOCOLATES LA POBLANA</t>
  </si>
  <si>
    <t xml:space="preserve">11050</t>
  </si>
  <si>
    <t xml:space="preserve">FDM080626J3</t>
  </si>
  <si>
    <t xml:space="preserve">FORMEL D MEXICO</t>
  </si>
  <si>
    <t xml:space="preserve">11051</t>
  </si>
  <si>
    <t xml:space="preserve">FEFA8410086</t>
  </si>
  <si>
    <t xml:space="preserve">ALFONSO FERNANDEZ Y FERNANDEZ</t>
  </si>
  <si>
    <t xml:space="preserve">11052</t>
  </si>
  <si>
    <t xml:space="preserve">FERM860528U</t>
  </si>
  <si>
    <t xml:space="preserve">MAURICIO FERNANDEZ RODRIGUEZ</t>
  </si>
  <si>
    <t xml:space="preserve">11053</t>
  </si>
  <si>
    <t xml:space="preserve">FFX121005C6</t>
  </si>
  <si>
    <t xml:space="preserve">FIDEICOMISO F/1596</t>
  </si>
  <si>
    <t xml:space="preserve">11054</t>
  </si>
  <si>
    <t xml:space="preserve">FGM090130BW</t>
  </si>
  <si>
    <t xml:space="preserve">FUNDACION GRUPO MEXICO</t>
  </si>
  <si>
    <t xml:space="preserve">11055</t>
  </si>
  <si>
    <t xml:space="preserve">FHO121005EF</t>
  </si>
  <si>
    <t xml:space="preserve">FIBRA HOTELERA</t>
  </si>
  <si>
    <t xml:space="preserve">11056</t>
  </si>
  <si>
    <t xml:space="preserve">FHP061214GQ</t>
  </si>
  <si>
    <t xml:space="preserve">FERRETERIA Y HERRAMIENTAS PIZANO</t>
  </si>
  <si>
    <t xml:space="preserve">11057</t>
  </si>
  <si>
    <t xml:space="preserve">FIN210217CQ</t>
  </si>
  <si>
    <t xml:space="preserve">FULLMEX INDUSTRIAL</t>
  </si>
  <si>
    <t xml:space="preserve">11058</t>
  </si>
  <si>
    <t xml:space="preserve">FLP0908145M</t>
  </si>
  <si>
    <t xml:space="preserve">OVERHAUL RISK MANAGEMENT</t>
  </si>
  <si>
    <t xml:space="preserve">11059</t>
  </si>
  <si>
    <t xml:space="preserve">FME080110D6</t>
  </si>
  <si>
    <t xml:space="preserve">FORSAC MEXICO</t>
  </si>
  <si>
    <t xml:space="preserve">11060</t>
  </si>
  <si>
    <t xml:space="preserve">FME140425HB</t>
  </si>
  <si>
    <t xml:space="preserve">FLEX-TEC MEXICO</t>
  </si>
  <si>
    <t xml:space="preserve">11061</t>
  </si>
  <si>
    <t xml:space="preserve">FME160905EC</t>
  </si>
  <si>
    <t xml:space="preserve">FREEDOMPOP MEXICO</t>
  </si>
  <si>
    <t xml:space="preserve">11062</t>
  </si>
  <si>
    <t xml:space="preserve">FME870213IR</t>
  </si>
  <si>
    <t xml:space="preserve">FRUEHAUF DE MEXICO</t>
  </si>
  <si>
    <t xml:space="preserve">11063</t>
  </si>
  <si>
    <t xml:space="preserve">FNE0505111B</t>
  </si>
  <si>
    <t xml:space="preserve">PROYECTOS EN FINANZAS E INFORMATICA</t>
  </si>
  <si>
    <t xml:space="preserve">11064</t>
  </si>
  <si>
    <t xml:space="preserve">FNV050308T2</t>
  </si>
  <si>
    <t xml:space="preserve">FERRETERIA LA NUEVA VICTORIA DE RODEO</t>
  </si>
  <si>
    <t xml:space="preserve">11065</t>
  </si>
  <si>
    <t xml:space="preserve">FON120110S6</t>
  </si>
  <si>
    <t xml:space="preserve">FEDERACION OBRERA NACIONALISTA</t>
  </si>
  <si>
    <t xml:space="preserve">11066</t>
  </si>
  <si>
    <t xml:space="preserve">FOZT6906109</t>
  </si>
  <si>
    <t xml:space="preserve">TRINIDAD ALBERTO FLORES ZAMORA</t>
  </si>
  <si>
    <t xml:space="preserve">11067</t>
  </si>
  <si>
    <t xml:space="preserve">FPF170810F7</t>
  </si>
  <si>
    <t xml:space="preserve">FLORES Y PLANTAS LA FINCA</t>
  </si>
  <si>
    <t xml:space="preserve">11068</t>
  </si>
  <si>
    <t xml:space="preserve">FRU1410043E</t>
  </si>
  <si>
    <t xml:space="preserve">FRUNATURAL</t>
  </si>
  <si>
    <t xml:space="preserve">11069</t>
  </si>
  <si>
    <t xml:space="preserve">FSC230418V2</t>
  </si>
  <si>
    <t xml:space="preserve">FEMPA SERVICIOS DE COMIDA</t>
  </si>
  <si>
    <t xml:space="preserve">11070</t>
  </si>
  <si>
    <t xml:space="preserve">FSN9905126S</t>
  </si>
  <si>
    <t xml:space="preserve">FARMACIAS SIMI DEL NORTE</t>
  </si>
  <si>
    <t xml:space="preserve">11071</t>
  </si>
  <si>
    <t xml:space="preserve">FSP071205RT</t>
  </si>
  <si>
    <t xml:space="preserve">FIDES SEGURIDAD PRIVADA</t>
  </si>
  <si>
    <t xml:space="preserve">11072</t>
  </si>
  <si>
    <t xml:space="preserve">FSS190410R2</t>
  </si>
  <si>
    <t xml:space="preserve">FULL SERVICES SUPPLIER DEL CENTRO</t>
  </si>
  <si>
    <t xml:space="preserve">11073</t>
  </si>
  <si>
    <t xml:space="preserve">FTA200224M4</t>
  </si>
  <si>
    <t xml:space="preserve">HORIZON PORTS INTERNATIONAL</t>
  </si>
  <si>
    <t xml:space="preserve">11074</t>
  </si>
  <si>
    <t xml:space="preserve">FTM001025RS</t>
  </si>
  <si>
    <t xml:space="preserve">FINOS TEXTILES DE MEXICO</t>
  </si>
  <si>
    <t xml:space="preserve">11075</t>
  </si>
  <si>
    <t xml:space="preserve">FUCH820720Q</t>
  </si>
  <si>
    <t xml:space="preserve">HECTOR FUERTES CARDENAS</t>
  </si>
  <si>
    <t xml:space="preserve">11076</t>
  </si>
  <si>
    <t xml:space="preserve">FVM080813HW</t>
  </si>
  <si>
    <t xml:space="preserve">FIRST VIRTUAL MANAGEMENT MEXICO</t>
  </si>
  <si>
    <t xml:space="preserve">11077</t>
  </si>
  <si>
    <t xml:space="preserve">GAC1801238D</t>
  </si>
  <si>
    <t xml:space="preserve">GROSS ARQUITECTURA Y CONSTRUCCIONES</t>
  </si>
  <si>
    <t xml:space="preserve">11078</t>
  </si>
  <si>
    <t xml:space="preserve">GAI220216T4</t>
  </si>
  <si>
    <t xml:space="preserve">G7 ARQUITECTURA INDUSTRIAL</t>
  </si>
  <si>
    <t xml:space="preserve">11079</t>
  </si>
  <si>
    <t xml:space="preserve">GAL900207HI</t>
  </si>
  <si>
    <t xml:space="preserve">GALDISA</t>
  </si>
  <si>
    <t xml:space="preserve">11080</t>
  </si>
  <si>
    <t xml:space="preserve">GAM150506NR</t>
  </si>
  <si>
    <t xml:space="preserve">GEIGER AUTOMOTIVE DE MEXICO</t>
  </si>
  <si>
    <t xml:space="preserve">11081</t>
  </si>
  <si>
    <t xml:space="preserve">GAN030926UU</t>
  </si>
  <si>
    <t xml:space="preserve">GRUPO AUTOPISTAS NACIONALES</t>
  </si>
  <si>
    <t xml:space="preserve">11082</t>
  </si>
  <si>
    <t xml:space="preserve">GAQ0004123V</t>
  </si>
  <si>
    <t xml:space="preserve">GRUPO AVICOLA QUIÑONES</t>
  </si>
  <si>
    <t xml:space="preserve">11083</t>
  </si>
  <si>
    <t xml:space="preserve">GAR06042571</t>
  </si>
  <si>
    <t xml:space="preserve">GRUPO ANDAMIOS REGIOMONTANOS</t>
  </si>
  <si>
    <t xml:space="preserve">11084</t>
  </si>
  <si>
    <t xml:space="preserve">GARA781219C</t>
  </si>
  <si>
    <t xml:space="preserve">ANNEL ROSALIN GAMEZ REYES</t>
  </si>
  <si>
    <t xml:space="preserve">11085</t>
  </si>
  <si>
    <t xml:space="preserve">GAV1705026R</t>
  </si>
  <si>
    <t xml:space="preserve">GRUPO ADMINISTRADOR VETOCAM</t>
  </si>
  <si>
    <t xml:space="preserve">11086</t>
  </si>
  <si>
    <t xml:space="preserve">GBC1802231Y</t>
  </si>
  <si>
    <t xml:space="preserve">GRUPO BLACK CLINICAS</t>
  </si>
  <si>
    <t xml:space="preserve">11087</t>
  </si>
  <si>
    <t xml:space="preserve">GCA100623EZ</t>
  </si>
  <si>
    <t xml:space="preserve">GRUPO CONSTRUCTOR AQUILES</t>
  </si>
  <si>
    <t xml:space="preserve">11088</t>
  </si>
  <si>
    <t xml:space="preserve">GCA6601031M</t>
  </si>
  <si>
    <t xml:space="preserve">GRUPO COMERCIAL ATLAS</t>
  </si>
  <si>
    <t xml:space="preserve">11089</t>
  </si>
  <si>
    <t xml:space="preserve">GCC190809ST</t>
  </si>
  <si>
    <t xml:space="preserve">GULF COAST CITRUS SPR DE RL DE CV</t>
  </si>
  <si>
    <t xml:space="preserve">11090</t>
  </si>
  <si>
    <t xml:space="preserve">GCF190629HX</t>
  </si>
  <si>
    <t xml:space="preserve">GRUPO COMERCIAL FERZATE SA DE CV</t>
  </si>
  <si>
    <t xml:space="preserve">11091</t>
  </si>
  <si>
    <t xml:space="preserve">GCF24082172</t>
  </si>
  <si>
    <t xml:space="preserve">GALI CENTRO DE FISIOTERAPIA INTEGRAL</t>
  </si>
  <si>
    <t xml:space="preserve">11092</t>
  </si>
  <si>
    <t xml:space="preserve">GCM92062996</t>
  </si>
  <si>
    <t xml:space="preserve">GRUPO CONVERSE DE MEXICO</t>
  </si>
  <si>
    <t xml:space="preserve">11093</t>
  </si>
  <si>
    <t xml:space="preserve">GCO920608K5</t>
  </si>
  <si>
    <t xml:space="preserve">GIOVANNI'S COLIMA</t>
  </si>
  <si>
    <t xml:space="preserve">11094</t>
  </si>
  <si>
    <t xml:space="preserve">GCP831026IG</t>
  </si>
  <si>
    <t xml:space="preserve">GRAN CAFE DE LA PARROQUIA DE VERACRUZ</t>
  </si>
  <si>
    <t xml:space="preserve">11095</t>
  </si>
  <si>
    <t xml:space="preserve">GCS2203302H</t>
  </si>
  <si>
    <t xml:space="preserve">GRUPO CARNES SUPREMAS ROSARITO</t>
  </si>
  <si>
    <t xml:space="preserve">11096</t>
  </si>
  <si>
    <t xml:space="preserve">GCX1907022T</t>
  </si>
  <si>
    <t xml:space="preserve">GOVA CH</t>
  </si>
  <si>
    <t xml:space="preserve">11097</t>
  </si>
  <si>
    <t xml:space="preserve">GDF9712054N</t>
  </si>
  <si>
    <t xml:space="preserve">GOBIERNO DE LA CIUDAD DE MEXICO</t>
  </si>
  <si>
    <t xml:space="preserve">11098</t>
  </si>
  <si>
    <t xml:space="preserve">GDI250521SY</t>
  </si>
  <si>
    <t xml:space="preserve">GRANJA DIVERTIDA</t>
  </si>
  <si>
    <t xml:space="preserve">11099</t>
  </si>
  <si>
    <t xml:space="preserve">GEA13052369</t>
  </si>
  <si>
    <t xml:space="preserve">GRUPO EMPRESARIAL ARAN</t>
  </si>
  <si>
    <t xml:space="preserve">11100</t>
  </si>
  <si>
    <t xml:space="preserve">GEAM6308051</t>
  </si>
  <si>
    <t xml:space="preserve">MARIO ULISES GENIS AGUIRRE</t>
  </si>
  <si>
    <t xml:space="preserve">11101</t>
  </si>
  <si>
    <t xml:space="preserve">GED62010165</t>
  </si>
  <si>
    <t xml:space="preserve">GOBIERNO DEL ESTADO DE DURANGO</t>
  </si>
  <si>
    <t xml:space="preserve">11102</t>
  </si>
  <si>
    <t xml:space="preserve">GEM070226K5</t>
  </si>
  <si>
    <t xml:space="preserve">SIEMENS GESA RENEWABLE ENERGY</t>
  </si>
  <si>
    <t xml:space="preserve">11103</t>
  </si>
  <si>
    <t xml:space="preserve">GEM991008NQ</t>
  </si>
  <si>
    <t xml:space="preserve">GRUPO DE ESTUDIOS MEDICOS Y FAMILIARES CARRACI</t>
  </si>
  <si>
    <t xml:space="preserve">11104</t>
  </si>
  <si>
    <t xml:space="preserve">GEP220315C2</t>
  </si>
  <si>
    <t xml:space="preserve">GRUPO EPOL</t>
  </si>
  <si>
    <t xml:space="preserve">11105</t>
  </si>
  <si>
    <t xml:space="preserve">GEP990519SW</t>
  </si>
  <si>
    <t xml:space="preserve">GRUPO EMPRESARIAL LA PIRAMIDE</t>
  </si>
  <si>
    <t xml:space="preserve">11106</t>
  </si>
  <si>
    <t xml:space="preserve">GEV1304128D</t>
  </si>
  <si>
    <t xml:space="preserve">GEVILLA</t>
  </si>
  <si>
    <t xml:space="preserve">11107</t>
  </si>
  <si>
    <t xml:space="preserve">GFA151022KI</t>
  </si>
  <si>
    <t xml:space="preserve">GO FARMACIAS</t>
  </si>
  <si>
    <t xml:space="preserve">11108</t>
  </si>
  <si>
    <t xml:space="preserve">GFE940613MZ</t>
  </si>
  <si>
    <t xml:space="preserve">GRUPO FERTINAL</t>
  </si>
  <si>
    <t xml:space="preserve">11109</t>
  </si>
  <si>
    <t xml:space="preserve">GFS230216MD</t>
  </si>
  <si>
    <t xml:space="preserve">GRUPO FERROCARRILERO DEL SURESTE</t>
  </si>
  <si>
    <t xml:space="preserve">11110</t>
  </si>
  <si>
    <t xml:space="preserve">GGA081113CX</t>
  </si>
  <si>
    <t xml:space="preserve">GRUPO GRAFICO ALBANS</t>
  </si>
  <si>
    <t xml:space="preserve">11111</t>
  </si>
  <si>
    <t xml:space="preserve">GGA260209NI</t>
  </si>
  <si>
    <t xml:space="preserve">GRUPO GRIEGA AB</t>
  </si>
  <si>
    <t xml:space="preserve">11112</t>
  </si>
  <si>
    <t xml:space="preserve">GHE070816PH</t>
  </si>
  <si>
    <t xml:space="preserve">GRUPO HELARTE</t>
  </si>
  <si>
    <t xml:space="preserve">11113</t>
  </si>
  <si>
    <t xml:space="preserve">GHE120517DE</t>
  </si>
  <si>
    <t xml:space="preserve">GRUPO HETAAR</t>
  </si>
  <si>
    <t xml:space="preserve">11114</t>
  </si>
  <si>
    <t xml:space="preserve">GHS140513T1</t>
  </si>
  <si>
    <t xml:space="preserve">GRUPO HOTELERO SAMAR</t>
  </si>
  <si>
    <t xml:space="preserve">11115</t>
  </si>
  <si>
    <t xml:space="preserve">GIB110909CH</t>
  </si>
  <si>
    <t xml:space="preserve">GRUAS INDUSTRIALES DEL BAJIO</t>
  </si>
  <si>
    <t xml:space="preserve">11116</t>
  </si>
  <si>
    <t xml:space="preserve">GIBG7706035</t>
  </si>
  <si>
    <t xml:space="preserve">GUILLERMO OMAR GIM BURRUEL</t>
  </si>
  <si>
    <t xml:space="preserve">11117</t>
  </si>
  <si>
    <t xml:space="preserve">GIJ090507R2</t>
  </si>
  <si>
    <t xml:space="preserve">GRUPO INDUSTRIAL JAPA</t>
  </si>
  <si>
    <t xml:space="preserve">11118</t>
  </si>
  <si>
    <t xml:space="preserve">GJU88062311</t>
  </si>
  <si>
    <t xml:space="preserve">GRUPO JULIO</t>
  </si>
  <si>
    <t xml:space="preserve">11119</t>
  </si>
  <si>
    <t xml:space="preserve">GKA081001HL</t>
  </si>
  <si>
    <t xml:space="preserve">GRUPO KARUNA</t>
  </si>
  <si>
    <t xml:space="preserve">11120</t>
  </si>
  <si>
    <t xml:space="preserve">GLE160418R8</t>
  </si>
  <si>
    <t xml:space="preserve">GRUPO LEDCORP</t>
  </si>
  <si>
    <t xml:space="preserve">11121</t>
  </si>
  <si>
    <t xml:space="preserve">GMA030829NK</t>
  </si>
  <si>
    <t xml:space="preserve">GRUPO MAJOSA</t>
  </si>
  <si>
    <t xml:space="preserve">11122</t>
  </si>
  <si>
    <t xml:space="preserve">GMA080722JY</t>
  </si>
  <si>
    <t xml:space="preserve">GRUPO MAPUCHE</t>
  </si>
  <si>
    <t xml:space="preserve">11123</t>
  </si>
  <si>
    <t xml:space="preserve">GME100608GW</t>
  </si>
  <si>
    <t xml:space="preserve">GUNNEBO MEXICO</t>
  </si>
  <si>
    <t xml:space="preserve">11124</t>
  </si>
  <si>
    <t xml:space="preserve">GMO1712205T</t>
  </si>
  <si>
    <t xml:space="preserve">GRUPO MODS</t>
  </si>
  <si>
    <t xml:space="preserve">11125</t>
  </si>
  <si>
    <t xml:space="preserve">GNC000721CH</t>
  </si>
  <si>
    <t xml:space="preserve">GRUPO NACIONAL COLCHONERO</t>
  </si>
  <si>
    <t xml:space="preserve">11126</t>
  </si>
  <si>
    <t xml:space="preserve">GNE21082028</t>
  </si>
  <si>
    <t xml:space="preserve">GRUPO NEEF</t>
  </si>
  <si>
    <t xml:space="preserve">11127</t>
  </si>
  <si>
    <t xml:space="preserve">GOC920528FI</t>
  </si>
  <si>
    <t xml:space="preserve">GRUPO OCCIDENTE</t>
  </si>
  <si>
    <t xml:space="preserve">11128</t>
  </si>
  <si>
    <t xml:space="preserve">GOHS880823L</t>
  </si>
  <si>
    <t xml:space="preserve">JOSE SANTIAGO GONZALEZ HERNANDEZ</t>
  </si>
  <si>
    <t xml:space="preserve">11129</t>
  </si>
  <si>
    <t xml:space="preserve">GOSA4905292</t>
  </si>
  <si>
    <t xml:space="preserve">ARACELI MAGDALENA GONZALEZ SANCHEZ</t>
  </si>
  <si>
    <t xml:space="preserve">11130</t>
  </si>
  <si>
    <t xml:space="preserve">GOZG680921E</t>
  </si>
  <si>
    <t xml:space="preserve">GUADALUPE GONZALEZ ZAMARRIPA</t>
  </si>
  <si>
    <t xml:space="preserve">11131</t>
  </si>
  <si>
    <t xml:space="preserve">GPM05050998</t>
  </si>
  <si>
    <t xml:space="preserve">GW PLASTICS MEXICANA</t>
  </si>
  <si>
    <t xml:space="preserve">11132</t>
  </si>
  <si>
    <t xml:space="preserve">GRB140814TJ</t>
  </si>
  <si>
    <t xml:space="preserve">GLIDER RIO BRAVO</t>
  </si>
  <si>
    <t xml:space="preserve">11133</t>
  </si>
  <si>
    <t xml:space="preserve">GRC981221UE</t>
  </si>
  <si>
    <t xml:space="preserve">GRUPO RADIODIFUSORAS CAPITAL</t>
  </si>
  <si>
    <t xml:space="preserve">11134</t>
  </si>
  <si>
    <t xml:space="preserve">GRO200211TK</t>
  </si>
  <si>
    <t xml:space="preserve">GRUPO ROKKINA</t>
  </si>
  <si>
    <t xml:space="preserve">11135</t>
  </si>
  <si>
    <t xml:space="preserve">GSI091216BL</t>
  </si>
  <si>
    <t xml:space="preserve">GRUPO SABER INTEGRARSE</t>
  </si>
  <si>
    <t xml:space="preserve">11136</t>
  </si>
  <si>
    <t xml:space="preserve">GSO060706CM</t>
  </si>
  <si>
    <t xml:space="preserve">GLORY GLOBAL SOLUTIONS MEXICO</t>
  </si>
  <si>
    <t xml:space="preserve">11137</t>
  </si>
  <si>
    <t xml:space="preserve">GSY110601FD</t>
  </si>
  <si>
    <t xml:space="preserve">GENESIS SYSTEMS GROUP MEXICO</t>
  </si>
  <si>
    <t xml:space="preserve">11138</t>
  </si>
  <si>
    <t xml:space="preserve">GTC1701097U</t>
  </si>
  <si>
    <t xml:space="preserve">GTC TERMO CONTROL</t>
  </si>
  <si>
    <t xml:space="preserve">11139</t>
  </si>
  <si>
    <t xml:space="preserve">GTM141020JF</t>
  </si>
  <si>
    <t xml:space="preserve">GO TRADE MX</t>
  </si>
  <si>
    <t xml:space="preserve">11140</t>
  </si>
  <si>
    <t xml:space="preserve">GVA160609IL</t>
  </si>
  <si>
    <t xml:space="preserve">GRUPO VASKRS</t>
  </si>
  <si>
    <t xml:space="preserve">11141</t>
  </si>
  <si>
    <t xml:space="preserve">GVI020418JI</t>
  </si>
  <si>
    <t xml:space="preserve">GEISHA LA VILLA</t>
  </si>
  <si>
    <t xml:space="preserve">11142</t>
  </si>
  <si>
    <t xml:space="preserve">GVU220311CD</t>
  </si>
  <si>
    <t xml:space="preserve">GRUPO VB UNO</t>
  </si>
  <si>
    <t xml:space="preserve">11143</t>
  </si>
  <si>
    <t xml:space="preserve">HAL161209L8</t>
  </si>
  <si>
    <t xml:space="preserve">HORIZON AUTO LOGISTICS</t>
  </si>
  <si>
    <t xml:space="preserve">11144</t>
  </si>
  <si>
    <t xml:space="preserve">HBO010504MM</t>
  </si>
  <si>
    <t xml:space="preserve">HOTELERIA BOGAVANTE</t>
  </si>
  <si>
    <t xml:space="preserve">11145</t>
  </si>
  <si>
    <t xml:space="preserve">HCV071129NI</t>
  </si>
  <si>
    <t xml:space="preserve">HUVICA COMERCIALIZADORA VETERINARIA SA DE CV</t>
  </si>
  <si>
    <t xml:space="preserve">11146</t>
  </si>
  <si>
    <t xml:space="preserve">HEB230509UV</t>
  </si>
  <si>
    <t xml:space="preserve">HOC EST BONUM</t>
  </si>
  <si>
    <t xml:space="preserve">11147</t>
  </si>
  <si>
    <t xml:space="preserve">HER800206R9</t>
  </si>
  <si>
    <t xml:space="preserve">HERMOS</t>
  </si>
  <si>
    <t xml:space="preserve">11148</t>
  </si>
  <si>
    <t xml:space="preserve">HESE6103164</t>
  </si>
  <si>
    <t xml:space="preserve">MARIA EUGENIA HERNANDEZ SANCHEZ</t>
  </si>
  <si>
    <t xml:space="preserve">11149</t>
  </si>
  <si>
    <t xml:space="preserve">HGC05080958</t>
  </si>
  <si>
    <t xml:space="preserve">HOTELES GRAN CLASE</t>
  </si>
  <si>
    <t xml:space="preserve">11150</t>
  </si>
  <si>
    <t xml:space="preserve">HMB210803PA</t>
  </si>
  <si>
    <t xml:space="preserve">HAATHOR MARKETING BTL MX</t>
  </si>
  <si>
    <t xml:space="preserve">11151</t>
  </si>
  <si>
    <t xml:space="preserve">HME170801CS</t>
  </si>
  <si>
    <t xml:space="preserve">H52 MEXICO</t>
  </si>
  <si>
    <t xml:space="preserve">11152</t>
  </si>
  <si>
    <t xml:space="preserve">HMS2409264R</t>
  </si>
  <si>
    <t xml:space="preserve">HORIZON MOBILITY SOLUTIONS</t>
  </si>
  <si>
    <t xml:space="preserve">11153</t>
  </si>
  <si>
    <t xml:space="preserve">HNE210521RW</t>
  </si>
  <si>
    <t xml:space="preserve">HOTEL NEREA</t>
  </si>
  <si>
    <t xml:space="preserve">11154</t>
  </si>
  <si>
    <t xml:space="preserve">HSA111215BG</t>
  </si>
  <si>
    <t xml:space="preserve">HOSPITAL SOLUTIONS &amp; MEDICAL EQUIPMENT OF CENTER</t>
  </si>
  <si>
    <t xml:space="preserve">11155</t>
  </si>
  <si>
    <t xml:space="preserve">HSB180809UD</t>
  </si>
  <si>
    <t xml:space="preserve">HOTELERIA SUSTENTABLE BACALAR</t>
  </si>
  <si>
    <t xml:space="preserve">11156</t>
  </si>
  <si>
    <t xml:space="preserve">HSC210906HK</t>
  </si>
  <si>
    <t xml:space="preserve">HAICO SOLUCIONES EN CONCRETO</t>
  </si>
  <si>
    <t xml:space="preserve">11157</t>
  </si>
  <si>
    <t xml:space="preserve">HTR1511103A</t>
  </si>
  <si>
    <t xml:space="preserve">HARI TRADING</t>
  </si>
  <si>
    <t xml:space="preserve">11158</t>
  </si>
  <si>
    <t xml:space="preserve">HTS920320HJ</t>
  </si>
  <si>
    <t xml:space="preserve">HIGH TECH SERVICES</t>
  </si>
  <si>
    <t xml:space="preserve">11159</t>
  </si>
  <si>
    <t xml:space="preserve">HUC21101387</t>
  </si>
  <si>
    <t xml:space="preserve">HAICO URBANIZACION Y CONSTRUCCION</t>
  </si>
  <si>
    <t xml:space="preserve">11160</t>
  </si>
  <si>
    <t xml:space="preserve">HUGA6603043</t>
  </si>
  <si>
    <t xml:space="preserve">ANTONIO HUERTA GARZA</t>
  </si>
  <si>
    <t xml:space="preserve">11161</t>
  </si>
  <si>
    <t xml:space="preserve">HUMR810123G</t>
  </si>
  <si>
    <t xml:space="preserve">ROBERTO HURTADO MIRANDA</t>
  </si>
  <si>
    <t xml:space="preserve">11162</t>
  </si>
  <si>
    <t xml:space="preserve">HVC000703KQ</t>
  </si>
  <si>
    <t xml:space="preserve">HIDALGO VIGUERAS CONSULTORES</t>
  </si>
  <si>
    <t xml:space="preserve">11163</t>
  </si>
  <si>
    <t xml:space="preserve">IAG2001242Y</t>
  </si>
  <si>
    <t xml:space="preserve">IMPORTADORA AGO</t>
  </si>
  <si>
    <t xml:space="preserve">11164</t>
  </si>
  <si>
    <t xml:space="preserve">IAM25032786</t>
  </si>
  <si>
    <t xml:space="preserve">INSTALACIONES AMBIARK</t>
  </si>
  <si>
    <t xml:space="preserve">11165</t>
  </si>
  <si>
    <t xml:space="preserve">IAM990323PL</t>
  </si>
  <si>
    <t xml:space="preserve">IPI-ASAC MEXICO</t>
  </si>
  <si>
    <t xml:space="preserve">11166</t>
  </si>
  <si>
    <t xml:space="preserve">IAT1512029C</t>
  </si>
  <si>
    <t xml:space="preserve">INGENIEROS Y ARQUITECTOS DE TOLUCA</t>
  </si>
  <si>
    <t xml:space="preserve">11167</t>
  </si>
  <si>
    <t xml:space="preserve">IBE1209273V</t>
  </si>
  <si>
    <t xml:space="preserve">IBERDESPENSA</t>
  </si>
  <si>
    <t xml:space="preserve">11168</t>
  </si>
  <si>
    <t xml:space="preserve">IBT160125D8</t>
  </si>
  <si>
    <t xml:space="preserve">IMPORTACIONES BTI</t>
  </si>
  <si>
    <t xml:space="preserve">11169</t>
  </si>
  <si>
    <t xml:space="preserve">ICA230127AT</t>
  </si>
  <si>
    <t xml:space="preserve">IME CANCUN</t>
  </si>
  <si>
    <t xml:space="preserve">11170</t>
  </si>
  <si>
    <t xml:space="preserve">ICB920121V5</t>
  </si>
  <si>
    <t xml:space="preserve">IMPULSORA DE COMERCIO BUGAMBILIAS</t>
  </si>
  <si>
    <t xml:space="preserve">11171</t>
  </si>
  <si>
    <t xml:space="preserve">ICO080714BZ</t>
  </si>
  <si>
    <t xml:space="preserve">INGENIERIA PARA CONCRETO</t>
  </si>
  <si>
    <t xml:space="preserve">11172</t>
  </si>
  <si>
    <t xml:space="preserve">IDA830801QT</t>
  </si>
  <si>
    <t xml:space="preserve">INSTITUTO PARA EL DESARROLLO Y ACTUALIZACION DE PROFESIONALES</t>
  </si>
  <si>
    <t xml:space="preserve">11173</t>
  </si>
  <si>
    <t xml:space="preserve">IDI930119FX</t>
  </si>
  <si>
    <t xml:space="preserve">IMPULSORA DE DESARROLLO INTEGRAL</t>
  </si>
  <si>
    <t xml:space="preserve">11174</t>
  </si>
  <si>
    <t xml:space="preserve">IES020111TD</t>
  </si>
  <si>
    <t xml:space="preserve">SOCIEDAD INDUSTRIAL EQUIPOS Y SERVICIOS</t>
  </si>
  <si>
    <t xml:space="preserve">11175</t>
  </si>
  <si>
    <t xml:space="preserve">IET23061925</t>
  </si>
  <si>
    <t xml:space="preserve">INDUSTRIA ECOLOGICA TA</t>
  </si>
  <si>
    <t xml:space="preserve">11176</t>
  </si>
  <si>
    <t xml:space="preserve">IGE03042816</t>
  </si>
  <si>
    <t xml:space="preserve">INGENIERIA GRUPO EMPRESARIAL ACTUAL</t>
  </si>
  <si>
    <t xml:space="preserve">11177</t>
  </si>
  <si>
    <t xml:space="preserve">IGE140522LA</t>
  </si>
  <si>
    <t xml:space="preserve">THE IGENCY</t>
  </si>
  <si>
    <t xml:space="preserve">11178</t>
  </si>
  <si>
    <t xml:space="preserve">IHO020124IT</t>
  </si>
  <si>
    <t xml:space="preserve">IRKON HOLDINGS</t>
  </si>
  <si>
    <t xml:space="preserve">11179</t>
  </si>
  <si>
    <t xml:space="preserve">IIC0711117X</t>
  </si>
  <si>
    <t xml:space="preserve">INTEGRA INGENIERIA Y CONSULTORIA</t>
  </si>
  <si>
    <t xml:space="preserve">11180</t>
  </si>
  <si>
    <t xml:space="preserve">IME910214GD</t>
  </si>
  <si>
    <t xml:space="preserve">ENTIA DE MEXICO</t>
  </si>
  <si>
    <t xml:space="preserve">11181</t>
  </si>
  <si>
    <t xml:space="preserve">IMP170815LW</t>
  </si>
  <si>
    <t xml:space="preserve">INTELIGENCIA MEDIDAS DE PROTECCION ESPECIALIZADA</t>
  </si>
  <si>
    <t xml:space="preserve">11182</t>
  </si>
  <si>
    <t xml:space="preserve">IMU180730UM</t>
  </si>
  <si>
    <t xml:space="preserve">IBAHUS MUNDO</t>
  </si>
  <si>
    <t xml:space="preserve">11183</t>
  </si>
  <si>
    <t xml:space="preserve">ING0812159J</t>
  </si>
  <si>
    <t xml:space="preserve">INGREDITECH</t>
  </si>
  <si>
    <t xml:space="preserve">11184</t>
  </si>
  <si>
    <t xml:space="preserve">INN990212RE</t>
  </si>
  <si>
    <t xml:space="preserve">INNOVAGRO</t>
  </si>
  <si>
    <t xml:space="preserve">11185</t>
  </si>
  <si>
    <t xml:space="preserve">INT1008317A</t>
  </si>
  <si>
    <t xml:space="preserve">INTELIGYM</t>
  </si>
  <si>
    <t xml:space="preserve">11186</t>
  </si>
  <si>
    <t xml:space="preserve">IPF1905315U</t>
  </si>
  <si>
    <t xml:space="preserve">INGENIERIA Y PROYECTOS FEZMAR</t>
  </si>
  <si>
    <t xml:space="preserve">11187</t>
  </si>
  <si>
    <t xml:space="preserve">IPG970717QU</t>
  </si>
  <si>
    <t xml:space="preserve">ABSORMEX CMPC TISSUE</t>
  </si>
  <si>
    <t xml:space="preserve">11188</t>
  </si>
  <si>
    <t xml:space="preserve">IPI041105GZ</t>
  </si>
  <si>
    <t xml:space="preserve">INTER PLAS INDUSTRIES</t>
  </si>
  <si>
    <t xml:space="preserve">11189</t>
  </si>
  <si>
    <t xml:space="preserve">IPS130906GZ</t>
  </si>
  <si>
    <t xml:space="preserve">INTEGRITY PROTECTION SERVICES</t>
  </si>
  <si>
    <t xml:space="preserve">11190</t>
  </si>
  <si>
    <t xml:space="preserve">IRP1305276I</t>
  </si>
  <si>
    <t xml:space="preserve">ISIPLAST RECICLADORA DE PLASTICOS Y DESPERDICIOS INDUSTRIALES</t>
  </si>
  <si>
    <t xml:space="preserve">11191</t>
  </si>
  <si>
    <t xml:space="preserve">ISN120116HF</t>
  </si>
  <si>
    <t xml:space="preserve">IDEALEASE NORESTE</t>
  </si>
  <si>
    <t xml:space="preserve">11192</t>
  </si>
  <si>
    <t xml:space="preserve">ITM100309S9</t>
  </si>
  <si>
    <t xml:space="preserve">INSTALACIONES DE TELECOMUNICACIONES DE MEXICO</t>
  </si>
  <si>
    <t xml:space="preserve">11193</t>
  </si>
  <si>
    <t xml:space="preserve">ITS9508157M</t>
  </si>
  <si>
    <t xml:space="preserve">INSTITUTO TECNOLOGICO SUPERIOR DE ZACAPOAXTLA</t>
  </si>
  <si>
    <t xml:space="preserve">11194</t>
  </si>
  <si>
    <t xml:space="preserve">ITX2009088V</t>
  </si>
  <si>
    <t xml:space="preserve">INGENIERIA T4</t>
  </si>
  <si>
    <t xml:space="preserve">11195</t>
  </si>
  <si>
    <t xml:space="preserve">JAL220726G3</t>
  </si>
  <si>
    <t xml:space="preserve">JASSEGO ALIMENTOS</t>
  </si>
  <si>
    <t xml:space="preserve">11196</t>
  </si>
  <si>
    <t xml:space="preserve">JAM121130BI</t>
  </si>
  <si>
    <t xml:space="preserve">JCU AMERICA SA DE CV</t>
  </si>
  <si>
    <t xml:space="preserve">11197</t>
  </si>
  <si>
    <t xml:space="preserve">JARB880122R</t>
  </si>
  <si>
    <t xml:space="preserve">BLANCA LIDIA JAIMES RAMIREZ</t>
  </si>
  <si>
    <t xml:space="preserve">11198</t>
  </si>
  <si>
    <t xml:space="preserve">JAV14112059</t>
  </si>
  <si>
    <t xml:space="preserve">JUF ACTIVANDO VALORES</t>
  </si>
  <si>
    <t xml:space="preserve">11199</t>
  </si>
  <si>
    <t xml:space="preserve">JAZ210918JJ</t>
  </si>
  <si>
    <t xml:space="preserve">JUIA ANCHUKUARINHIRI ZUM ZUM</t>
  </si>
  <si>
    <t xml:space="preserve">11200</t>
  </si>
  <si>
    <t xml:space="preserve">JEC190918RM</t>
  </si>
  <si>
    <t xml:space="preserve">JUST MI ESTUDIO CREATIVO</t>
  </si>
  <si>
    <t xml:space="preserve">11201</t>
  </si>
  <si>
    <t xml:space="preserve">JNO120717PT</t>
  </si>
  <si>
    <t xml:space="preserve">JOYAS NOBLES</t>
  </si>
  <si>
    <t xml:space="preserve">11202</t>
  </si>
  <si>
    <t xml:space="preserve">JSI1902017G</t>
  </si>
  <si>
    <t xml:space="preserve">JMN SOLUCIONES INTEGRALES</t>
  </si>
  <si>
    <t xml:space="preserve">11203</t>
  </si>
  <si>
    <t xml:space="preserve">JSP19022039</t>
  </si>
  <si>
    <t xml:space="preserve">JLM SERVICIOS PROFESIONALES INTEGRALES</t>
  </si>
  <si>
    <t xml:space="preserve">11204</t>
  </si>
  <si>
    <t xml:space="preserve">JTR211108FT</t>
  </si>
  <si>
    <t xml:space="preserve">JAVILU TRANSPORTES</t>
  </si>
  <si>
    <t xml:space="preserve">11205</t>
  </si>
  <si>
    <t xml:space="preserve">KLA140509S3</t>
  </si>
  <si>
    <t xml:space="preserve">KLIP LAB</t>
  </si>
  <si>
    <t xml:space="preserve">11206</t>
  </si>
  <si>
    <t xml:space="preserve">KSC2112133U</t>
  </si>
  <si>
    <t xml:space="preserve">KINO SONORA CORP</t>
  </si>
  <si>
    <t xml:space="preserve">11207</t>
  </si>
  <si>
    <t xml:space="preserve">KWM961218CI</t>
  </si>
  <si>
    <t xml:space="preserve">KYSOR/WARREN DE MEXICO S DE RL DE CV</t>
  </si>
  <si>
    <t xml:space="preserve">11208</t>
  </si>
  <si>
    <t xml:space="preserve">LAHA880424F</t>
  </si>
  <si>
    <t xml:space="preserve">ALEJANDRA LARA HERNANDEZ</t>
  </si>
  <si>
    <t xml:space="preserve">11209</t>
  </si>
  <si>
    <t xml:space="preserve">LAP9408085S</t>
  </si>
  <si>
    <t xml:space="preserve">LAPI</t>
  </si>
  <si>
    <t xml:space="preserve">11210</t>
  </si>
  <si>
    <t xml:space="preserve">LBE0612146M</t>
  </si>
  <si>
    <t xml:space="preserve">LATIN BELL</t>
  </si>
  <si>
    <t xml:space="preserve">11211</t>
  </si>
  <si>
    <t xml:space="preserve">LBG211011SX</t>
  </si>
  <si>
    <t xml:space="preserve">LUXURY BUILDING GROUP</t>
  </si>
  <si>
    <t xml:space="preserve">11212</t>
  </si>
  <si>
    <t xml:space="preserve">LBR101026PQ</t>
  </si>
  <si>
    <t xml:space="preserve">LATAM BEAUTY RESEARCH</t>
  </si>
  <si>
    <t xml:space="preserve">11213</t>
  </si>
  <si>
    <t xml:space="preserve">LCA180419LY</t>
  </si>
  <si>
    <t xml:space="preserve">LIPSA DEL CARIBE</t>
  </si>
  <si>
    <t xml:space="preserve">11214</t>
  </si>
  <si>
    <t xml:space="preserve">LDS77032466</t>
  </si>
  <si>
    <t xml:space="preserve">LIMPIEZA DOMESTICA SISTEMATIZADA KLIIN</t>
  </si>
  <si>
    <t xml:space="preserve">11215</t>
  </si>
  <si>
    <t xml:space="preserve">LEGM851017N</t>
  </si>
  <si>
    <t xml:space="preserve">MYRIAM JANETT LEAL GARZA</t>
  </si>
  <si>
    <t xml:space="preserve">11216</t>
  </si>
  <si>
    <t xml:space="preserve">LESJ660819I</t>
  </si>
  <si>
    <t xml:space="preserve">JORGE LEAL SEGOVIA</t>
  </si>
  <si>
    <t xml:space="preserve">11217</t>
  </si>
  <si>
    <t xml:space="preserve">LET0701237N</t>
  </si>
  <si>
    <t xml:space="preserve">LETZEL</t>
  </si>
  <si>
    <t xml:space="preserve">11218</t>
  </si>
  <si>
    <t xml:space="preserve">LIRN930621I</t>
  </si>
  <si>
    <t xml:space="preserve">NANCY ALEJANDRA LIZAMA RODRIGUEZ</t>
  </si>
  <si>
    <t xml:space="preserve">11219</t>
  </si>
  <si>
    <t xml:space="preserve">LIS190515FY</t>
  </si>
  <si>
    <t xml:space="preserve">STEEL TEK SOLUCIONES EN ACERO</t>
  </si>
  <si>
    <t xml:space="preserve">11220</t>
  </si>
  <si>
    <t xml:space="preserve">LLO10062451</t>
  </si>
  <si>
    <t xml:space="preserve">LATAM LOGISTICS</t>
  </si>
  <si>
    <t xml:space="preserve">11221</t>
  </si>
  <si>
    <t xml:space="preserve">LMA231027N3</t>
  </si>
  <si>
    <t xml:space="preserve">LINESHOP MARKET</t>
  </si>
  <si>
    <t xml:space="preserve">11222</t>
  </si>
  <si>
    <t xml:space="preserve">LME030408LS</t>
  </si>
  <si>
    <t xml:space="preserve">LO MEJOR EN ELECTRONICA</t>
  </si>
  <si>
    <t xml:space="preserve">11223</t>
  </si>
  <si>
    <t xml:space="preserve">LME1012172J</t>
  </si>
  <si>
    <t xml:space="preserve">LATINA MEXICO</t>
  </si>
  <si>
    <t xml:space="preserve">11224</t>
  </si>
  <si>
    <t xml:space="preserve">LNE181017TS</t>
  </si>
  <si>
    <t xml:space="preserve">VALTIERRA CERAMICA</t>
  </si>
  <si>
    <t xml:space="preserve">11225</t>
  </si>
  <si>
    <t xml:space="preserve">LOG100208GX</t>
  </si>
  <si>
    <t xml:space="preserve">LOGICAMEX</t>
  </si>
  <si>
    <t xml:space="preserve">11226</t>
  </si>
  <si>
    <t xml:space="preserve">LOS031002EM</t>
  </si>
  <si>
    <t xml:space="preserve">LOSEN</t>
  </si>
  <si>
    <t xml:space="preserve">11227</t>
  </si>
  <si>
    <t xml:space="preserve">LSM020731CZ</t>
  </si>
  <si>
    <t xml:space="preserve">LEE SPRING DE MEXICO</t>
  </si>
  <si>
    <t xml:space="preserve">11228</t>
  </si>
  <si>
    <t xml:space="preserve">LTS2201179A</t>
  </si>
  <si>
    <t xml:space="preserve">LC TECNOLOGIA Y SERVICIOS</t>
  </si>
  <si>
    <t xml:space="preserve">11229</t>
  </si>
  <si>
    <t xml:space="preserve">LUP200129LR</t>
  </si>
  <si>
    <t xml:space="preserve">LAIKA UNIVERSO PELUDO</t>
  </si>
  <si>
    <t xml:space="preserve">11230</t>
  </si>
  <si>
    <t xml:space="preserve">LVV05051325</t>
  </si>
  <si>
    <t xml:space="preserve">LOMAS VERDES 21 Y ASOCIADOS</t>
  </si>
  <si>
    <t xml:space="preserve">11231</t>
  </si>
  <si>
    <t xml:space="preserve">MAA1901184R</t>
  </si>
  <si>
    <t xml:space="preserve">MAQUILANDO ARTE Y AMOR MX</t>
  </si>
  <si>
    <t xml:space="preserve">11232</t>
  </si>
  <si>
    <t xml:space="preserve">MAC090304HT</t>
  </si>
  <si>
    <t xml:space="preserve">MANTENIMIENTO AUTOMOTRIZ DE CABO</t>
  </si>
  <si>
    <t xml:space="preserve">11233</t>
  </si>
  <si>
    <t xml:space="preserve">MAG181001QY</t>
  </si>
  <si>
    <t xml:space="preserve">MTTO&amp;CONST AG</t>
  </si>
  <si>
    <t xml:space="preserve">11234</t>
  </si>
  <si>
    <t xml:space="preserve">MALA801119M</t>
  </si>
  <si>
    <t xml:space="preserve">ALFREDO MARIN LUNA</t>
  </si>
  <si>
    <t xml:space="preserve">11235</t>
  </si>
  <si>
    <t xml:space="preserve">MAM1302228S</t>
  </si>
  <si>
    <t xml:space="preserve">MCS AEROCARGA DE MEXICO</t>
  </si>
  <si>
    <t xml:space="preserve">11236</t>
  </si>
  <si>
    <t xml:space="preserve">MAR940516K1</t>
  </si>
  <si>
    <t xml:space="preserve">MEXICANA DE ARROZ</t>
  </si>
  <si>
    <t xml:space="preserve">11237</t>
  </si>
  <si>
    <t xml:space="preserve">MAS220617T3</t>
  </si>
  <si>
    <t xml:space="preserve">MEZCLILLEROS ASOCIADOS</t>
  </si>
  <si>
    <t xml:space="preserve">11238</t>
  </si>
  <si>
    <t xml:space="preserve">MBU040913K7</t>
  </si>
  <si>
    <t xml:space="preserve">MASTER BUILDER</t>
  </si>
  <si>
    <t xml:space="preserve">11239</t>
  </si>
  <si>
    <t xml:space="preserve">MCC220906B8</t>
  </si>
  <si>
    <t xml:space="preserve">MAXIMA COBERTURA COSTERA DE SERVICIOS INMOBILIARIOS</t>
  </si>
  <si>
    <t xml:space="preserve">11240</t>
  </si>
  <si>
    <t xml:space="preserve">MDP180828R3</t>
  </si>
  <si>
    <t xml:space="preserve">MARKETING DISEÑO Y PUBLICIDAD DIPUMA</t>
  </si>
  <si>
    <t xml:space="preserve">11241</t>
  </si>
  <si>
    <t xml:space="preserve">MDU821001QG</t>
  </si>
  <si>
    <t xml:space="preserve">MADAME DUBARRY</t>
  </si>
  <si>
    <t xml:space="preserve">11242</t>
  </si>
  <si>
    <t xml:space="preserve">MEG090311V3</t>
  </si>
  <si>
    <t xml:space="preserve">MEGAVACATIONS</t>
  </si>
  <si>
    <t xml:space="preserve">11243</t>
  </si>
  <si>
    <t xml:space="preserve">MEM151216BX</t>
  </si>
  <si>
    <t xml:space="preserve">MULTIMARCAS DEL ESTADO DE MEXICO</t>
  </si>
  <si>
    <t xml:space="preserve">11244</t>
  </si>
  <si>
    <t xml:space="preserve">MEM230524HE</t>
  </si>
  <si>
    <t xml:space="preserve">MANTENIMIENTO ESPECIALIZADO EN MAQUINAS ROTATIVAS</t>
  </si>
  <si>
    <t xml:space="preserve">11245</t>
  </si>
  <si>
    <t xml:space="preserve">MEN191205HJ</t>
  </si>
  <si>
    <t xml:space="preserve">MYGO ENERGY</t>
  </si>
  <si>
    <t xml:space="preserve">11246</t>
  </si>
  <si>
    <t xml:space="preserve">MER140402BP</t>
  </si>
  <si>
    <t xml:space="preserve">MERCAFLASH</t>
  </si>
  <si>
    <t xml:space="preserve">11247</t>
  </si>
  <si>
    <t xml:space="preserve">MFM1906048G</t>
  </si>
  <si>
    <t xml:space="preserve">ROBINFOOD GROUP MX SA DE CV</t>
  </si>
  <si>
    <t xml:space="preserve">11248</t>
  </si>
  <si>
    <t xml:space="preserve">MFM210914BY</t>
  </si>
  <si>
    <t xml:space="preserve">MEGABITE FOODS MEXICO</t>
  </si>
  <si>
    <t xml:space="preserve">11249</t>
  </si>
  <si>
    <t xml:space="preserve">MFO201120E7</t>
  </si>
  <si>
    <t xml:space="preserve">MANKA FOODS</t>
  </si>
  <si>
    <t xml:space="preserve">11250</t>
  </si>
  <si>
    <t xml:space="preserve">MIC9611127P</t>
  </si>
  <si>
    <t xml:space="preserve">MICROSAFE</t>
  </si>
  <si>
    <t xml:space="preserve">11251</t>
  </si>
  <si>
    <t xml:space="preserve">MIE011128BA</t>
  </si>
  <si>
    <t xml:space="preserve">MIELE</t>
  </si>
  <si>
    <t xml:space="preserve">11252</t>
  </si>
  <si>
    <t xml:space="preserve">MIM210319F8</t>
  </si>
  <si>
    <t xml:space="preserve">MEXICO INVITA MEDICAL</t>
  </si>
  <si>
    <t xml:space="preserve">11253</t>
  </si>
  <si>
    <t xml:space="preserve">MIML8302139</t>
  </si>
  <si>
    <t xml:space="preserve">JOSE LEONARDO MIJARES MENESES</t>
  </si>
  <si>
    <t xml:space="preserve">11254</t>
  </si>
  <si>
    <t xml:space="preserve">MIN060613NY</t>
  </si>
  <si>
    <t xml:space="preserve">MINERALIA INTERNACIONAL</t>
  </si>
  <si>
    <t xml:space="preserve">11255</t>
  </si>
  <si>
    <t xml:space="preserve">MIN180426CD</t>
  </si>
  <si>
    <t xml:space="preserve">MARVIC INGENIERIA</t>
  </si>
  <si>
    <t xml:space="preserve">11256</t>
  </si>
  <si>
    <t xml:space="preserve">MJO2007177J</t>
  </si>
  <si>
    <t xml:space="preserve">MERCADERIAS JON</t>
  </si>
  <si>
    <t xml:space="preserve">11257</t>
  </si>
  <si>
    <t xml:space="preserve">MMC210120A5</t>
  </si>
  <si>
    <t xml:space="preserve">MEDIARTE MEDICAL CENTER</t>
  </si>
  <si>
    <t xml:space="preserve">11258</t>
  </si>
  <si>
    <t xml:space="preserve">MMI231213CL</t>
  </si>
  <si>
    <t xml:space="preserve">MESH MEDITERRANEA INTEGRA</t>
  </si>
  <si>
    <t xml:space="preserve">11259</t>
  </si>
  <si>
    <t xml:space="preserve">MMZ200224BY</t>
  </si>
  <si>
    <t xml:space="preserve">MACARIOS MZQ</t>
  </si>
  <si>
    <t xml:space="preserve">11260</t>
  </si>
  <si>
    <t xml:space="preserve">MNA940305TB</t>
  </si>
  <si>
    <t xml:space="preserve">MEDICAMENTOS NATURALES</t>
  </si>
  <si>
    <t xml:space="preserve">11261</t>
  </si>
  <si>
    <t xml:space="preserve">MOC120702M6</t>
  </si>
  <si>
    <t xml:space="preserve">MAXILED DE OCCIDENTE</t>
  </si>
  <si>
    <t xml:space="preserve">11262</t>
  </si>
  <si>
    <t xml:space="preserve">MOMA600403A</t>
  </si>
  <si>
    <t xml:space="preserve">ALEJANDRA MORA MENDOZA</t>
  </si>
  <si>
    <t xml:space="preserve">11263</t>
  </si>
  <si>
    <t xml:space="preserve">MOMJ891210U</t>
  </si>
  <si>
    <t xml:space="preserve">JOYCE WENDOLYN MORALES MARTINEZ</t>
  </si>
  <si>
    <t xml:space="preserve">11264</t>
  </si>
  <si>
    <t xml:space="preserve">MPR1707281W</t>
  </si>
  <si>
    <t xml:space="preserve">MADERKIT DE MEXICO</t>
  </si>
  <si>
    <t xml:space="preserve">11265</t>
  </si>
  <si>
    <t xml:space="preserve">MPS151027IQ</t>
  </si>
  <si>
    <t xml:space="preserve">SOCIEDAD MEXICANA DE PARRILLEROS SMP</t>
  </si>
  <si>
    <t xml:space="preserve">11266</t>
  </si>
  <si>
    <t xml:space="preserve">MPS231010Q5</t>
  </si>
  <si>
    <t xml:space="preserve">MISE EN PLACE SJA</t>
  </si>
  <si>
    <t xml:space="preserve">11267</t>
  </si>
  <si>
    <t xml:space="preserve">MRC210607EW</t>
  </si>
  <si>
    <t xml:space="preserve">MEDICA RISO CDMX</t>
  </si>
  <si>
    <t xml:space="preserve">11268</t>
  </si>
  <si>
    <t xml:space="preserve">MRE2101119F</t>
  </si>
  <si>
    <t xml:space="preserve">MEXICO RAILWAY ENGINEERING TECHNOLOGY</t>
  </si>
  <si>
    <t xml:space="preserve">11269</t>
  </si>
  <si>
    <t xml:space="preserve">MRE221007BP</t>
  </si>
  <si>
    <t xml:space="preserve">LA MAQUINA RELUCIENTE</t>
  </si>
  <si>
    <t xml:space="preserve">11270</t>
  </si>
  <si>
    <t xml:space="preserve">MSD190315U9</t>
  </si>
  <si>
    <t xml:space="preserve">MOTORES Y SISTEMAS DIESEL DE LEON</t>
  </si>
  <si>
    <t xml:space="preserve">11271</t>
  </si>
  <si>
    <t xml:space="preserve">MSM2106223P</t>
  </si>
  <si>
    <t xml:space="preserve">MELONN SUBSIDIARIA MEXICO</t>
  </si>
  <si>
    <t xml:space="preserve">11272</t>
  </si>
  <si>
    <t xml:space="preserve">MSP110810V3</t>
  </si>
  <si>
    <t xml:space="preserve">MAREL SISTEMAS DE PROCESO DE ALIMENTOS DE MEXICO</t>
  </si>
  <si>
    <t xml:space="preserve">11273</t>
  </si>
  <si>
    <t xml:space="preserve">MSP211028TX</t>
  </si>
  <si>
    <t xml:space="preserve">MOGAR SEGURIDAD PRIVADA</t>
  </si>
  <si>
    <t xml:space="preserve">11274</t>
  </si>
  <si>
    <t xml:space="preserve">MSP981215H4</t>
  </si>
  <si>
    <t xml:space="preserve">MERCURIO SEGURIDAD PRIVADA</t>
  </si>
  <si>
    <t xml:space="preserve">11275</t>
  </si>
  <si>
    <t xml:space="preserve">MUN190704BL</t>
  </si>
  <si>
    <t xml:space="preserve">MUNCHER</t>
  </si>
  <si>
    <t xml:space="preserve">11276</t>
  </si>
  <si>
    <t xml:space="preserve">MURD9201126</t>
  </si>
  <si>
    <t xml:space="preserve">DIEGO ADALBERTO MUNGUIA RODRIGUEZ</t>
  </si>
  <si>
    <t xml:space="preserve">11277</t>
  </si>
  <si>
    <t xml:space="preserve">NAC090820FN</t>
  </si>
  <si>
    <t xml:space="preserve">NEWCHEM &amp; COMMERCE</t>
  </si>
  <si>
    <t xml:space="preserve">11278</t>
  </si>
  <si>
    <t xml:space="preserve">NAM020918KZ</t>
  </si>
  <si>
    <t xml:space="preserve">INDUSTRIAS DE ENVASES TYPACK MEXICO</t>
  </si>
  <si>
    <t xml:space="preserve">11279</t>
  </si>
  <si>
    <t xml:space="preserve">NEW080923MR</t>
  </si>
  <si>
    <t xml:space="preserve">NEWTIMES</t>
  </si>
  <si>
    <t xml:space="preserve">11280</t>
  </si>
  <si>
    <t xml:space="preserve">NFV240522SP</t>
  </si>
  <si>
    <t xml:space="preserve">NUEVA FVZ</t>
  </si>
  <si>
    <t xml:space="preserve">11281</t>
  </si>
  <si>
    <t xml:space="preserve">NIM010927TM</t>
  </si>
  <si>
    <t xml:space="preserve">NSF DE MEXICO</t>
  </si>
  <si>
    <t xml:space="preserve">11282</t>
  </si>
  <si>
    <t xml:space="preserve">NLI200311L8</t>
  </si>
  <si>
    <t xml:space="preserve">NM LIMITED</t>
  </si>
  <si>
    <t xml:space="preserve">11283</t>
  </si>
  <si>
    <t xml:space="preserve">NMM0608281R</t>
  </si>
  <si>
    <t xml:space="preserve">NETAFIM MANUFACTURING MEXICO</t>
  </si>
  <si>
    <t xml:space="preserve">11284</t>
  </si>
  <si>
    <t xml:space="preserve">NMS940324RY</t>
  </si>
  <si>
    <t xml:space="preserve">NETAFIM MEXICO</t>
  </si>
  <si>
    <t xml:space="preserve">11285</t>
  </si>
  <si>
    <t xml:space="preserve">NO ENCONTRA</t>
  </si>
  <si>
    <t xml:space="preserve">11286</t>
  </si>
  <si>
    <t xml:space="preserve">NST2403154B</t>
  </si>
  <si>
    <t xml:space="preserve">DE NORTE A SUR Y POR TODO EL MUNDO</t>
  </si>
  <si>
    <t xml:space="preserve">11287</t>
  </si>
  <si>
    <t xml:space="preserve">NVM020128DR</t>
  </si>
  <si>
    <t xml:space="preserve">NEODATA VALLE DE MEXICO</t>
  </si>
  <si>
    <t xml:space="preserve">11288</t>
  </si>
  <si>
    <t xml:space="preserve">OAAN991030M</t>
  </si>
  <si>
    <t xml:space="preserve">NICTHEY OTAMENDI ANGELES</t>
  </si>
  <si>
    <t xml:space="preserve">11289</t>
  </si>
  <si>
    <t xml:space="preserve">OAN13040289</t>
  </si>
  <si>
    <t xml:space="preserve">ORTOPEDIA ANA</t>
  </si>
  <si>
    <t xml:space="preserve">11290</t>
  </si>
  <si>
    <t xml:space="preserve">OCM0505317M</t>
  </si>
  <si>
    <t xml:space="preserve">OPERADORA CONCESIONARIA MEXIQUENSE</t>
  </si>
  <si>
    <t xml:space="preserve">11291</t>
  </si>
  <si>
    <t xml:space="preserve">OEME800730Q</t>
  </si>
  <si>
    <t xml:space="preserve">ERIK EDUARDO OJEDA MENDEZ</t>
  </si>
  <si>
    <t xml:space="preserve">11292</t>
  </si>
  <si>
    <t xml:space="preserve">OFC180711GJ</t>
  </si>
  <si>
    <t xml:space="preserve">OPERADORA DE FRANQUICIAS CIROS</t>
  </si>
  <si>
    <t xml:space="preserve">11293</t>
  </si>
  <si>
    <t xml:space="preserve">OFO20012157</t>
  </si>
  <si>
    <t xml:space="preserve">DE OTRA FORMA</t>
  </si>
  <si>
    <t xml:space="preserve">11294</t>
  </si>
  <si>
    <t xml:space="preserve">OGA101029LS</t>
  </si>
  <si>
    <t xml:space="preserve">OPERADORA DE GRANOS Y ALMACENES</t>
  </si>
  <si>
    <t xml:space="preserve">11295</t>
  </si>
  <si>
    <t xml:space="preserve">OGA180903JI</t>
  </si>
  <si>
    <t xml:space="preserve">OPTIMA G AUTOSPORT</t>
  </si>
  <si>
    <t xml:space="preserve">11296</t>
  </si>
  <si>
    <t xml:space="preserve">OHM240506IX</t>
  </si>
  <si>
    <t xml:space="preserve">OVG HOSPITALITY MEXICO</t>
  </si>
  <si>
    <t xml:space="preserve">11297</t>
  </si>
  <si>
    <t xml:space="preserve">OIN200408RC</t>
  </si>
  <si>
    <t xml:space="preserve">TIENDAS GMH</t>
  </si>
  <si>
    <t xml:space="preserve">11298</t>
  </si>
  <si>
    <t xml:space="preserve">OIOV891008L</t>
  </si>
  <si>
    <t xml:space="preserve">VICTOR ENRIQUE ORTIZ OLIVARES</t>
  </si>
  <si>
    <t xml:space="preserve">11299</t>
  </si>
  <si>
    <t xml:space="preserve">OJD1801123U</t>
  </si>
  <si>
    <t xml:space="preserve">OPERADORA DE JUEGOS Y DIVERSIONES 2000</t>
  </si>
  <si>
    <t xml:space="preserve">11300</t>
  </si>
  <si>
    <t xml:space="preserve">OLA0911099P</t>
  </si>
  <si>
    <t xml:space="preserve">GRUPO OFTALMOLOGICO LASER DE MEXICO</t>
  </si>
  <si>
    <t xml:space="preserve">11301</t>
  </si>
  <si>
    <t xml:space="preserve">OLS201110I8</t>
  </si>
  <si>
    <t xml:space="preserve">OPERADORA LIQUOR STORE</t>
  </si>
  <si>
    <t xml:space="preserve">11302</t>
  </si>
  <si>
    <t xml:space="preserve">OMA1708036D</t>
  </si>
  <si>
    <t xml:space="preserve">OPERACION Y MANTENIMIENTO DE AUTOPISTAS DE SONORA</t>
  </si>
  <si>
    <t xml:space="preserve">11303</t>
  </si>
  <si>
    <t xml:space="preserve">OMC201030L8</t>
  </si>
  <si>
    <t xml:space="preserve">OPERADORA METRIA DEL CENTRO</t>
  </si>
  <si>
    <t xml:space="preserve">11304</t>
  </si>
  <si>
    <t xml:space="preserve">OMC221208TK</t>
  </si>
  <si>
    <t xml:space="preserve">OCEAN MEDIC CDMX</t>
  </si>
  <si>
    <t xml:space="preserve">11305</t>
  </si>
  <si>
    <t xml:space="preserve">OME071221EU</t>
  </si>
  <si>
    <t xml:space="preserve">OMNILASER MEDICAL</t>
  </si>
  <si>
    <t xml:space="preserve">11306</t>
  </si>
  <si>
    <t xml:space="preserve">OME10081885</t>
  </si>
  <si>
    <t xml:space="preserve">OCEAN MEDIC</t>
  </si>
  <si>
    <t xml:space="preserve">11307</t>
  </si>
  <si>
    <t xml:space="preserve">OME221212M5</t>
  </si>
  <si>
    <t xml:space="preserve">OMETA MEDTECH</t>
  </si>
  <si>
    <t xml:space="preserve">11308</t>
  </si>
  <si>
    <t xml:space="preserve">OMO210908PM</t>
  </si>
  <si>
    <t xml:space="preserve">OCEAN MEDIC DE OCCIDENTE</t>
  </si>
  <si>
    <t xml:space="preserve">11309</t>
  </si>
  <si>
    <t xml:space="preserve">OOM96042983</t>
  </si>
  <si>
    <t xml:space="preserve">OPERADORA OMX</t>
  </si>
  <si>
    <t xml:space="preserve">11310</t>
  </si>
  <si>
    <t xml:space="preserve">OPC141104S6</t>
  </si>
  <si>
    <t xml:space="preserve">OPCEM</t>
  </si>
  <si>
    <t xml:space="preserve">11311</t>
  </si>
  <si>
    <t xml:space="preserve">OPL170802H7</t>
  </si>
  <si>
    <t xml:space="preserve">OFERLLANTAS PROVEEDOR LLANTERO</t>
  </si>
  <si>
    <t xml:space="preserve">11312</t>
  </si>
  <si>
    <t xml:space="preserve">OSP11121469</t>
  </si>
  <si>
    <t xml:space="preserve">OPERADORA SUMA PARK</t>
  </si>
  <si>
    <t xml:space="preserve">11313</t>
  </si>
  <si>
    <t xml:space="preserve">OUR2309198C</t>
  </si>
  <si>
    <t xml:space="preserve">OPERADORA URIMAR</t>
  </si>
  <si>
    <t xml:space="preserve">11314</t>
  </si>
  <si>
    <t xml:space="preserve">OVE100416K3</t>
  </si>
  <si>
    <t xml:space="preserve">OVERNIA</t>
  </si>
  <si>
    <t xml:space="preserve">11315</t>
  </si>
  <si>
    <t xml:space="preserve">PAA170802U1</t>
  </si>
  <si>
    <t xml:space="preserve">PUERTAS Y ACCESOS AUTOMATICOS DEL VALLE DE MEXICO</t>
  </si>
  <si>
    <t xml:space="preserve">11316</t>
  </si>
  <si>
    <t xml:space="preserve">PAC070427BJ</t>
  </si>
  <si>
    <t xml:space="preserve">PLASCENCIA ACUMULADORES</t>
  </si>
  <si>
    <t xml:space="preserve">11317</t>
  </si>
  <si>
    <t xml:space="preserve">PAC080630FB</t>
  </si>
  <si>
    <t xml:space="preserve">PACADA</t>
  </si>
  <si>
    <t xml:space="preserve">11318</t>
  </si>
  <si>
    <t xml:space="preserve">PAL250303Q4</t>
  </si>
  <si>
    <t xml:space="preserve">PUNTO ALQUIMIA</t>
  </si>
  <si>
    <t xml:space="preserve">11319</t>
  </si>
  <si>
    <t xml:space="preserve">PAN201106JJ</t>
  </si>
  <si>
    <t xml:space="preserve">PRODUCTORA DE ALIMENTOS NUTRITIVOS DEL VALLE DE ORIZABA</t>
  </si>
  <si>
    <t xml:space="preserve">11320</t>
  </si>
  <si>
    <t xml:space="preserve">PARTNER</t>
  </si>
  <si>
    <t xml:space="preserve">SENSAI SOFTWARE</t>
  </si>
  <si>
    <t xml:space="preserve">11321</t>
  </si>
  <si>
    <t xml:space="preserve">PAT2303013S</t>
  </si>
  <si>
    <t xml:space="preserve">PANIFICADORA ARTESANAL TLAKATI</t>
  </si>
  <si>
    <t xml:space="preserve">11322</t>
  </si>
  <si>
    <t xml:space="preserve">PBA191125B3</t>
  </si>
  <si>
    <t xml:space="preserve">PALMERA BONITA ACAPULCO</t>
  </si>
  <si>
    <t xml:space="preserve">11323</t>
  </si>
  <si>
    <t xml:space="preserve">PCA0301167A</t>
  </si>
  <si>
    <t xml:space="preserve">PERI CIMBRAS Y ANDAMIOS</t>
  </si>
  <si>
    <t xml:space="preserve">11324</t>
  </si>
  <si>
    <t xml:space="preserve">PCD251020LL</t>
  </si>
  <si>
    <t xml:space="preserve">PROYECTO COMUN DOBEL</t>
  </si>
  <si>
    <t xml:space="preserve">11325</t>
  </si>
  <si>
    <t xml:space="preserve">PCM121205MF</t>
  </si>
  <si>
    <t xml:space="preserve">PROVEEDORA DE CARNES MAYRAM</t>
  </si>
  <si>
    <t xml:space="preserve">11326</t>
  </si>
  <si>
    <t xml:space="preserve">PCN1302255H</t>
  </si>
  <si>
    <t xml:space="preserve">PROVEEDORA Y COMERCIALIZADORA DE NEGOCIOS DE SONORA</t>
  </si>
  <si>
    <t xml:space="preserve">11327</t>
  </si>
  <si>
    <t xml:space="preserve">PDA0610137A</t>
  </si>
  <si>
    <t xml:space="preserve">PALLET DESING &amp; SUPORT DE MEXICO</t>
  </si>
  <si>
    <t xml:space="preserve">11328</t>
  </si>
  <si>
    <t xml:space="preserve">PDD050317EE</t>
  </si>
  <si>
    <t xml:space="preserve">PTI DOS DIVERSIFIED OUTSOURCING SOLUTIONS</t>
  </si>
  <si>
    <t xml:space="preserve">11329</t>
  </si>
  <si>
    <t xml:space="preserve">PDI170117TX</t>
  </si>
  <si>
    <t xml:space="preserve">PROYECTOS DIMA</t>
  </si>
  <si>
    <t xml:space="preserve">11330</t>
  </si>
  <si>
    <t xml:space="preserve">PECS9411252</t>
  </si>
  <si>
    <t xml:space="preserve">SARAI PEREZ CHILEL</t>
  </si>
  <si>
    <t xml:space="preserve">11331</t>
  </si>
  <si>
    <t xml:space="preserve">PEE190311NP</t>
  </si>
  <si>
    <t xml:space="preserve">PLANEACION ESTRATEGICA EMPRESARIAL SP</t>
  </si>
  <si>
    <t xml:space="preserve">11332</t>
  </si>
  <si>
    <t xml:space="preserve">PEI130124GS</t>
  </si>
  <si>
    <t xml:space="preserve">PROYECTOS E INGENIERIA EN VENTILACION, AIRE Y CALEFACCION</t>
  </si>
  <si>
    <t xml:space="preserve">11333</t>
  </si>
  <si>
    <t xml:space="preserve">PEOG6103282</t>
  </si>
  <si>
    <t xml:space="preserve">GERARDO PEREZ OLIVO</t>
  </si>
  <si>
    <t xml:space="preserve">11334</t>
  </si>
  <si>
    <t xml:space="preserve">PER171116IL</t>
  </si>
  <si>
    <t xml:space="preserve">PERCHAGAR</t>
  </si>
  <si>
    <t xml:space="preserve">11335</t>
  </si>
  <si>
    <t xml:space="preserve">PESF550906F</t>
  </si>
  <si>
    <t xml:space="preserve">FAUSTO PEREZ SANCHEZ</t>
  </si>
  <si>
    <t xml:space="preserve">11336</t>
  </si>
  <si>
    <t xml:space="preserve">PFR110526BP</t>
  </si>
  <si>
    <t xml:space="preserve">COMPAÑIA MADERERA DE CHIHUAHUA SUCESORES</t>
  </si>
  <si>
    <t xml:space="preserve">11337</t>
  </si>
  <si>
    <t xml:space="preserve">PHC210830CR</t>
  </si>
  <si>
    <t xml:space="preserve">PLENIA HOME CARE</t>
  </si>
  <si>
    <t xml:space="preserve">11338</t>
  </si>
  <si>
    <t xml:space="preserve">PIM180629TE</t>
  </si>
  <si>
    <t xml:space="preserve">PIN IT MEDIA</t>
  </si>
  <si>
    <t xml:space="preserve">11339</t>
  </si>
  <si>
    <t xml:space="preserve">PIM810710R3</t>
  </si>
  <si>
    <t xml:space="preserve">PRODUCTOS INTERNACIONALES MABE</t>
  </si>
  <si>
    <t xml:space="preserve">11340</t>
  </si>
  <si>
    <t xml:space="preserve">PIM88041917</t>
  </si>
  <si>
    <t xml:space="preserve">PLASTICOS INDUSTRIALES DE MONTERREY</t>
  </si>
  <si>
    <t xml:space="preserve">11341</t>
  </si>
  <si>
    <t xml:space="preserve">PIN061123DF</t>
  </si>
  <si>
    <t xml:space="preserve">PLUS IND</t>
  </si>
  <si>
    <t xml:space="preserve">11342</t>
  </si>
  <si>
    <t xml:space="preserve">PIN98031858</t>
  </si>
  <si>
    <t xml:space="preserve">PROTECTOR INTERCONTINENTAL SA DE CV</t>
  </si>
  <si>
    <t xml:space="preserve">11343</t>
  </si>
  <si>
    <t xml:space="preserve">PJL210713LS</t>
  </si>
  <si>
    <t xml:space="preserve">PASTOS Y JARDINES LANDSCAPE</t>
  </si>
  <si>
    <t xml:space="preserve">11344</t>
  </si>
  <si>
    <t xml:space="preserve">PJU190215RN</t>
  </si>
  <si>
    <t xml:space="preserve">PODER JUSTO</t>
  </si>
  <si>
    <t xml:space="preserve">11345</t>
  </si>
  <si>
    <t xml:space="preserve">PLA241211D6</t>
  </si>
  <si>
    <t xml:space="preserve">PLASTMEX</t>
  </si>
  <si>
    <t xml:space="preserve">11346</t>
  </si>
  <si>
    <t xml:space="preserve">PLE190709UN</t>
  </si>
  <si>
    <t xml:space="preserve">PLEGMA</t>
  </si>
  <si>
    <t xml:space="preserve">11347</t>
  </si>
  <si>
    <t xml:space="preserve">PLO2310139T</t>
  </si>
  <si>
    <t xml:space="preserve">PROXIMIDAD Y LOGISTICA</t>
  </si>
  <si>
    <t xml:space="preserve">11348</t>
  </si>
  <si>
    <t xml:space="preserve">PLQ9002286Q</t>
  </si>
  <si>
    <t xml:space="preserve">PRODUCTOS LACTEOS LA QUINTA</t>
  </si>
  <si>
    <t xml:space="preserve">11349</t>
  </si>
  <si>
    <t xml:space="preserve">PLT7910247B</t>
  </si>
  <si>
    <t xml:space="preserve">PRODUCTOS LOL TUN</t>
  </si>
  <si>
    <t xml:space="preserve">11350</t>
  </si>
  <si>
    <t xml:space="preserve">PMA060905RG</t>
  </si>
  <si>
    <t xml:space="preserve">PROVEEDORA DE MARCAS</t>
  </si>
  <si>
    <t xml:space="preserve">11351</t>
  </si>
  <si>
    <t xml:space="preserve">PME9701203U</t>
  </si>
  <si>
    <t xml:space="preserve">PENTEL DE MEXICO</t>
  </si>
  <si>
    <t xml:space="preserve">11352</t>
  </si>
  <si>
    <t xml:space="preserve">PMG9707056T</t>
  </si>
  <si>
    <t xml:space="preserve">PROMOTORA MEXICANA GAITAN</t>
  </si>
  <si>
    <t xml:space="preserve">11353</t>
  </si>
  <si>
    <t xml:space="preserve">PMP880421AI</t>
  </si>
  <si>
    <t xml:space="preserve">POLIMERO Y MATERIAS PRIMAS INTERNACIONALES</t>
  </si>
  <si>
    <t xml:space="preserve">11354</t>
  </si>
  <si>
    <t xml:space="preserve">PMR140116AA</t>
  </si>
  <si>
    <t xml:space="preserve">PROVEEDOR MAYORISTA AL REFACCIONARIO DE MEXICO</t>
  </si>
  <si>
    <t xml:space="preserve">11355</t>
  </si>
  <si>
    <t xml:space="preserve">PMS980521P6</t>
  </si>
  <si>
    <t xml:space="preserve">PROMOCIONES MASIVAS DE SEGUROS, AGENTE DE SEGUROS</t>
  </si>
  <si>
    <t xml:space="preserve">11356</t>
  </si>
  <si>
    <t xml:space="preserve">PPA941118U1</t>
  </si>
  <si>
    <t xml:space="preserve">PLATA PANAMERICANA</t>
  </si>
  <si>
    <t xml:space="preserve">11357</t>
  </si>
  <si>
    <t xml:space="preserve">PPE060105CM</t>
  </si>
  <si>
    <t xml:space="preserve">PUNTO PEN</t>
  </si>
  <si>
    <t xml:space="preserve">11358</t>
  </si>
  <si>
    <t xml:space="preserve">PPM171116JU</t>
  </si>
  <si>
    <t xml:space="preserve">PRODUCTORA DE PAPAYA MARADONA</t>
  </si>
  <si>
    <t xml:space="preserve">11359</t>
  </si>
  <si>
    <t xml:space="preserve">PPM190405D6</t>
  </si>
  <si>
    <t xml:space="preserve">PAN DE PAN MONTERREY</t>
  </si>
  <si>
    <t xml:space="preserve">11360</t>
  </si>
  <si>
    <t xml:space="preserve">PQM140212C7</t>
  </si>
  <si>
    <t xml:space="preserve">PROVEEDORA DE QUIMICOS Y MEDICAMENTOS CARE LAB</t>
  </si>
  <si>
    <t xml:space="preserve">11361</t>
  </si>
  <si>
    <t xml:space="preserve">PRA211116MD</t>
  </si>
  <si>
    <t xml:space="preserve">COMPAÑIA PRACTISEGURA</t>
  </si>
  <si>
    <t xml:space="preserve">11362</t>
  </si>
  <si>
    <t xml:space="preserve">PRB150319NA</t>
  </si>
  <si>
    <t xml:space="preserve">PORCO ROSSO BBQ</t>
  </si>
  <si>
    <t xml:space="preserve">11363</t>
  </si>
  <si>
    <t xml:space="preserve">PRH121130TV</t>
  </si>
  <si>
    <t xml:space="preserve">PERSONAL DE RECURSOS HUMANOS ORGANIZACION ADMINISTRATIVA PRHOA</t>
  </si>
  <si>
    <t xml:space="preserve">11364</t>
  </si>
  <si>
    <t xml:space="preserve">PRI0306054C</t>
  </si>
  <si>
    <t xml:space="preserve">PRO RIEGO</t>
  </si>
  <si>
    <t xml:space="preserve">11365</t>
  </si>
  <si>
    <t xml:space="preserve">PRM151028TH</t>
  </si>
  <si>
    <t xml:space="preserve">PINTURAS REM DE MEXICALI</t>
  </si>
  <si>
    <t xml:space="preserve">11366</t>
  </si>
  <si>
    <t xml:space="preserve">PRO090819GQ</t>
  </si>
  <si>
    <t xml:space="preserve">PROTECTOGARD</t>
  </si>
  <si>
    <t xml:space="preserve">11367</t>
  </si>
  <si>
    <t xml:space="preserve">PRO800417TD</t>
  </si>
  <si>
    <t xml:space="preserve">PROQUIPA</t>
  </si>
  <si>
    <t xml:space="preserve">11368</t>
  </si>
  <si>
    <t xml:space="preserve">PSM1005318S</t>
  </si>
  <si>
    <t xml:space="preserve">PLAYTRAK SISTEMAS DE MONITOREO</t>
  </si>
  <si>
    <t xml:space="preserve">11369</t>
  </si>
  <si>
    <t xml:space="preserve">PVT0805156W</t>
  </si>
  <si>
    <t xml:space="preserve">PROMOCIONES Y VENTAS POR TELEFONO</t>
  </si>
  <si>
    <t xml:space="preserve">11370</t>
  </si>
  <si>
    <t xml:space="preserve">PWM1803168R</t>
  </si>
  <si>
    <t xml:space="preserve">PAYROLL WORLDWIDE MEXICO-LONDON</t>
  </si>
  <si>
    <t xml:space="preserve">11371</t>
  </si>
  <si>
    <t xml:space="preserve">QAM071015Q9</t>
  </si>
  <si>
    <t xml:space="preserve">QUESERIA AMERICA</t>
  </si>
  <si>
    <t xml:space="preserve">11372</t>
  </si>
  <si>
    <t xml:space="preserve">QBL620411JP</t>
  </si>
  <si>
    <t xml:space="preserve">QUIMICA BLANTEX</t>
  </si>
  <si>
    <t xml:space="preserve">11373</t>
  </si>
  <si>
    <t xml:space="preserve">QCC040420QV</t>
  </si>
  <si>
    <t xml:space="preserve">QUALITY COCINAS Y CLOSETS</t>
  </si>
  <si>
    <t xml:space="preserve">11374</t>
  </si>
  <si>
    <t xml:space="preserve">QLO040225BL</t>
  </si>
  <si>
    <t xml:space="preserve">Q-LOGISTICS</t>
  </si>
  <si>
    <t xml:space="preserve">11375</t>
  </si>
  <si>
    <t xml:space="preserve">QTE170922HC</t>
  </si>
  <si>
    <t xml:space="preserve">QUALIS TECHNOLOGIES</t>
  </si>
  <si>
    <t xml:space="preserve">11376</t>
  </si>
  <si>
    <t xml:space="preserve">RAG250128AU</t>
  </si>
  <si>
    <t xml:space="preserve">LA REVOLUCION DEL AGUA</t>
  </si>
  <si>
    <t xml:space="preserve">11377</t>
  </si>
  <si>
    <t xml:space="preserve">RAP030203Q1</t>
  </si>
  <si>
    <t xml:space="preserve">RED ADUANERA PENINSULAR</t>
  </si>
  <si>
    <t xml:space="preserve">11378</t>
  </si>
  <si>
    <t xml:space="preserve">RARJ8610257</t>
  </si>
  <si>
    <t xml:space="preserve">JAIR GEOVANNI RAVIELA RAMIREZ</t>
  </si>
  <si>
    <t xml:space="preserve">11379</t>
  </si>
  <si>
    <t xml:space="preserve">RAU1807259J</t>
  </si>
  <si>
    <t xml:space="preserve">RACKSA AUTOMOTRIZ</t>
  </si>
  <si>
    <t xml:space="preserve">11380</t>
  </si>
  <si>
    <t xml:space="preserve">RBE19071523</t>
  </si>
  <si>
    <t xml:space="preserve">RICARNES BEEF</t>
  </si>
  <si>
    <t xml:space="preserve">11381</t>
  </si>
  <si>
    <t xml:space="preserve">RCA230127SV</t>
  </si>
  <si>
    <t xml:space="preserve">ROALSA CARRIERS</t>
  </si>
  <si>
    <t xml:space="preserve">11382</t>
  </si>
  <si>
    <t xml:space="preserve">RCA940512EB</t>
  </si>
  <si>
    <t xml:space="preserve">RADIODIFUSORAS CAPITAL</t>
  </si>
  <si>
    <t xml:space="preserve">11383</t>
  </si>
  <si>
    <t xml:space="preserve">RCO02042243</t>
  </si>
  <si>
    <t xml:space="preserve">LA RED CORPORATIVO</t>
  </si>
  <si>
    <t xml:space="preserve">11384</t>
  </si>
  <si>
    <t xml:space="preserve">RCO130524TL</t>
  </si>
  <si>
    <t xml:space="preserve">RENA COMERCIALIZADORA</t>
  </si>
  <si>
    <t xml:space="preserve">11385</t>
  </si>
  <si>
    <t xml:space="preserve">RCO170830P9</t>
  </si>
  <si>
    <t xml:space="preserve">REDMEX COMUNICACIONES</t>
  </si>
  <si>
    <t xml:space="preserve">11386</t>
  </si>
  <si>
    <t xml:space="preserve">RCT131209EN</t>
  </si>
  <si>
    <t xml:space="preserve">REFRIGERACION COMERCIAL TEHUACAN</t>
  </si>
  <si>
    <t xml:space="preserve">11387</t>
  </si>
  <si>
    <t xml:space="preserve">REI160425MD</t>
  </si>
  <si>
    <t xml:space="preserve">REISIX</t>
  </si>
  <si>
    <t xml:space="preserve">11388</t>
  </si>
  <si>
    <t xml:space="preserve">REM8810176J</t>
  </si>
  <si>
    <t xml:space="preserve">RADIOLOGIA Y ELECTRONICA DE MEXICO</t>
  </si>
  <si>
    <t xml:space="preserve">11389</t>
  </si>
  <si>
    <t xml:space="preserve">REN170919M3</t>
  </si>
  <si>
    <t xml:space="preserve">RENACTEUR</t>
  </si>
  <si>
    <t xml:space="preserve">11390</t>
  </si>
  <si>
    <t xml:space="preserve">RER050221JR</t>
  </si>
  <si>
    <t xml:space="preserve">RIVERLAND ERGONOMIC</t>
  </si>
  <si>
    <t xml:space="preserve">11391</t>
  </si>
  <si>
    <t xml:space="preserve">RERE8603105</t>
  </si>
  <si>
    <t xml:space="preserve">ESTEFANIA RETANA ROJO</t>
  </si>
  <si>
    <t xml:space="preserve">11392</t>
  </si>
  <si>
    <t xml:space="preserve">RESS850119S</t>
  </si>
  <si>
    <t xml:space="preserve">SANDRA STEPHANY REBOLLAR SANCHEZ</t>
  </si>
  <si>
    <t xml:space="preserve">11393</t>
  </si>
  <si>
    <t xml:space="preserve">RFB040816AY</t>
  </si>
  <si>
    <t xml:space="preserve">RESINAS Y FIBRAS DE BAJA CALIFORNIA</t>
  </si>
  <si>
    <t xml:space="preserve">11394</t>
  </si>
  <si>
    <t xml:space="preserve">RHB220617TP</t>
  </si>
  <si>
    <t xml:space="preserve">RECIEN HORNEADO BAKERY</t>
  </si>
  <si>
    <t xml:space="preserve">11395</t>
  </si>
  <si>
    <t xml:space="preserve">RHE220916E2</t>
  </si>
  <si>
    <t xml:space="preserve">ROLANSA HEROL</t>
  </si>
  <si>
    <t xml:space="preserve">11396</t>
  </si>
  <si>
    <t xml:space="preserve">RIM140314IQ</t>
  </si>
  <si>
    <t xml:space="preserve">REPORTE INDIGO DE MEXICO</t>
  </si>
  <si>
    <t xml:space="preserve">11397</t>
  </si>
  <si>
    <t xml:space="preserve">RIN230531MW</t>
  </si>
  <si>
    <t xml:space="preserve">R&amp;F INFRAESTRUCTURA</t>
  </si>
  <si>
    <t xml:space="preserve">11398</t>
  </si>
  <si>
    <t xml:space="preserve">RLC910708F1</t>
  </si>
  <si>
    <t xml:space="preserve">RANCHO LLANO COLORADO</t>
  </si>
  <si>
    <t xml:space="preserve">11399</t>
  </si>
  <si>
    <t xml:space="preserve">RME951127B7</t>
  </si>
  <si>
    <t xml:space="preserve">RICHEMONT DE MEXICO</t>
  </si>
  <si>
    <t xml:space="preserve">11400</t>
  </si>
  <si>
    <t xml:space="preserve">RNA1606236J</t>
  </si>
  <si>
    <t xml:space="preserve">RENDIMIENTO NAXU</t>
  </si>
  <si>
    <t xml:space="preserve">11401</t>
  </si>
  <si>
    <t xml:space="preserve">ROEB740108V</t>
  </si>
  <si>
    <t xml:space="preserve">BRENDA JUDITH ROCHA ENCINAS</t>
  </si>
  <si>
    <t xml:space="preserve">11402</t>
  </si>
  <si>
    <t xml:space="preserve">ROOR9108136</t>
  </si>
  <si>
    <t xml:space="preserve">REYMUNDO ROSAS OLVERA</t>
  </si>
  <si>
    <t xml:space="preserve">11403</t>
  </si>
  <si>
    <t xml:space="preserve">ROT981218L9</t>
  </si>
  <si>
    <t xml:space="preserve">CAPITAL MEDIA IMPRESOS</t>
  </si>
  <si>
    <t xml:space="preserve">11404</t>
  </si>
  <si>
    <t xml:space="preserve">RQU910522U8</t>
  </si>
  <si>
    <t xml:space="preserve">ROYAL QUEEN</t>
  </si>
  <si>
    <t xml:space="preserve">11405</t>
  </si>
  <si>
    <t xml:space="preserve">RRE1312132P</t>
  </si>
  <si>
    <t xml:space="preserve">REYCO RENOVABLES</t>
  </si>
  <si>
    <t xml:space="preserve">11406</t>
  </si>
  <si>
    <t xml:space="preserve">RSU21022326</t>
  </si>
  <si>
    <t xml:space="preserve">RISO DEL SUR</t>
  </si>
  <si>
    <t xml:space="preserve">11407</t>
  </si>
  <si>
    <t xml:space="preserve">RTD220308U2</t>
  </si>
  <si>
    <t xml:space="preserve">RM TEAM 2022</t>
  </si>
  <si>
    <t xml:space="preserve">11408</t>
  </si>
  <si>
    <t xml:space="preserve">RURR800901H</t>
  </si>
  <si>
    <t xml:space="preserve">REMEDIOS SERGIO ALBERTO RUIZ RAMIREZ</t>
  </si>
  <si>
    <t xml:space="preserve">11409</t>
  </si>
  <si>
    <t xml:space="preserve">SAA091120GV</t>
  </si>
  <si>
    <t xml:space="preserve">SERVICIOS ADMINISTRATIVOS Y ASESORIAS PROFESIONALES DE ORIZABA Y LA REGION</t>
  </si>
  <si>
    <t xml:space="preserve">11410</t>
  </si>
  <si>
    <t xml:space="preserve">SABM921007H</t>
  </si>
  <si>
    <t xml:space="preserve">MARCELO ISAIAS SALGADO BASTIDAS</t>
  </si>
  <si>
    <t xml:space="preserve">11411</t>
  </si>
  <si>
    <t xml:space="preserve">SAC18120569</t>
  </si>
  <si>
    <t xml:space="preserve">SERVICIOS DE AUTOTRANSPORTE CAZAMA</t>
  </si>
  <si>
    <t xml:space="preserve">11412</t>
  </si>
  <si>
    <t xml:space="preserve">SAD01100564</t>
  </si>
  <si>
    <t xml:space="preserve">SADEP</t>
  </si>
  <si>
    <t xml:space="preserve">11413</t>
  </si>
  <si>
    <t xml:space="preserve">SAD030619QK</t>
  </si>
  <si>
    <t xml:space="preserve">SECONMEX ADMINISTRACION</t>
  </si>
  <si>
    <t xml:space="preserve">11414</t>
  </si>
  <si>
    <t xml:space="preserve">SAJF770708M</t>
  </si>
  <si>
    <t xml:space="preserve">FRANCISCO MARTIN SANTILLAN JIMENEZ</t>
  </si>
  <si>
    <t xml:space="preserve">11415</t>
  </si>
  <si>
    <t xml:space="preserve">SAM091013B2</t>
  </si>
  <si>
    <t xml:space="preserve">SUMMIT AGRO MEXICO</t>
  </si>
  <si>
    <t xml:space="preserve">11416</t>
  </si>
  <si>
    <t xml:space="preserve">SAS230111D4</t>
  </si>
  <si>
    <t xml:space="preserve">SERVICIOS DE ADMINISTRACION EN SALUD WEE</t>
  </si>
  <si>
    <t xml:space="preserve">11417</t>
  </si>
  <si>
    <t xml:space="preserve">SAT170927Q9</t>
  </si>
  <si>
    <t xml:space="preserve">SERVICIOS ADMINISTRATIVOS TRANSFORMANDO LA EDUCACION DE MEXICO</t>
  </si>
  <si>
    <t xml:space="preserve">11418</t>
  </si>
  <si>
    <t xml:space="preserve">SBA191212DE</t>
  </si>
  <si>
    <t xml:space="preserve">SERVICIOS BAGARZA</t>
  </si>
  <si>
    <t xml:space="preserve">11419</t>
  </si>
  <si>
    <t xml:space="preserve">SBC070427N3</t>
  </si>
  <si>
    <t xml:space="preserve">SOUTH BAJA CONSTRUCTORA</t>
  </si>
  <si>
    <t xml:space="preserve">11420</t>
  </si>
  <si>
    <t xml:space="preserve">SCA210528AW</t>
  </si>
  <si>
    <t xml:space="preserve">SINFOROSA CAFE</t>
  </si>
  <si>
    <t xml:space="preserve">11421</t>
  </si>
  <si>
    <t xml:space="preserve">SCA220819UN</t>
  </si>
  <si>
    <t xml:space="preserve">SEGURIDAD Y CONTROL ALET</t>
  </si>
  <si>
    <t xml:space="preserve">11422</t>
  </si>
  <si>
    <t xml:space="preserve">SCI190315K9</t>
  </si>
  <si>
    <t xml:space="preserve">SMARK CHEMICALS INTERNATIONAL</t>
  </si>
  <si>
    <t xml:space="preserve">11423</t>
  </si>
  <si>
    <t xml:space="preserve">SCO16041153</t>
  </si>
  <si>
    <t xml:space="preserve">SCR COMMUNICATIONS</t>
  </si>
  <si>
    <t xml:space="preserve">11424</t>
  </si>
  <si>
    <t xml:space="preserve">SCT150907H7</t>
  </si>
  <si>
    <t xml:space="preserve">SINERGIA CREATIVA DE TALENTOS SA DE CV</t>
  </si>
  <si>
    <t xml:space="preserve">11425</t>
  </si>
  <si>
    <t xml:space="preserve">SDA84061229</t>
  </si>
  <si>
    <t xml:space="preserve">SERVICIO Y DISTRIBUIDORES DE AUTOPARTES</t>
  </si>
  <si>
    <t xml:space="preserve">11426</t>
  </si>
  <si>
    <t xml:space="preserve">SDH2404084A</t>
  </si>
  <si>
    <t xml:space="preserve">SMILE DENTAL HALI</t>
  </si>
  <si>
    <t xml:space="preserve">11427</t>
  </si>
  <si>
    <t xml:space="preserve">SDI211118U4</t>
  </si>
  <si>
    <t xml:space="preserve">11428</t>
  </si>
  <si>
    <t xml:space="preserve">SDM24031392</t>
  </si>
  <si>
    <t xml:space="preserve">SERVICIOS DCOMERCIALES MAXMEX</t>
  </si>
  <si>
    <t xml:space="preserve">11429</t>
  </si>
  <si>
    <t xml:space="preserve">SEA100123MR</t>
  </si>
  <si>
    <t xml:space="preserve">SERVICIOS EMPRESARIALES DE ALTURA</t>
  </si>
  <si>
    <t xml:space="preserve">11430</t>
  </si>
  <si>
    <t xml:space="preserve">SEG840925BI</t>
  </si>
  <si>
    <t xml:space="preserve">SEGMENTA</t>
  </si>
  <si>
    <t xml:space="preserve">11431</t>
  </si>
  <si>
    <t xml:space="preserve">SEI240528FF</t>
  </si>
  <si>
    <t xml:space="preserve">SOLUCIONES EMPRESARIALES INTEGRALES LIZAMA</t>
  </si>
  <si>
    <t xml:space="preserve">11432</t>
  </si>
  <si>
    <t xml:space="preserve">SEP1409264S</t>
  </si>
  <si>
    <t xml:space="preserve">SUMA ENLACES PROFESIONALES</t>
  </si>
  <si>
    <t xml:space="preserve">11433</t>
  </si>
  <si>
    <t xml:space="preserve">SER140909S8</t>
  </si>
  <si>
    <t xml:space="preserve">SERVIGUE</t>
  </si>
  <si>
    <t xml:space="preserve">11434</t>
  </si>
  <si>
    <t xml:space="preserve">SER920327C9</t>
  </si>
  <si>
    <t xml:space="preserve">SERINTRA</t>
  </si>
  <si>
    <t xml:space="preserve">11435</t>
  </si>
  <si>
    <t xml:space="preserve">SFO20070887</t>
  </si>
  <si>
    <t xml:space="preserve">SAMA FOODS</t>
  </si>
  <si>
    <t xml:space="preserve">11436</t>
  </si>
  <si>
    <t xml:space="preserve">SGR1508054Z</t>
  </si>
  <si>
    <t xml:space="preserve">SOLUCIONES GROSE</t>
  </si>
  <si>
    <t xml:space="preserve">11437</t>
  </si>
  <si>
    <t xml:space="preserve">SGS190610IW</t>
  </si>
  <si>
    <t xml:space="preserve">SEPRILA GRUPO DE SEGURIDAD PRIVADA EN LATINOAMERICA</t>
  </si>
  <si>
    <t xml:space="preserve">11438</t>
  </si>
  <si>
    <t xml:space="preserve">SHC150622PG</t>
  </si>
  <si>
    <t xml:space="preserve">STONE HUMAN CAPITAL</t>
  </si>
  <si>
    <t xml:space="preserve">11439</t>
  </si>
  <si>
    <t xml:space="preserve">SHL080111LL</t>
  </si>
  <si>
    <t xml:space="preserve">SEICO HIDRAULICA Y LUBRICACION SA DE CV</t>
  </si>
  <si>
    <t xml:space="preserve">11440</t>
  </si>
  <si>
    <t xml:space="preserve">SHM191217JE</t>
  </si>
  <si>
    <t xml:space="preserve">SERVICIOS DE HOSPITALIDAD MEREVA</t>
  </si>
  <si>
    <t xml:space="preserve">11441</t>
  </si>
  <si>
    <t xml:space="preserve">SHN571001I6</t>
  </si>
  <si>
    <t xml:space="preserve">SCHETTINO HERMANOS</t>
  </si>
  <si>
    <t xml:space="preserve">11442</t>
  </si>
  <si>
    <t xml:space="preserve">SID1312207I</t>
  </si>
  <si>
    <t xml:space="preserve">SERVICIOS INTEGRALES DIACONMA</t>
  </si>
  <si>
    <t xml:space="preserve">11443</t>
  </si>
  <si>
    <t xml:space="preserve">SIE011117QZ</t>
  </si>
  <si>
    <t xml:space="preserve">SOLUCIONES INTELIGENTES EN EMBALAJE</t>
  </si>
  <si>
    <t xml:space="preserve">11444</t>
  </si>
  <si>
    <t xml:space="preserve">SIGU8304075</t>
  </si>
  <si>
    <t xml:space="preserve">GUILLERMO AUGUSTO FACUNDO SIMONINI</t>
  </si>
  <si>
    <t xml:space="preserve">11445</t>
  </si>
  <si>
    <t xml:space="preserve">SIP0312181Z</t>
  </si>
  <si>
    <t xml:space="preserve">SOLUCIONES INTEGRALES EN PLASTICO</t>
  </si>
  <si>
    <t xml:space="preserve">11446</t>
  </si>
  <si>
    <t xml:space="preserve">SIP050722BA</t>
  </si>
  <si>
    <t xml:space="preserve">SUMINISTROS INTEGRALES PANAMERICANOS</t>
  </si>
  <si>
    <t xml:space="preserve">11447</t>
  </si>
  <si>
    <t xml:space="preserve">SIR0609142N</t>
  </si>
  <si>
    <t xml:space="preserve">SERVICIOS INTEGRALES DE RECOLECCION DE RESIDUOS</t>
  </si>
  <si>
    <t xml:space="preserve">11448</t>
  </si>
  <si>
    <t xml:space="preserve">SIR110727BB</t>
  </si>
  <si>
    <t xml:space="preserve">SERVICIOS INTEGRALES RAMPER</t>
  </si>
  <si>
    <t xml:space="preserve">11449</t>
  </si>
  <si>
    <t xml:space="preserve">SIT140910BI</t>
  </si>
  <si>
    <t xml:space="preserve">SOLUCIONES INTEGRALES EN TI &amp; WLAN</t>
  </si>
  <si>
    <t xml:space="preserve">11450</t>
  </si>
  <si>
    <t xml:space="preserve">SIT890317V8</t>
  </si>
  <si>
    <t xml:space="preserve">SISTEMAS INTEGRALES PARA EL TRANSPORTE</t>
  </si>
  <si>
    <t xml:space="preserve">11451</t>
  </si>
  <si>
    <t xml:space="preserve">SJE801124F4</t>
  </si>
  <si>
    <t xml:space="preserve">SEXI JEANS</t>
  </si>
  <si>
    <t xml:space="preserve">11452</t>
  </si>
  <si>
    <t xml:space="preserve">SLE2502145C</t>
  </si>
  <si>
    <t xml:space="preserve">SERVICIOS LESETAV</t>
  </si>
  <si>
    <t xml:space="preserve">11453</t>
  </si>
  <si>
    <t xml:space="preserve">SLM1904021C</t>
  </si>
  <si>
    <t xml:space="preserve">SERVICIOS LOGISTICOS MARATEA</t>
  </si>
  <si>
    <t xml:space="preserve">11454</t>
  </si>
  <si>
    <t xml:space="preserve">SLO21052789</t>
  </si>
  <si>
    <t xml:space="preserve">SERVIAP LOGISTICS</t>
  </si>
  <si>
    <t xml:space="preserve">11455</t>
  </si>
  <si>
    <t xml:space="preserve">SME900524FC</t>
  </si>
  <si>
    <t xml:space="preserve">SGS DE MEXICO</t>
  </si>
  <si>
    <t xml:space="preserve">11456</t>
  </si>
  <si>
    <t xml:space="preserve">SMM090918UU</t>
  </si>
  <si>
    <t xml:space="preserve">SERVICIOS MEDICOS MAGAMED</t>
  </si>
  <si>
    <t xml:space="preserve">11457</t>
  </si>
  <si>
    <t xml:space="preserve">SMM2109136J</t>
  </si>
  <si>
    <t xml:space="preserve">SERVICIOS DE MAQUILA Y MANIOBRA RENO</t>
  </si>
  <si>
    <t xml:space="preserve">11458</t>
  </si>
  <si>
    <t xml:space="preserve">SMU1412158G</t>
  </si>
  <si>
    <t xml:space="preserve">SOMOS DEL MUNDO</t>
  </si>
  <si>
    <t xml:space="preserve">11459</t>
  </si>
  <si>
    <t xml:space="preserve">SNO0202153Z</t>
  </si>
  <si>
    <t xml:space="preserve">SIMILARES DEL NORESTE</t>
  </si>
  <si>
    <t xml:space="preserve">11460</t>
  </si>
  <si>
    <t xml:space="preserve">SNS2301115F</t>
  </si>
  <si>
    <t xml:space="preserve">ARAN CONSTRUCCION E INGENIERIA</t>
  </si>
  <si>
    <t xml:space="preserve">11461</t>
  </si>
  <si>
    <t xml:space="preserve">SOA051222UW</t>
  </si>
  <si>
    <t xml:space="preserve">SERVICIOS OPERATIVOS DEL ATLANTICO</t>
  </si>
  <si>
    <t xml:space="preserve">11462</t>
  </si>
  <si>
    <t xml:space="preserve">SOL221010LV</t>
  </si>
  <si>
    <t xml:space="preserve">SOLMEXSEG</t>
  </si>
  <si>
    <t xml:space="preserve">11463</t>
  </si>
  <si>
    <t xml:space="preserve">SORG741022A</t>
  </si>
  <si>
    <t xml:space="preserve">GEBHARD KONRAD SPROLL ROJAS</t>
  </si>
  <si>
    <t xml:space="preserve">11464</t>
  </si>
  <si>
    <t xml:space="preserve">SPI180316RR</t>
  </si>
  <si>
    <t xml:space="preserve">SYD PROYECTOS INTEGRALES</t>
  </si>
  <si>
    <t xml:space="preserve">11465</t>
  </si>
  <si>
    <t xml:space="preserve">SRE0602021Q</t>
  </si>
  <si>
    <t xml:space="preserve">SIERRA NORTE TRUCK CENTER</t>
  </si>
  <si>
    <t xml:space="preserve">11466</t>
  </si>
  <si>
    <t xml:space="preserve">SSM130902AF</t>
  </si>
  <si>
    <t xml:space="preserve">SPARRMX SERVICIOS DE MEXICO</t>
  </si>
  <si>
    <t xml:space="preserve">11467</t>
  </si>
  <si>
    <t xml:space="preserve">SSM17101889</t>
  </si>
  <si>
    <t xml:space="preserve">SOFTEXPERT SOFTWARE MEXICO</t>
  </si>
  <si>
    <t xml:space="preserve">11468</t>
  </si>
  <si>
    <t xml:space="preserve">SSO180716CI</t>
  </si>
  <si>
    <t xml:space="preserve">11469</t>
  </si>
  <si>
    <t xml:space="preserve">SSO220826IZ</t>
  </si>
  <si>
    <t xml:space="preserve">SOLUCIONES EN SALUD OCUPACIONAL, SEGURIDAD E HIGIENE INDUSTRIAL</t>
  </si>
  <si>
    <t xml:space="preserve">11470</t>
  </si>
  <si>
    <t xml:space="preserve">SSP240411D6</t>
  </si>
  <si>
    <t xml:space="preserve">SAHORIMA SERVICIOS PROFESIONALES</t>
  </si>
  <si>
    <t xml:space="preserve">11471</t>
  </si>
  <si>
    <t xml:space="preserve">STI070725SA</t>
  </si>
  <si>
    <t xml:space="preserve">SOLUCIONES PARA TI</t>
  </si>
  <si>
    <t xml:space="preserve">11472</t>
  </si>
  <si>
    <t xml:space="preserve">STR190923PR</t>
  </si>
  <si>
    <t xml:space="preserve">STED TRASLADOS</t>
  </si>
  <si>
    <t xml:space="preserve">11473</t>
  </si>
  <si>
    <t xml:space="preserve">STT220325SZ</t>
  </si>
  <si>
    <t xml:space="preserve">SOLUCIONES 360IT EN TRANSFORMACION DIGITAL</t>
  </si>
  <si>
    <t xml:space="preserve">11474</t>
  </si>
  <si>
    <t xml:space="preserve">TAC140923CC</t>
  </si>
  <si>
    <t xml:space="preserve">TRITURADOS, AGREGADOS Y CONSTRUCCIONES PEDREGAL</t>
  </si>
  <si>
    <t xml:space="preserve">11475</t>
  </si>
  <si>
    <t xml:space="preserve">TAD120822FT</t>
  </si>
  <si>
    <t xml:space="preserve">TANGO ADMINISTRADORA</t>
  </si>
  <si>
    <t xml:space="preserve">11476</t>
  </si>
  <si>
    <t xml:space="preserve">TAD140205H9</t>
  </si>
  <si>
    <t xml:space="preserve">TIENDAS ADITIVO</t>
  </si>
  <si>
    <t xml:space="preserve">11477</t>
  </si>
  <si>
    <t xml:space="preserve">TAK150204F1</t>
  </si>
  <si>
    <t xml:space="preserve">TODO EN ANUNCIOS A KOLOR TOLUCA</t>
  </si>
  <si>
    <t xml:space="preserve">11478</t>
  </si>
  <si>
    <t xml:space="preserve">TAK150240F1</t>
  </si>
  <si>
    <t xml:space="preserve">11479</t>
  </si>
  <si>
    <t xml:space="preserve">TBL170710QL</t>
  </si>
  <si>
    <t xml:space="preserve">TAGLE BLINDER</t>
  </si>
  <si>
    <t xml:space="preserve">11480</t>
  </si>
  <si>
    <t xml:space="preserve">TBM19032612</t>
  </si>
  <si>
    <t xml:space="preserve">TECNOLOGIA EN BENEFICIOS MEXICO</t>
  </si>
  <si>
    <t xml:space="preserve">11481</t>
  </si>
  <si>
    <t xml:space="preserve">TBO181023J2</t>
  </si>
  <si>
    <t xml:space="preserve">TEAM BACK 11</t>
  </si>
  <si>
    <t xml:space="preserve">11482</t>
  </si>
  <si>
    <t xml:space="preserve">TBU210421JV</t>
  </si>
  <si>
    <t xml:space="preserve">TECH BUKERS</t>
  </si>
  <si>
    <t xml:space="preserve">11483</t>
  </si>
  <si>
    <t xml:space="preserve">TCH150626PH</t>
  </si>
  <si>
    <t xml:space="preserve">TODO PARA EL CARPINTERO Y HERRAJES MARTINEZ</t>
  </si>
  <si>
    <t xml:space="preserve">11484</t>
  </si>
  <si>
    <t xml:space="preserve">TCM0511236B</t>
  </si>
  <si>
    <t xml:space="preserve">TEBON CLASS DE MEXICO</t>
  </si>
  <si>
    <t xml:space="preserve">11485</t>
  </si>
  <si>
    <t xml:space="preserve">TCO9512187H</t>
  </si>
  <si>
    <t xml:space="preserve">TENSA CONSTRUCCIONES</t>
  </si>
  <si>
    <t xml:space="preserve">11486</t>
  </si>
  <si>
    <t xml:space="preserve">TCO970614ML</t>
  </si>
  <si>
    <t xml:space="preserve">TADCO CONSTRUCTORA</t>
  </si>
  <si>
    <t xml:space="preserve">11487</t>
  </si>
  <si>
    <t xml:space="preserve">TCS18040685</t>
  </si>
  <si>
    <t xml:space="preserve">TRABAJADORES CAPACITADOS EN SUBCONTRATACION</t>
  </si>
  <si>
    <t xml:space="preserve">11488</t>
  </si>
  <si>
    <t xml:space="preserve">TCT2204079E</t>
  </si>
  <si>
    <t xml:space="preserve">TIMELY CONTAC TECHNOLOGY</t>
  </si>
  <si>
    <t xml:space="preserve">11489</t>
  </si>
  <si>
    <t xml:space="preserve">TCX0912229Q</t>
  </si>
  <si>
    <t xml:space="preserve">TELECOMUNICACIONES CH</t>
  </si>
  <si>
    <t xml:space="preserve">11490</t>
  </si>
  <si>
    <t xml:space="preserve">TDC210202AQ</t>
  </si>
  <si>
    <t xml:space="preserve">TALENT 2 CLEAN</t>
  </si>
  <si>
    <t xml:space="preserve">11491</t>
  </si>
  <si>
    <t xml:space="preserve">TDI010611BF</t>
  </si>
  <si>
    <t xml:space="preserve">TROLLE DIVERS</t>
  </si>
  <si>
    <t xml:space="preserve">11492</t>
  </si>
  <si>
    <t xml:space="preserve">TDS240110H5</t>
  </si>
  <si>
    <t xml:space="preserve">TDSYSTEM</t>
  </si>
  <si>
    <t xml:space="preserve">11493</t>
  </si>
  <si>
    <t xml:space="preserve">TEAJ931118L</t>
  </si>
  <si>
    <t xml:space="preserve">JONATHAN ARTURO TENORIO DEL AGUILA</t>
  </si>
  <si>
    <t xml:space="preserve">11494</t>
  </si>
  <si>
    <t xml:space="preserve">TED011106K2</t>
  </si>
  <si>
    <t xml:space="preserve">TITAN EDIFICACIONES</t>
  </si>
  <si>
    <t xml:space="preserve">11495</t>
  </si>
  <si>
    <t xml:space="preserve">TEK240710P9</t>
  </si>
  <si>
    <t xml:space="preserve">TECNO ESPECIALIZADOS KIURT</t>
  </si>
  <si>
    <t xml:space="preserve">11496</t>
  </si>
  <si>
    <t xml:space="preserve">TEL140918DI</t>
  </si>
  <si>
    <t xml:space="preserve">TELESPECTA</t>
  </si>
  <si>
    <t xml:space="preserve">11497</t>
  </si>
  <si>
    <t xml:space="preserve">TER060227LR</t>
  </si>
  <si>
    <t xml:space="preserve">TRANSPORTES ESPECIALIZADOS RUGA</t>
  </si>
  <si>
    <t xml:space="preserve">11498</t>
  </si>
  <si>
    <t xml:space="preserve">TESJ7101039</t>
  </si>
  <si>
    <t xml:space="preserve">JUAN TEJEDA SANTILLAN</t>
  </si>
  <si>
    <t xml:space="preserve">11499</t>
  </si>
  <si>
    <t xml:space="preserve">TFM070312IC</t>
  </si>
  <si>
    <t xml:space="preserve">TEAM FOODS MEXICO</t>
  </si>
  <si>
    <t xml:space="preserve">11500</t>
  </si>
  <si>
    <t xml:space="preserve">TFV220408B6</t>
  </si>
  <si>
    <t xml:space="preserve">TAKE FLIGHT VENTURES</t>
  </si>
  <si>
    <t xml:space="preserve">11501</t>
  </si>
  <si>
    <t xml:space="preserve">TGR140826RC</t>
  </si>
  <si>
    <t xml:space="preserve">TCO GROUP</t>
  </si>
  <si>
    <t xml:space="preserve">11502</t>
  </si>
  <si>
    <t xml:space="preserve">TIDR770806G</t>
  </si>
  <si>
    <t xml:space="preserve">ROSEMBER TIRADO DAMIAN</t>
  </si>
  <si>
    <t xml:space="preserve">11503</t>
  </si>
  <si>
    <t xml:space="preserve">TJA17071945</t>
  </si>
  <si>
    <t xml:space="preserve">TRIBUNAL DE JUSTICIA ADMINISTRATIVA DEL ESTADO DE MEXICO</t>
  </si>
  <si>
    <t xml:space="preserve">11504</t>
  </si>
  <si>
    <t xml:space="preserve">TLM1402276K</t>
  </si>
  <si>
    <t xml:space="preserve">TRANSPORTACION Y LOGISTICA MALDONADO</t>
  </si>
  <si>
    <t xml:space="preserve">11505</t>
  </si>
  <si>
    <t xml:space="preserve">TLO210115LJ</t>
  </si>
  <si>
    <t xml:space="preserve">TRANSLOGGAR LOGISTICS SA DE CV</t>
  </si>
  <si>
    <t xml:space="preserve">11506</t>
  </si>
  <si>
    <t xml:space="preserve">TME930119HR</t>
  </si>
  <si>
    <t xml:space="preserve">TOTALENERGIES MARKETING MEXICO</t>
  </si>
  <si>
    <t xml:space="preserve">11507</t>
  </si>
  <si>
    <t xml:space="preserve">TML220531QJ</t>
  </si>
  <si>
    <t xml:space="preserve">TERRA MATER LOGISTICA INTEGRAL EN SOLUCIONES AMBIENTALES</t>
  </si>
  <si>
    <t xml:space="preserve">11508</t>
  </si>
  <si>
    <t xml:space="preserve">TPS920310RS</t>
  </si>
  <si>
    <t xml:space="preserve">TRANSPORTES PIGASA</t>
  </si>
  <si>
    <t xml:space="preserve">11509</t>
  </si>
  <si>
    <t xml:space="preserve">TQM8612184N</t>
  </si>
  <si>
    <t xml:space="preserve">PURATOS DE MEXICO</t>
  </si>
  <si>
    <t xml:space="preserve">11510</t>
  </si>
  <si>
    <t xml:space="preserve">TSA240315GA</t>
  </si>
  <si>
    <t xml:space="preserve">TUTTO SALUD</t>
  </si>
  <si>
    <t xml:space="preserve">11511</t>
  </si>
  <si>
    <t xml:space="preserve">TSI210914PK</t>
  </si>
  <si>
    <t xml:space="preserve">TECNOLOGIA SINTEL</t>
  </si>
  <si>
    <t xml:space="preserve">11512</t>
  </si>
  <si>
    <t xml:space="preserve">TSM220523UC</t>
  </si>
  <si>
    <t xml:space="preserve">TSMIQUIRRAY</t>
  </si>
  <si>
    <t xml:space="preserve">11513</t>
  </si>
  <si>
    <t xml:space="preserve">TTM210205NV</t>
  </si>
  <si>
    <t xml:space="preserve">TECNOLOGIAS TUL MX</t>
  </si>
  <si>
    <t xml:space="preserve">11514</t>
  </si>
  <si>
    <t xml:space="preserve">TTR841228A3</t>
  </si>
  <si>
    <t xml:space="preserve">TIENDAS TROPICALES</t>
  </si>
  <si>
    <t xml:space="preserve">11515</t>
  </si>
  <si>
    <t xml:space="preserve">TUS060410E1</t>
  </si>
  <si>
    <t xml:space="preserve">TUSSAN</t>
  </si>
  <si>
    <t xml:space="preserve">11516</t>
  </si>
  <si>
    <t xml:space="preserve">TWT000511KF</t>
  </si>
  <si>
    <t xml:space="preserve">TRANSPORTES WONG DE LA TORRE</t>
  </si>
  <si>
    <t xml:space="preserve">11517</t>
  </si>
  <si>
    <t xml:space="preserve">TZM1211063S</t>
  </si>
  <si>
    <t xml:space="preserve">TRANSPORTES ZAPATA MEJIA</t>
  </si>
  <si>
    <t xml:space="preserve">11518</t>
  </si>
  <si>
    <t xml:space="preserve">UBS100422SZ</t>
  </si>
  <si>
    <t xml:space="preserve">UNITED BARCODE SYSTEMS DE MEXICO</t>
  </si>
  <si>
    <t xml:space="preserve">11519</t>
  </si>
  <si>
    <t xml:space="preserve">UCO040903MP</t>
  </si>
  <si>
    <t xml:space="preserve">UNIQUE COMM</t>
  </si>
  <si>
    <t xml:space="preserve">11520</t>
  </si>
  <si>
    <t xml:space="preserve">UDP0301305U</t>
  </si>
  <si>
    <t xml:space="preserve">UNIVERSIDAD DEL DESARROLLO PROFESIONAL</t>
  </si>
  <si>
    <t xml:space="preserve">11521</t>
  </si>
  <si>
    <t xml:space="preserve">UEE200721NC</t>
  </si>
  <si>
    <t xml:space="preserve">UNIVERSIDAD DE EXCELENCIA EDUCATIVA MEXICO</t>
  </si>
  <si>
    <t xml:space="preserve">11522</t>
  </si>
  <si>
    <t xml:space="preserve">ULA751222J1</t>
  </si>
  <si>
    <t xml:space="preserve">UNIVERSIDAD LATINOAMERICANA</t>
  </si>
  <si>
    <t xml:space="preserve">11523</t>
  </si>
  <si>
    <t xml:space="preserve">USE061205JD</t>
  </si>
  <si>
    <t xml:space="preserve">U - STORAGE SERVICIOS</t>
  </si>
  <si>
    <t xml:space="preserve">11524</t>
  </si>
  <si>
    <t xml:space="preserve">VAC180507NI</t>
  </si>
  <si>
    <t xml:space="preserve">VRS ACERO</t>
  </si>
  <si>
    <t xml:space="preserve">11525</t>
  </si>
  <si>
    <t xml:space="preserve">VAL110809NA</t>
  </si>
  <si>
    <t xml:space="preserve">VALKIPRO</t>
  </si>
  <si>
    <t xml:space="preserve">11526</t>
  </si>
  <si>
    <t xml:space="preserve">VAL140908J2</t>
  </si>
  <si>
    <t xml:space="preserve">VALLELOZA</t>
  </si>
  <si>
    <t xml:space="preserve">11527</t>
  </si>
  <si>
    <t xml:space="preserve">VAPR870821D</t>
  </si>
  <si>
    <t xml:space="preserve">RODOLFO VALTIERRA PICOS</t>
  </si>
  <si>
    <t xml:space="preserve">11528</t>
  </si>
  <si>
    <t xml:space="preserve">VAU1712117P</t>
  </si>
  <si>
    <t xml:space="preserve">VS AUTOMATIZACION</t>
  </si>
  <si>
    <t xml:space="preserve">11529</t>
  </si>
  <si>
    <t xml:space="preserve">VBI080423HJ</t>
  </si>
  <si>
    <t xml:space="preserve">VIADUCTO BICENTENARIO</t>
  </si>
  <si>
    <t xml:space="preserve">11530</t>
  </si>
  <si>
    <t xml:space="preserve">VCE180627HB</t>
  </si>
  <si>
    <t xml:space="preserve">VIVALO CEL</t>
  </si>
  <si>
    <t xml:space="preserve">11531</t>
  </si>
  <si>
    <t xml:space="preserve">VCL90081357</t>
  </si>
  <si>
    <t xml:space="preserve">VELEZ CHILDRENS LANGUAGE CENTER</t>
  </si>
  <si>
    <t xml:space="preserve">11532</t>
  </si>
  <si>
    <t xml:space="preserve">VCO200324GV</t>
  </si>
  <si>
    <t xml:space="preserve">VIRAL CODE SA DE CV</t>
  </si>
  <si>
    <t xml:space="preserve">11533</t>
  </si>
  <si>
    <t xml:space="preserve">VER210326DQ</t>
  </si>
  <si>
    <t xml:space="preserve">VERDICULTURA</t>
  </si>
  <si>
    <t xml:space="preserve">11534</t>
  </si>
  <si>
    <t xml:space="preserve">VFL2509027Z</t>
  </si>
  <si>
    <t xml:space="preserve">VIRAL FLAVOR</t>
  </si>
  <si>
    <t xml:space="preserve">11535</t>
  </si>
  <si>
    <t xml:space="preserve">VHM2104121T</t>
  </si>
  <si>
    <t xml:space="preserve">VIAJERO HOTELS MX</t>
  </si>
  <si>
    <t xml:space="preserve">11536</t>
  </si>
  <si>
    <t xml:space="preserve">VIL221118IJ</t>
  </si>
  <si>
    <t xml:space="preserve">VILLAMACOCO</t>
  </si>
  <si>
    <t xml:space="preserve">11537</t>
  </si>
  <si>
    <t xml:space="preserve">VIN160504DL</t>
  </si>
  <si>
    <t xml:space="preserve">VOLTRUCK INTERNATIONAL</t>
  </si>
  <si>
    <t xml:space="preserve">11538</t>
  </si>
  <si>
    <t xml:space="preserve">VJU981123KB</t>
  </si>
  <si>
    <t xml:space="preserve">VILLAGOMEZ JURADO</t>
  </si>
  <si>
    <t xml:space="preserve">11539</t>
  </si>
  <si>
    <t xml:space="preserve">VME091007E8</t>
  </si>
  <si>
    <t xml:space="preserve">VALIANT DE MEXICO</t>
  </si>
  <si>
    <t xml:space="preserve">11540</t>
  </si>
  <si>
    <t xml:space="preserve">VME980209HJ</t>
  </si>
  <si>
    <t xml:space="preserve">VALIDACION Y METROLOGIA</t>
  </si>
  <si>
    <t xml:space="preserve">11541</t>
  </si>
  <si>
    <t xml:space="preserve">VMM170810L6</t>
  </si>
  <si>
    <t xml:space="preserve">VAUGHN MANUFACTURING MEXICO</t>
  </si>
  <si>
    <t xml:space="preserve">11542</t>
  </si>
  <si>
    <t xml:space="preserve">VOT030512SA</t>
  </si>
  <si>
    <t xml:space="preserve">V O TECNOLOGIA LASER APLICADA A LA VISION</t>
  </si>
  <si>
    <t xml:space="preserve">11543</t>
  </si>
  <si>
    <t xml:space="preserve">VRE020626SQ</t>
  </si>
  <si>
    <t xml:space="preserve">VINICOLA REGIONAL DE ENSENADA</t>
  </si>
  <si>
    <t xml:space="preserve">11544</t>
  </si>
  <si>
    <t xml:space="preserve">VSN120124HE</t>
  </si>
  <si>
    <t xml:space="preserve">FULTRA</t>
  </si>
  <si>
    <t xml:space="preserve">11545</t>
  </si>
  <si>
    <t xml:space="preserve">VVG040114UT</t>
  </si>
  <si>
    <t xml:space="preserve">VIÑAS DEL VALLE DE GUADALUPE</t>
  </si>
  <si>
    <t xml:space="preserve">11546</t>
  </si>
  <si>
    <t xml:space="preserve">WEE170309CZ</t>
  </si>
  <si>
    <t xml:space="preserve">WEECLAIMS</t>
  </si>
  <si>
    <t xml:space="preserve">11547</t>
  </si>
  <si>
    <t xml:space="preserve">WLM220919GX</t>
  </si>
  <si>
    <t xml:space="preserve">WIZZ LIFE MEXICO</t>
  </si>
  <si>
    <t xml:space="preserve">11548</t>
  </si>
  <si>
    <t xml:space="preserve">WME800410SW</t>
  </si>
  <si>
    <t xml:space="preserve">INMOBILIARIA INMOBICO</t>
  </si>
  <si>
    <t xml:space="preserve">11549</t>
  </si>
  <si>
    <t xml:space="preserve">WPC25061634</t>
  </si>
  <si>
    <t xml:space="preserve">WIN PRO CAR</t>
  </si>
  <si>
    <t xml:space="preserve">11550</t>
  </si>
  <si>
    <t xml:space="preserve">WRC181029GC</t>
  </si>
  <si>
    <t xml:space="preserve">WAREHOUSE RENTALS MI LOS CABOS</t>
  </si>
  <si>
    <t xml:space="preserve">11551</t>
  </si>
  <si>
    <t xml:space="preserve">WSG940622JM</t>
  </si>
  <si>
    <t xml:space="preserve">WILSON SPORTING GOODS CO DE MEXICO</t>
  </si>
  <si>
    <t xml:space="preserve">11552</t>
  </si>
  <si>
    <t xml:space="preserve">XAN1712213K</t>
  </si>
  <si>
    <t xml:space="preserve">XANDER</t>
  </si>
  <si>
    <t xml:space="preserve">11553</t>
  </si>
  <si>
    <t xml:space="preserve">XAXX0101010</t>
  </si>
  <si>
    <t xml:space="preserve">PUBLICO GENERAL</t>
  </si>
  <si>
    <t xml:space="preserve">11554</t>
  </si>
  <si>
    <t xml:space="preserve">XEXX0101010</t>
  </si>
  <si>
    <t xml:space="preserve">MELYS JANITORIAL SERVICES</t>
  </si>
  <si>
    <t xml:space="preserve">11555</t>
  </si>
  <si>
    <t xml:space="preserve">YEL211025TU</t>
  </si>
  <si>
    <t xml:space="preserve">YELTE</t>
  </si>
  <si>
    <t xml:space="preserve">11556</t>
  </si>
  <si>
    <t xml:space="preserve">YOR210901F2</t>
  </si>
  <si>
    <t xml:space="preserve">YOREP</t>
  </si>
  <si>
    <t xml:space="preserve">11557</t>
  </si>
  <si>
    <t xml:space="preserve">ZAD161014DM</t>
  </si>
  <si>
    <t xml:space="preserve">ZKC ADMINISTRACION</t>
  </si>
  <si>
    <t xml:space="preserve">11558</t>
  </si>
  <si>
    <t xml:space="preserve">ZFM111018JQ</t>
  </si>
  <si>
    <t xml:space="preserve">ZENSHO FOOD DE MEXICO</t>
  </si>
  <si>
    <t xml:space="preserve">11559</t>
  </si>
  <si>
    <t xml:space="preserve">ZGP9903155I</t>
  </si>
  <si>
    <t xml:space="preserve">ZAPATERIA LA GRAN PLAZA</t>
  </si>
  <si>
    <t xml:space="preserve">11560</t>
  </si>
  <si>
    <t xml:space="preserve">ZSM1909139W</t>
  </si>
  <si>
    <t xml:space="preserve">ZETECH SOLUCIONES MEXICO</t>
  </si>
  <si>
    <t xml:space="preserve">11561</t>
  </si>
  <si>
    <t xml:space="preserve">ZSU920314FC</t>
  </si>
  <si>
    <t xml:space="preserve">ZAPATERIAS SUPER</t>
  </si>
  <si>
    <t xml:space="preserve">11562</t>
  </si>
  <si>
    <t xml:space="preserve">TC MXN/USD mes base (sólo tamaño)</t>
  </si>
  <si>
    <t xml:space="preserve">MRR 2025-06 MXN (base)</t>
  </si>
  <si>
    <t xml:space="preserve">MRR 2026-06 MXN (actual)</t>
  </si>
  <si>
    <t xml:space="preserve">NRR (MXN)</t>
  </si>
  <si>
    <t xml:space="preserve">Tamaño USD (base/TC)</t>
  </si>
  <si>
    <t xml:space="preserve">MRR retenido MXN (=MIN(actual;base))</t>
  </si>
  <si>
    <t xml:space="preserve">Empresa(s)</t>
  </si>
  <si>
    <t xml:space="preserve">MRR jun-2025 MXN (perdido)</t>
  </si>
  <si>
    <t xml:space="preserve">Tamaño USD</t>
  </si>
  <si>
    <t xml:space="preserve">Último mes con MRR</t>
  </si>
  <si>
    <t xml:space="preserve">Meses con MRR (vida)</t>
  </si>
  <si>
    <t xml:space="preserve">MRR jun-2026 (verificación)</t>
  </si>
  <si>
    <t xml:space="preserve">TC MXN/USD jun-25:</t>
  </si>
  <si>
    <t xml:space="preserve">TOTAL FUGA</t>
  </si>
  <si>
    <t xml:space="preserve">Fuga = conglomerados de la cohorte de jun-2026 (MRR &gt; 0 en jun-2025) con MRR = 0 en jun-2026. Ordenados por MRR perdido. Filas referenciadas por fórmula a "MRR Conglomerado".</t>
  </si>
  <si>
    <t xml:space="preserve">NOTAS — MÉXICO, NRR DE JUNIO 2026, BASE MENSUAL, POR SEGMENTO DE TAMAÑO</t>
  </si>
  <si>
    <t xml:space="preserve">Definición: NRR del mes X = MRR de la cohorte en X / MRR en X-12, con cohorte = conglomerados de México con</t>
  </si>
  <si>
    <t xml:space="preserve">MRR &gt; 0 en X-12 (se omiten los creados desde el mes siguiente). Todo el cálculo en MXN (moneda local = tipo de</t>
  </si>
  <si>
    <t xml:space="preserve">cambio original). USD sólo para segmentar por tamaño: MRR del mes base ÷ TC MXN/USD del mes base (hoja TC del</t>
  </si>
  <si>
    <t xml:space="preserve">archivo original): jun-25: 18,885 (ver celda B del detalle).</t>
  </si>
  <si>
    <t xml:space="preserve">Segmentos: &lt; 100; 100 a 499,99; 500 a 1.999,99; 2.000 o más USD.</t>
  </si>
  <si>
    <t xml:space="preserve">Hoja "MRR Conglomerado": MRR mensual MXN por conglomerado (suma de sus RUT en México), extraído de</t>
  </si>
  <si>
    <t xml:space="preserve">"MRR Consolidado Moneda Loca v2" con trazabilidad en la columna C. Únicos valores pegados; el resto son fórmulas.</t>
  </si>
  <si>
    <t xml:space="preserve">Hoja "Detalle 2026-06": base (jun-25), actual (jun-26), NRR, tamaño USD, segmento y MRR retenido por conglomerado.</t>
  </si>
  <si>
    <t xml:space="preserve">Hoja "Resumen": N, fuga, % fuga, GRR y NRR por segmento y total, con fórmulas SUMIFS/COUNTIFS sobre los detalles.</t>
  </si>
  <si>
    <t xml:space="preserve">Advertencia: el segmento "Más de 2.000 USD" en México tiene ~5 cuentas; su NRR es muy sensible a una sola cuenta.</t>
  </si>
  <si>
    <t xml:space="preserve">Hoja "Detalle Fuga 2026-06": las 86 cuentas de la cohorte que quedaron en MRR = 0 en jun-2026, con su MRR perdido,</t>
  </si>
  <si>
    <t xml:space="preserve">tamaño, segmento, último mes con MRR y meses de vida. La fuga suma 323.985 MXN (~17.156 USD) = 15,6% del MRR base de la cohorte.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</si>
</sst>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General"/>
    <numFmt numFmtId="167" formatCode="#,##0"/>
    <numFmt numFmtId="168" formatCode="#,##0.00"/>
    <numFmt numFmtId="169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DC3E6"/>
        <bgColor rgb="FFBFBFBF"/>
      </patternFill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9" min="2" style="1" width="11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true" outlineLevel="0" collapsed="false">
      <c r="A6" s="6" t="s">
        <v>9</v>
      </c>
      <c r="B6" s="6" t="n">
        <f aca="false">COUNTIFS('Detalle 2026-06'!C2:C784,"&gt;0",'Detalle 2026-06'!G2:G784,"Menos de 100 USD")</f>
        <v>125</v>
      </c>
      <c r="C6" s="6" t="n">
        <f aca="false">COUNTIFS('Detalle 2026-06'!C2:C784,"&gt;0",'Detalle 2026-06'!D2:D784,"&lt;=0",'Detalle 2026-06'!G2:G784,"Menos de 100 USD")</f>
        <v>46</v>
      </c>
      <c r="D6" s="7" t="n">
        <f aca="false">IFERROR(COUNTIFS('Detalle 2026-06'!C2:C784,"&gt;0",'Detalle 2026-06'!D2:D784,"&lt;=0",'Detalle 2026-06'!G2:G784,"Menos de 100 USD")/COUNTIFS('Detalle 2026-06'!C2:C784,"&gt;0",'Detalle 2026-06'!G2:G784,"Menos de 100 USD"),"")</f>
        <v>0.368</v>
      </c>
      <c r="E6" s="7" t="n">
        <f aca="false">IFERROR(SUMIFS('Detalle 2026-06'!H2:H784,'Detalle 2026-06'!G2:G784,"Menos de 100 USD")/SUMIFS('Detalle 2026-06'!C2:C784,'Detalle 2026-06'!G2:G784,"Menos de 100 USD"),"")</f>
        <v>0.653583506242238</v>
      </c>
      <c r="F6" s="7" t="n">
        <f aca="false">IFERROR(SUMIFS('Detalle 2026-06'!D2:D784,'Detalle 2026-06'!G2:G784,"Menos de 100 USD")/SUMIFS('Detalle 2026-06'!C2:C784,'Detalle 2026-06'!G2:G784,"Menos de 100 USD"),"")</f>
        <v>0.91827527649418</v>
      </c>
    </row>
    <row r="7" customFormat="false" ht="15" hidden="false" customHeight="true" outlineLevel="0" collapsed="false">
      <c r="A7" s="6" t="s">
        <v>10</v>
      </c>
      <c r="B7" s="6" t="n">
        <f aca="false">COUNTIFS('Detalle 2026-06'!C2:C784,"&gt;0",'Detalle 2026-06'!G2:G784,"100 a 500 USD")</f>
        <v>166</v>
      </c>
      <c r="C7" s="6" t="n">
        <f aca="false">COUNTIFS('Detalle 2026-06'!C2:C784,"&gt;0",'Detalle 2026-06'!D2:D784,"&lt;=0",'Detalle 2026-06'!G2:G784,"100 a 500 USD")</f>
        <v>31</v>
      </c>
      <c r="D7" s="7" t="n">
        <f aca="false">IFERROR(COUNTIFS('Detalle 2026-06'!C2:C784,"&gt;0",'Detalle 2026-06'!D2:D784,"&lt;=0",'Detalle 2026-06'!G2:G784,"100 a 500 USD")/COUNTIFS('Detalle 2026-06'!C2:C784,"&gt;0",'Detalle 2026-06'!G2:G784,"100 a 500 USD"),"")</f>
        <v>0.186746987951807</v>
      </c>
      <c r="E7" s="7" t="n">
        <f aca="false">IFERROR(SUMIFS('Detalle 2026-06'!H2:H784,'Detalle 2026-06'!G2:G784,"100 a 500 USD")/SUMIFS('Detalle 2026-06'!C2:C784,'Detalle 2026-06'!G2:G784,"100 a 500 USD"),"")</f>
        <v>0.716040205816218</v>
      </c>
      <c r="F7" s="7" t="n">
        <f aca="false">IFERROR(SUMIFS('Detalle 2026-06'!D2:D784,'Detalle 2026-06'!G2:G784,"100 a 500 USD")/SUMIFS('Detalle 2026-06'!C2:C784,'Detalle 2026-06'!G2:G784,"100 a 500 USD"),"")</f>
        <v>0.932793168654612</v>
      </c>
    </row>
    <row r="8" customFormat="false" ht="15" hidden="false" customHeight="true" outlineLevel="0" collapsed="false">
      <c r="A8" s="6" t="s">
        <v>11</v>
      </c>
      <c r="B8" s="6" t="n">
        <f aca="false">COUNTIFS('Detalle 2026-06'!C2:C784,"&gt;0",'Detalle 2026-06'!G2:G784,"500 a 2.000 USD")</f>
        <v>51</v>
      </c>
      <c r="C8" s="6" t="n">
        <f aca="false">COUNTIFS('Detalle 2026-06'!C2:C784,"&gt;0",'Detalle 2026-06'!D2:D784,"&lt;=0",'Detalle 2026-06'!G2:G784,"500 a 2.000 USD")</f>
        <v>9</v>
      </c>
      <c r="D8" s="7" t="n">
        <f aca="false">IFERROR(COUNTIFS('Detalle 2026-06'!C2:C784,"&gt;0",'Detalle 2026-06'!D2:D784,"&lt;=0",'Detalle 2026-06'!G2:G784,"500 a 2.000 USD")/COUNTIFS('Detalle 2026-06'!C2:C784,"&gt;0",'Detalle 2026-06'!G2:G784,"500 a 2.000 USD"),"")</f>
        <v>0.176470588235294</v>
      </c>
      <c r="E8" s="7" t="n">
        <f aca="false">IFERROR(SUMIFS('Detalle 2026-06'!H2:H784,'Detalle 2026-06'!G2:G784,"500 a 2.000 USD")/SUMIFS('Detalle 2026-06'!C2:C784,'Detalle 2026-06'!G2:G784,"500 a 2.000 USD"),"")</f>
        <v>0.759980453437124</v>
      </c>
      <c r="F8" s="7" t="n">
        <f aca="false">IFERROR(SUMIFS('Detalle 2026-06'!D2:D784,'Detalle 2026-06'!G2:G784,"500 a 2.000 USD")/SUMIFS('Detalle 2026-06'!C2:C784,'Detalle 2026-06'!G2:G784,"500 a 2.000 USD"),"")</f>
        <v>0.934463287215073</v>
      </c>
    </row>
    <row r="9" customFormat="false" ht="15" hidden="false" customHeight="true" outlineLevel="0" collapsed="false">
      <c r="A9" s="6" t="s">
        <v>12</v>
      </c>
      <c r="B9" s="6" t="n">
        <f aca="false">COUNTIFS('Detalle 2026-06'!C2:C784,"&gt;0",'Detalle 2026-06'!G2:G784,"Más de 2.000 USD")</f>
        <v>5</v>
      </c>
      <c r="C9" s="6" t="n">
        <f aca="false">COUNTIFS('Detalle 2026-06'!C2:C784,"&gt;0",'Detalle 2026-06'!D2:D784,"&lt;=0",'Detalle 2026-06'!G2:G784,"Más de 2.000 USD")</f>
        <v>0</v>
      </c>
      <c r="D9" s="7" t="n">
        <f aca="false">IFERROR(COUNTIFS('Detalle 2026-06'!C2:C784,"&gt;0",'Detalle 2026-06'!D2:D784,"&lt;=0",'Detalle 2026-06'!G2:G784,"Más de 2.000 USD")/COUNTIFS('Detalle 2026-06'!C2:C784,"&gt;0",'Detalle 2026-06'!G2:G784,"Más de 2.000 USD"),"")</f>
        <v>0</v>
      </c>
      <c r="E9" s="7" t="n">
        <f aca="false">IFERROR(SUMIFS('Detalle 2026-06'!H2:H784,'Detalle 2026-06'!G2:G784,"Más de 2.000 USD")/SUMIFS('Detalle 2026-06'!C2:C784,'Detalle 2026-06'!G2:G784,"Más de 2.000 USD"),"")</f>
        <v>0.994799378987373</v>
      </c>
      <c r="F9" s="7" t="n">
        <f aca="false">IFERROR(SUMIFS('Detalle 2026-06'!D2:D784,'Detalle 2026-06'!G2:G784,"Más de 2.000 USD")/SUMIFS('Detalle 2026-06'!C2:C784,'Detalle 2026-06'!G2:G784,"Más de 2.000 USD"),"")</f>
        <v>1.28124502937038</v>
      </c>
    </row>
    <row r="10" customFormat="false" ht="15" hidden="false" customHeight="true" outlineLevel="0" collapsed="false">
      <c r="A10" s="8" t="s">
        <v>13</v>
      </c>
      <c r="B10" s="9" t="n">
        <f aca="false">COUNTIFS('Detalle 2026-06'!C2:C784,"&gt;0")</f>
        <v>347</v>
      </c>
      <c r="C10" s="9" t="n">
        <f aca="false">COUNTIFS('Detalle 2026-06'!C2:C784,"&gt;0",'Detalle 2026-06'!D2:D784,"&lt;=0")</f>
        <v>86</v>
      </c>
      <c r="D10" s="10" t="n">
        <f aca="false">IFERROR(COUNTIFS('Detalle 2026-06'!C2:C784,"&gt;0",'Detalle 2026-06'!D2:D784,"&lt;=0")/COUNTIFS('Detalle 2026-06'!C2:C784,"&gt;0"),"")</f>
        <v>0.247838616714697</v>
      </c>
      <c r="E10" s="10" t="n">
        <f aca="false">IFERROR(SUM('Detalle 2026-06'!H2:H784)/SUM('Detalle 2026-06'!C2:C784),"")</f>
        <v>0.7671660942292</v>
      </c>
      <c r="F10" s="10" t="n">
        <f aca="false">IFERROR(SUM('Detalle 2026-06'!D2:D784)/SUM('Detalle 2026-06'!C2:C784),"")</f>
        <v>0.976020443849389</v>
      </c>
    </row>
  </sheetData>
  <mergeCells count="1"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AT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4" min="4" style="1" width="18"/>
  </cols>
  <sheetData>
    <row r="1" customFormat="false" ht="41.25" hidden="false" customHeight="true" outlineLevel="0" collapsed="false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</row>
    <row r="2" customFormat="false" ht="15" hidden="false" customHeight="true" outlineLevel="0" collapsed="false">
      <c r="A2" s="12" t="s">
        <v>60</v>
      </c>
      <c r="B2" s="12" t="s">
        <v>61</v>
      </c>
      <c r="C2" s="12" t="n">
        <v>1</v>
      </c>
      <c r="D2" s="12" t="s">
        <v>62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3" t="n">
        <v>0</v>
      </c>
      <c r="Q2" s="13" t="n">
        <v>0</v>
      </c>
      <c r="R2" s="13" t="n">
        <v>0</v>
      </c>
      <c r="S2" s="13" t="n">
        <v>0</v>
      </c>
      <c r="T2" s="13" t="n">
        <v>0</v>
      </c>
      <c r="U2" s="13" t="n">
        <v>0</v>
      </c>
      <c r="V2" s="13" t="n">
        <v>0</v>
      </c>
      <c r="W2" s="13" t="n">
        <v>0</v>
      </c>
      <c r="X2" s="13" t="n">
        <v>0</v>
      </c>
      <c r="Y2" s="13" t="n">
        <v>0</v>
      </c>
      <c r="Z2" s="13" t="n">
        <v>0</v>
      </c>
      <c r="AA2" s="13" t="n">
        <v>0</v>
      </c>
      <c r="AB2" s="13" t="n">
        <v>0</v>
      </c>
      <c r="AC2" s="13" t="n">
        <v>0</v>
      </c>
      <c r="AD2" s="13" t="n">
        <v>0</v>
      </c>
      <c r="AE2" s="13" t="n">
        <v>0</v>
      </c>
      <c r="AF2" s="13" t="n">
        <v>0</v>
      </c>
      <c r="AG2" s="13" t="n">
        <v>0</v>
      </c>
      <c r="AH2" s="13" t="n">
        <v>0</v>
      </c>
      <c r="AI2" s="13" t="n">
        <v>0</v>
      </c>
      <c r="AJ2" s="13" t="n">
        <v>0</v>
      </c>
      <c r="AK2" s="13" t="n">
        <v>0</v>
      </c>
      <c r="AL2" s="13" t="n">
        <v>0</v>
      </c>
      <c r="AM2" s="13" t="n">
        <v>0</v>
      </c>
      <c r="AN2" s="13" t="n">
        <v>0</v>
      </c>
      <c r="AO2" s="13" t="n">
        <v>0</v>
      </c>
      <c r="AP2" s="13" t="n">
        <v>0</v>
      </c>
      <c r="AQ2" s="13" t="n">
        <v>0</v>
      </c>
      <c r="AR2" s="13" t="n">
        <v>0</v>
      </c>
      <c r="AS2" s="13" t="n">
        <v>0</v>
      </c>
      <c r="AT2" s="13" t="n">
        <v>0</v>
      </c>
    </row>
    <row r="3" customFormat="false" ht="15" hidden="false" customHeight="true" outlineLevel="0" collapsed="false">
      <c r="A3" s="12" t="s">
        <v>63</v>
      </c>
      <c r="B3" s="12" t="s">
        <v>64</v>
      </c>
      <c r="C3" s="12" t="n">
        <v>1</v>
      </c>
      <c r="D3" s="12" t="s">
        <v>65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2689.0194</v>
      </c>
      <c r="AE3" s="13" t="n">
        <v>2311.04664</v>
      </c>
      <c r="AF3" s="13" t="n">
        <v>2390.718</v>
      </c>
      <c r="AG3" s="13" t="n">
        <v>2641.8962</v>
      </c>
      <c r="AH3" s="13" t="n">
        <v>2445.6075</v>
      </c>
      <c r="AI3" s="13" t="n">
        <v>2295.1137</v>
      </c>
      <c r="AJ3" s="13" t="n">
        <v>2717.19342</v>
      </c>
      <c r="AK3" s="13" t="n">
        <v>4154.0418</v>
      </c>
      <c r="AL3" s="13" t="n">
        <v>4511.329414</v>
      </c>
      <c r="AM3" s="13" t="n">
        <v>4642.322364</v>
      </c>
      <c r="AN3" s="13" t="n">
        <v>4396.91685</v>
      </c>
      <c r="AO3" s="13" t="n">
        <v>4087.996224</v>
      </c>
      <c r="AP3" s="13" t="n">
        <v>4119.0072</v>
      </c>
      <c r="AQ3" s="13" t="n">
        <v>4477.210998</v>
      </c>
      <c r="AR3" s="13" t="n">
        <v>4187.067768</v>
      </c>
      <c r="AS3" s="13" t="n">
        <v>4104.476064</v>
      </c>
      <c r="AT3" s="13" t="n">
        <v>4573.16808</v>
      </c>
    </row>
    <row r="4" customFormat="false" ht="15" hidden="false" customHeight="true" outlineLevel="0" collapsed="false">
      <c r="A4" s="12" t="s">
        <v>66</v>
      </c>
      <c r="B4" s="12" t="s">
        <v>67</v>
      </c>
      <c r="C4" s="12" t="n">
        <v>1</v>
      </c>
      <c r="D4" s="12" t="s">
        <v>68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-13096.789888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3" t="n">
        <v>0</v>
      </c>
      <c r="AI4" s="13" t="n">
        <v>0</v>
      </c>
      <c r="AJ4" s="13" t="n">
        <v>0</v>
      </c>
      <c r="AK4" s="13" t="n">
        <v>0</v>
      </c>
      <c r="AL4" s="13" t="n">
        <v>0</v>
      </c>
      <c r="AM4" s="13" t="n">
        <v>0</v>
      </c>
      <c r="AN4" s="13" t="n">
        <v>0</v>
      </c>
      <c r="AO4" s="13" t="n">
        <v>0</v>
      </c>
      <c r="AP4" s="13" t="n">
        <v>0</v>
      </c>
      <c r="AQ4" s="13" t="n">
        <v>0</v>
      </c>
      <c r="AR4" s="13" t="n">
        <v>0</v>
      </c>
      <c r="AS4" s="13" t="n">
        <v>0</v>
      </c>
      <c r="AT4" s="13" t="n">
        <v>0</v>
      </c>
    </row>
    <row r="5" customFormat="false" ht="15" hidden="false" customHeight="true" outlineLevel="0" collapsed="false">
      <c r="A5" s="12" t="s">
        <v>69</v>
      </c>
      <c r="B5" s="12" t="s">
        <v>70</v>
      </c>
      <c r="C5" s="12" t="n">
        <v>1</v>
      </c>
      <c r="D5" s="12" t="s">
        <v>71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182.33919</v>
      </c>
      <c r="AM5" s="13" t="n">
        <v>182.332402</v>
      </c>
      <c r="AN5" s="13" t="n">
        <v>182.350662</v>
      </c>
      <c r="AO5" s="13" t="n">
        <v>0</v>
      </c>
      <c r="AP5" s="13" t="n">
        <v>226.9164</v>
      </c>
      <c r="AQ5" s="13" t="n">
        <v>416.105754</v>
      </c>
      <c r="AR5" s="13" t="n">
        <v>415.935046</v>
      </c>
      <c r="AS5" s="13" t="n">
        <v>264.665313</v>
      </c>
      <c r="AT5" s="13" t="n">
        <v>113.410368</v>
      </c>
    </row>
    <row r="6" customFormat="false" ht="15" hidden="false" customHeight="true" outlineLevel="0" collapsed="false">
      <c r="A6" s="12" t="s">
        <v>72</v>
      </c>
      <c r="B6" s="12" t="s">
        <v>73</v>
      </c>
      <c r="C6" s="12" t="n">
        <v>1</v>
      </c>
      <c r="D6" s="12" t="s">
        <v>74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13" t="n">
        <v>1150.0263</v>
      </c>
      <c r="AK6" s="13" t="n">
        <v>1299.9267</v>
      </c>
      <c r="AL6" s="13" t="n">
        <v>1150.026164</v>
      </c>
      <c r="AM6" s="13" t="n">
        <v>1100.047701</v>
      </c>
      <c r="AN6" s="13" t="n">
        <v>1100.038461</v>
      </c>
      <c r="AO6" s="13" t="n">
        <v>1036.825628</v>
      </c>
      <c r="AP6" s="13" t="n">
        <v>1088.68104</v>
      </c>
      <c r="AQ6" s="13" t="n">
        <v>1088.610876</v>
      </c>
      <c r="AR6" s="13" t="n">
        <v>1088.693756</v>
      </c>
      <c r="AS6" s="13" t="n">
        <v>1088.607033</v>
      </c>
      <c r="AT6" s="13" t="n">
        <v>1088.59952</v>
      </c>
    </row>
    <row r="7" customFormat="false" ht="15" hidden="false" customHeight="true" outlineLevel="0" collapsed="false">
      <c r="A7" s="12" t="s">
        <v>75</v>
      </c>
      <c r="B7" s="12" t="s">
        <v>76</v>
      </c>
      <c r="C7" s="12" t="n">
        <v>1</v>
      </c>
      <c r="D7" s="12" t="s">
        <v>77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3" t="n">
        <v>0</v>
      </c>
      <c r="Y7" s="13" t="n">
        <v>2870.029172</v>
      </c>
      <c r="Z7" s="13" t="n">
        <v>2834.961888</v>
      </c>
      <c r="AA7" s="13" t="n">
        <v>2975.01993</v>
      </c>
      <c r="AB7" s="13" t="n">
        <v>2869.986782</v>
      </c>
      <c r="AC7" s="13" t="n">
        <v>2990.5348</v>
      </c>
      <c r="AD7" s="13" t="n">
        <v>2990.6051</v>
      </c>
      <c r="AE7" s="13" t="n">
        <v>2881.1538</v>
      </c>
      <c r="AF7" s="13" t="n">
        <v>2881.197</v>
      </c>
      <c r="AG7" s="13" t="n">
        <v>2844.71818</v>
      </c>
      <c r="AH7" s="13" t="n">
        <v>2844.64755</v>
      </c>
      <c r="AI7" s="13" t="n">
        <v>2881.20416</v>
      </c>
      <c r="AJ7" s="13" t="n">
        <v>2881.21662</v>
      </c>
      <c r="AK7" s="13" t="n">
        <v>2698.73295</v>
      </c>
      <c r="AL7" s="13" t="n">
        <v>2552.932841</v>
      </c>
      <c r="AM7" s="13" t="n">
        <v>2552.837061</v>
      </c>
      <c r="AN7" s="13" t="n">
        <v>2443.570804</v>
      </c>
      <c r="AO7" s="13" t="n">
        <v>2533.964596</v>
      </c>
      <c r="AP7" s="13" t="n">
        <v>2647.41552</v>
      </c>
      <c r="AQ7" s="13" t="n">
        <v>2571.779819</v>
      </c>
      <c r="AR7" s="13" t="n">
        <v>2571.74516</v>
      </c>
      <c r="AS7" s="13" t="n">
        <v>2458.323594</v>
      </c>
      <c r="AT7" s="13" t="n">
        <v>2458.274736</v>
      </c>
    </row>
    <row r="8" customFormat="false" ht="15" hidden="false" customHeight="true" outlineLevel="0" collapsed="false">
      <c r="A8" s="12" t="s">
        <v>78</v>
      </c>
      <c r="B8" s="12" t="s">
        <v>79</v>
      </c>
      <c r="C8" s="12" t="n">
        <v>1</v>
      </c>
      <c r="D8" s="12" t="s">
        <v>80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749.976696</v>
      </c>
      <c r="L8" s="13" t="n">
        <v>750.057819</v>
      </c>
      <c r="M8" s="13" t="n">
        <v>750.007575</v>
      </c>
      <c r="N8" s="13" t="n">
        <v>749.994378</v>
      </c>
      <c r="O8" s="13" t="n">
        <v>749.920282</v>
      </c>
      <c r="P8" s="13" t="n">
        <v>749.988239</v>
      </c>
      <c r="Q8" s="13" t="n">
        <v>787.555791</v>
      </c>
      <c r="R8" s="13" t="n">
        <v>787.534401</v>
      </c>
      <c r="S8" s="13" t="n">
        <v>787.493205</v>
      </c>
      <c r="T8" s="13" t="n">
        <v>787.53024</v>
      </c>
      <c r="U8" s="13" t="n">
        <v>787.573685</v>
      </c>
      <c r="V8" s="13" t="n">
        <v>787.424664</v>
      </c>
      <c r="W8" s="13" t="n">
        <v>787.5168</v>
      </c>
      <c r="X8" s="13" t="n">
        <v>787.441358</v>
      </c>
      <c r="Y8" s="13" t="n">
        <v>787.496</v>
      </c>
      <c r="Z8" s="13" t="n">
        <v>787.021664</v>
      </c>
      <c r="AA8" s="13" t="n">
        <v>787.58331</v>
      </c>
      <c r="AB8" s="13" t="n">
        <v>787.561768</v>
      </c>
      <c r="AC8" s="13" t="n">
        <v>0</v>
      </c>
      <c r="AD8" s="13" t="n">
        <v>0</v>
      </c>
      <c r="AE8" s="13" t="n">
        <v>562.75884</v>
      </c>
      <c r="AF8" s="13" t="n">
        <v>562.7292</v>
      </c>
      <c r="AG8" s="13" t="n">
        <v>562.72968</v>
      </c>
      <c r="AH8" s="13" t="n">
        <v>562.773</v>
      </c>
      <c r="AI8" s="13" t="n">
        <v>0</v>
      </c>
      <c r="AJ8" s="13" t="n">
        <v>0</v>
      </c>
      <c r="AK8" s="13" t="n">
        <v>0</v>
      </c>
      <c r="AL8" s="13" t="n">
        <v>0</v>
      </c>
      <c r="AM8" s="13" t="n">
        <v>0</v>
      </c>
      <c r="AN8" s="13" t="n">
        <v>0</v>
      </c>
      <c r="AO8" s="13" t="n">
        <v>0</v>
      </c>
      <c r="AP8" s="13" t="n">
        <v>0</v>
      </c>
      <c r="AQ8" s="13" t="n">
        <v>0</v>
      </c>
      <c r="AR8" s="13" t="n">
        <v>0</v>
      </c>
      <c r="AS8" s="13" t="n">
        <v>0</v>
      </c>
      <c r="AT8" s="13" t="n">
        <v>0</v>
      </c>
    </row>
    <row r="9" customFormat="false" ht="15" hidden="false" customHeight="true" outlineLevel="0" collapsed="false">
      <c r="A9" s="12" t="s">
        <v>81</v>
      </c>
      <c r="B9" s="12" t="s">
        <v>82</v>
      </c>
      <c r="C9" s="12" t="n">
        <v>1</v>
      </c>
      <c r="D9" s="12" t="s">
        <v>83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1920.07512</v>
      </c>
      <c r="AQ9" s="13" t="n">
        <v>1855.99825</v>
      </c>
      <c r="AR9" s="13" t="n">
        <v>1856.00708</v>
      </c>
      <c r="AS9" s="13" t="n">
        <v>1855.946034</v>
      </c>
      <c r="AT9" s="13" t="n">
        <v>1856.04468</v>
      </c>
    </row>
    <row r="10" customFormat="false" ht="15" hidden="false" customHeight="true" outlineLevel="0" collapsed="false">
      <c r="A10" s="12" t="s">
        <v>84</v>
      </c>
      <c r="B10" s="12" t="s">
        <v>85</v>
      </c>
      <c r="C10" s="12" t="n">
        <v>1</v>
      </c>
      <c r="D10" s="12" t="s">
        <v>86</v>
      </c>
      <c r="E10" s="13" t="n">
        <v>6574.171248</v>
      </c>
      <c r="F10" s="13" t="n">
        <v>6574.144824</v>
      </c>
      <c r="G10" s="13" t="n">
        <v>6231.752287</v>
      </c>
      <c r="H10" s="13" t="n">
        <v>6094.735569</v>
      </c>
      <c r="I10" s="13" t="n">
        <v>6300.180978</v>
      </c>
      <c r="J10" s="13" t="n">
        <v>6163.12982</v>
      </c>
      <c r="K10" s="13" t="n">
        <v>6163.193004</v>
      </c>
      <c r="L10" s="13" t="n">
        <v>7327.423516</v>
      </c>
      <c r="M10" s="13" t="n">
        <v>6985.02942</v>
      </c>
      <c r="N10" s="13" t="n">
        <v>6916.534518</v>
      </c>
      <c r="O10" s="13" t="n">
        <v>6711.081</v>
      </c>
      <c r="P10" s="13" t="n">
        <v>6300.205737</v>
      </c>
      <c r="Q10" s="13" t="n">
        <v>13148.078247</v>
      </c>
      <c r="R10" s="13" t="n">
        <v>6437.200551</v>
      </c>
      <c r="S10" s="13" t="n">
        <v>6710.977065</v>
      </c>
      <c r="T10" s="13" t="n">
        <v>6505.55136</v>
      </c>
      <c r="U10" s="13" t="n">
        <v>5752.255078</v>
      </c>
      <c r="V10" s="13" t="n">
        <v>6163.246908</v>
      </c>
      <c r="W10" s="13" t="n">
        <v>6505.638784</v>
      </c>
      <c r="X10" s="13" t="n">
        <v>5889.252302</v>
      </c>
      <c r="Y10" s="13" t="n">
        <v>6094.628418</v>
      </c>
      <c r="Z10" s="13" t="n">
        <v>6231.623904</v>
      </c>
      <c r="AA10" s="13" t="n">
        <v>6026.16543</v>
      </c>
      <c r="AB10" s="13" t="n">
        <v>5889.310816</v>
      </c>
      <c r="AC10" s="13" t="n">
        <v>6136.9968</v>
      </c>
      <c r="AD10" s="13" t="n">
        <v>6493.8443</v>
      </c>
      <c r="AE10" s="13" t="n">
        <v>6422.43168</v>
      </c>
      <c r="AF10" s="13" t="n">
        <v>6565.174</v>
      </c>
      <c r="AG10" s="13" t="n">
        <v>6850.59702</v>
      </c>
      <c r="AH10" s="13" t="n">
        <v>6850.53375</v>
      </c>
      <c r="AI10" s="13" t="n">
        <v>6779.13805</v>
      </c>
      <c r="AJ10" s="13" t="n">
        <v>6707.80332</v>
      </c>
      <c r="AK10" s="13" t="n">
        <v>6921.9354</v>
      </c>
      <c r="AL10" s="13" t="n">
        <v>6993.35257</v>
      </c>
      <c r="AM10" s="13" t="n">
        <v>7064.555129</v>
      </c>
      <c r="AN10" s="13" t="n">
        <v>6779.164601</v>
      </c>
      <c r="AO10" s="13" t="n">
        <v>7472.937092</v>
      </c>
      <c r="AP10" s="13" t="n">
        <v>7843.02456</v>
      </c>
      <c r="AQ10" s="13" t="n">
        <v>7546.941567</v>
      </c>
      <c r="AR10" s="13" t="n">
        <v>7768.915836</v>
      </c>
      <c r="AS10" s="13" t="n">
        <v>7103.035395</v>
      </c>
      <c r="AT10" s="13" t="n">
        <v>7177.056128</v>
      </c>
    </row>
    <row r="11" customFormat="false" ht="15" hidden="false" customHeight="true" outlineLevel="0" collapsed="false">
      <c r="A11" s="12" t="s">
        <v>87</v>
      </c>
      <c r="B11" s="12" t="s">
        <v>88</v>
      </c>
      <c r="C11" s="12" t="n">
        <v>1</v>
      </c>
      <c r="D11" s="12" t="s">
        <v>89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1824.04212</v>
      </c>
      <c r="L11" s="13" t="n">
        <v>2279.981515</v>
      </c>
      <c r="M11" s="13" t="n">
        <v>2279.987775</v>
      </c>
      <c r="N11" s="13" t="n">
        <v>2279.975682</v>
      </c>
      <c r="O11" s="13" t="n">
        <v>2280.04675</v>
      </c>
      <c r="P11" s="13" t="n">
        <v>2280.079291</v>
      </c>
      <c r="Q11" s="13" t="n">
        <v>2280.08304</v>
      </c>
      <c r="R11" s="13" t="n">
        <v>2280.037734</v>
      </c>
      <c r="S11" s="13" t="n">
        <v>2279.94252</v>
      </c>
      <c r="T11" s="13" t="n">
        <v>2393.91488</v>
      </c>
      <c r="U11" s="13" t="n">
        <v>2393.918807</v>
      </c>
      <c r="V11" s="13" t="n">
        <v>2393.962584</v>
      </c>
      <c r="W11" s="13" t="n">
        <v>2394.051072</v>
      </c>
      <c r="X11" s="13" t="n">
        <v>2394.051754</v>
      </c>
      <c r="Y11" s="13" t="n">
        <v>2393.98784</v>
      </c>
      <c r="Z11" s="13" t="n">
        <v>2393.941088</v>
      </c>
      <c r="AA11" s="13" t="n">
        <v>2393.9757</v>
      </c>
      <c r="AB11" s="13" t="n">
        <v>2394.050174</v>
      </c>
      <c r="AC11" s="13" t="n">
        <v>0</v>
      </c>
      <c r="AD11" s="13" t="n">
        <v>2394.0033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3" t="n">
        <v>0</v>
      </c>
      <c r="AO11" s="13" t="n">
        <v>0</v>
      </c>
      <c r="AP11" s="13" t="n">
        <v>0</v>
      </c>
      <c r="AQ11" s="13" t="n">
        <v>0</v>
      </c>
      <c r="AR11" s="13" t="n">
        <v>0</v>
      </c>
      <c r="AS11" s="13" t="n">
        <v>0</v>
      </c>
      <c r="AT11" s="13" t="n">
        <v>0</v>
      </c>
    </row>
    <row r="12" customFormat="false" ht="15" hidden="false" customHeight="true" outlineLevel="0" collapsed="false">
      <c r="A12" s="12" t="s">
        <v>90</v>
      </c>
      <c r="B12" s="12" t="s">
        <v>88</v>
      </c>
      <c r="C12" s="12" t="n">
        <v>1</v>
      </c>
      <c r="D12" s="12" t="s">
        <v>91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2250.017945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s="13" t="n">
        <v>0</v>
      </c>
      <c r="AO12" s="13" t="n">
        <v>0</v>
      </c>
      <c r="AP12" s="13" t="n">
        <v>0</v>
      </c>
      <c r="AQ12" s="13" t="n">
        <v>0</v>
      </c>
      <c r="AR12" s="13" t="n">
        <v>0</v>
      </c>
      <c r="AS12" s="13" t="n">
        <v>0</v>
      </c>
      <c r="AT12" s="13" t="n">
        <v>0</v>
      </c>
    </row>
    <row r="13" customFormat="false" ht="15" hidden="false" customHeight="true" outlineLevel="0" collapsed="false">
      <c r="A13" s="12" t="s">
        <v>92</v>
      </c>
      <c r="B13" s="12" t="s">
        <v>93</v>
      </c>
      <c r="C13" s="12" t="n">
        <v>1</v>
      </c>
      <c r="D13" s="12" t="s">
        <v>94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8449.947496</v>
      </c>
    </row>
    <row r="14" customFormat="false" ht="15" hidden="false" customHeight="true" outlineLevel="0" collapsed="false">
      <c r="A14" s="12" t="s">
        <v>95</v>
      </c>
      <c r="B14" s="12" t="s">
        <v>96</v>
      </c>
      <c r="C14" s="12" t="n">
        <v>1</v>
      </c>
      <c r="D14" s="12" t="s">
        <v>97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9222.574005</v>
      </c>
      <c r="P14" s="13" t="n">
        <v>9728.191683</v>
      </c>
      <c r="Q14" s="13" t="n">
        <v>9757.999962</v>
      </c>
      <c r="R14" s="13" t="n">
        <v>9787.683351</v>
      </c>
      <c r="S14" s="13" t="n">
        <v>11691.81783</v>
      </c>
      <c r="T14" s="13" t="n">
        <v>12822.30656</v>
      </c>
      <c r="U14" s="13" t="n">
        <v>12465.197454</v>
      </c>
      <c r="V14" s="13" t="n">
        <v>19943.731236</v>
      </c>
      <c r="W14" s="13" t="n">
        <v>11453.68184</v>
      </c>
      <c r="X14" s="13" t="n">
        <v>7794.499486</v>
      </c>
      <c r="Y14" s="13" t="n">
        <v>1814.784532</v>
      </c>
      <c r="Z14" s="13" t="n">
        <v>952.003536</v>
      </c>
      <c r="AA14" s="13" t="n">
        <v>713.90682</v>
      </c>
      <c r="AB14" s="13" t="n">
        <v>386.698494</v>
      </c>
      <c r="AC14" s="13" t="n">
        <v>376.9964</v>
      </c>
      <c r="AD14" s="13" t="n">
        <v>899.0087</v>
      </c>
      <c r="AE14" s="13" t="n">
        <v>1160.01396</v>
      </c>
      <c r="AF14" s="13" t="n">
        <v>1044.0056</v>
      </c>
      <c r="AG14" s="13" t="n">
        <v>991.9172</v>
      </c>
      <c r="AH14" s="13" t="n">
        <v>992.02905</v>
      </c>
      <c r="AI14" s="13" t="n">
        <v>779.51159</v>
      </c>
      <c r="AJ14" s="13" t="n">
        <v>956.92626</v>
      </c>
      <c r="AK14" s="13" t="n">
        <v>782.9646</v>
      </c>
      <c r="AL14" s="13" t="n">
        <v>782.953431</v>
      </c>
      <c r="AM14" s="13" t="n">
        <v>783.075477</v>
      </c>
      <c r="AN14" s="13" t="n">
        <v>782.992882</v>
      </c>
      <c r="AO14" s="13" t="n">
        <v>997.517972</v>
      </c>
      <c r="AP14" s="13" t="n">
        <v>997.56936</v>
      </c>
      <c r="AQ14" s="13" t="n">
        <v>997.531157</v>
      </c>
      <c r="AR14" s="13" t="n">
        <v>997.472236</v>
      </c>
      <c r="AS14" s="13" t="n">
        <v>997.558011</v>
      </c>
      <c r="AT14" s="13" t="n">
        <v>997.416184</v>
      </c>
    </row>
    <row r="15" customFormat="false" ht="15" hidden="false" customHeight="true" outlineLevel="0" collapsed="false">
      <c r="A15" s="12" t="s">
        <v>98</v>
      </c>
      <c r="B15" s="12" t="s">
        <v>99</v>
      </c>
      <c r="C15" s="12" t="n">
        <v>1</v>
      </c>
      <c r="D15" s="12" t="s">
        <v>100</v>
      </c>
      <c r="E15" s="13" t="n">
        <v>5134.404456</v>
      </c>
      <c r="F15" s="13" t="n">
        <v>5134.3254</v>
      </c>
      <c r="G15" s="13" t="n">
        <v>5134.331098</v>
      </c>
      <c r="H15" s="13" t="n">
        <v>5134.355181</v>
      </c>
      <c r="I15" s="13" t="n">
        <v>5134.38415</v>
      </c>
      <c r="J15" s="13" t="n">
        <v>5134.34491</v>
      </c>
      <c r="K15" s="13" t="n">
        <v>5499.495336</v>
      </c>
      <c r="L15" s="13" t="n">
        <v>5499.41924</v>
      </c>
      <c r="M15" s="13" t="n">
        <v>5499.468</v>
      </c>
      <c r="N15" s="13" t="n">
        <v>5499.476964</v>
      </c>
      <c r="O15" s="13" t="n">
        <v>5499.472761</v>
      </c>
      <c r="P15" s="13" t="n">
        <v>5499.462598</v>
      </c>
      <c r="Q15" s="13" t="n">
        <v>5493.660921</v>
      </c>
      <c r="R15" s="13" t="n">
        <v>6050.014656</v>
      </c>
      <c r="S15" s="13" t="n">
        <v>5841.277575</v>
      </c>
      <c r="T15" s="13" t="n">
        <v>5458.91584</v>
      </c>
      <c r="U15" s="13" t="n">
        <v>5771.753673</v>
      </c>
      <c r="V15" s="13" t="n">
        <v>5806.566012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32544.796174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5387.78411</v>
      </c>
      <c r="AJ15" s="13" t="n">
        <v>5387.78934</v>
      </c>
      <c r="AK15" s="13" t="n">
        <v>5387.9265</v>
      </c>
      <c r="AL15" s="13" t="n">
        <v>5387.846793</v>
      </c>
      <c r="AM15" s="13" t="n">
        <v>5387.794076</v>
      </c>
      <c r="AN15" s="13" t="n">
        <v>5387.79668</v>
      </c>
      <c r="AO15" s="13" t="n">
        <v>5550.48239</v>
      </c>
      <c r="AP15" s="13" t="n">
        <v>5550.56496</v>
      </c>
      <c r="AQ15" s="13" t="n">
        <v>5550.611742</v>
      </c>
      <c r="AR15" s="13" t="n">
        <v>5550.47864</v>
      </c>
      <c r="AS15" s="13" t="n">
        <v>5550.528402</v>
      </c>
      <c r="AT15" s="13" t="n">
        <v>5550.63244</v>
      </c>
    </row>
    <row r="16" customFormat="false" ht="15" hidden="false" customHeight="true" outlineLevel="0" collapsed="false">
      <c r="A16" s="12" t="s">
        <v>101</v>
      </c>
      <c r="B16" s="12" t="s">
        <v>102</v>
      </c>
      <c r="C16" s="12" t="n">
        <v>1</v>
      </c>
      <c r="D16" s="12" t="s">
        <v>103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2090.085988</v>
      </c>
      <c r="AM16" s="13" t="n">
        <v>2150.018193</v>
      </c>
      <c r="AN16" s="13" t="n">
        <v>2209.967737</v>
      </c>
      <c r="AO16" s="13" t="n">
        <v>2150.025342</v>
      </c>
      <c r="AP16" s="13" t="n">
        <v>2270.0268</v>
      </c>
      <c r="AQ16" s="13" t="n">
        <v>2330.047364</v>
      </c>
      <c r="AR16" s="13" t="n">
        <v>2330.008132</v>
      </c>
      <c r="AS16" s="13" t="n">
        <v>2389.950279</v>
      </c>
      <c r="AT16" s="13" t="n">
        <v>2450.048984</v>
      </c>
    </row>
    <row r="17" customFormat="false" ht="15" hidden="false" customHeight="true" outlineLevel="0" collapsed="false">
      <c r="A17" s="12" t="s">
        <v>104</v>
      </c>
      <c r="B17" s="12" t="s">
        <v>105</v>
      </c>
      <c r="C17" s="12" t="n">
        <v>1</v>
      </c>
      <c r="D17" s="12" t="s">
        <v>106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10207.786146</v>
      </c>
      <c r="Y17" s="13" t="n">
        <v>10528.82152</v>
      </c>
      <c r="Z17" s="13" t="n">
        <v>11299.15336</v>
      </c>
      <c r="AA17" s="13" t="n">
        <v>10143.68118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</row>
    <row r="18" customFormat="false" ht="15" hidden="false" customHeight="true" outlineLevel="0" collapsed="false">
      <c r="A18" s="12" t="s">
        <v>107</v>
      </c>
      <c r="B18" s="12" t="s">
        <v>108</v>
      </c>
      <c r="C18" s="12" t="n">
        <v>1</v>
      </c>
      <c r="D18" s="12" t="s">
        <v>109</v>
      </c>
      <c r="E18" s="13" t="n">
        <v>0</v>
      </c>
      <c r="F18" s="13" t="n">
        <v>1200.033546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</row>
    <row r="19" customFormat="false" ht="15" hidden="false" customHeight="true" outlineLevel="0" collapsed="false">
      <c r="A19" s="12" t="s">
        <v>110</v>
      </c>
      <c r="B19" s="12" t="s">
        <v>111</v>
      </c>
      <c r="C19" s="12" t="n">
        <v>1</v>
      </c>
      <c r="D19" s="12" t="s">
        <v>112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1399.981303</v>
      </c>
      <c r="J19" s="13" t="n">
        <v>1399.99596</v>
      </c>
      <c r="K19" s="13" t="n">
        <v>1399.989876</v>
      </c>
      <c r="L19" s="13" t="n">
        <v>1399.97396</v>
      </c>
      <c r="M19" s="13" t="n">
        <v>1400.072895</v>
      </c>
      <c r="N19" s="13" t="n">
        <v>1400.073822</v>
      </c>
      <c r="O19" s="13" t="n">
        <v>1400.034744</v>
      </c>
      <c r="P19" s="13" t="n">
        <v>1399.989325</v>
      </c>
      <c r="Q19" s="13" t="n">
        <v>1399.984722</v>
      </c>
      <c r="R19" s="13" t="n">
        <v>1400.02317</v>
      </c>
      <c r="S19" s="13" t="n">
        <v>1399.98792</v>
      </c>
      <c r="T19" s="13" t="n">
        <v>1400.05376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1890.04612</v>
      </c>
      <c r="AH19" s="13" t="n">
        <v>1890.0108</v>
      </c>
      <c r="AI19" s="13" t="n">
        <v>1890.03835</v>
      </c>
      <c r="AJ19" s="13" t="n">
        <v>1889.9946</v>
      </c>
      <c r="AK19" s="13" t="n">
        <v>1890.08535</v>
      </c>
      <c r="AL19" s="13" t="n">
        <v>1890.065422</v>
      </c>
      <c r="AM19" s="13" t="n">
        <v>1889.910199</v>
      </c>
      <c r="AN19" s="13" t="n">
        <v>1890.04483</v>
      </c>
      <c r="AO19" s="13" t="n">
        <v>1890.043126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</row>
    <row r="20" customFormat="false" ht="15" hidden="false" customHeight="true" outlineLevel="0" collapsed="false">
      <c r="A20" s="12" t="s">
        <v>113</v>
      </c>
      <c r="B20" s="12" t="s">
        <v>114</v>
      </c>
      <c r="C20" s="12" t="n">
        <v>1</v>
      </c>
      <c r="D20" s="12" t="s">
        <v>115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6772.513203</v>
      </c>
      <c r="P20" s="13" t="n">
        <v>6807.416371</v>
      </c>
      <c r="Q20" s="13" t="n">
        <v>7104.999726</v>
      </c>
      <c r="R20" s="13" t="n">
        <v>7052.424408</v>
      </c>
      <c r="S20" s="13" t="n">
        <v>5418.00618</v>
      </c>
      <c r="T20" s="13" t="n">
        <v>6947.4944</v>
      </c>
      <c r="U20" s="13" t="n">
        <v>6929.970216</v>
      </c>
      <c r="V20" s="13" t="n">
        <v>6912.53472</v>
      </c>
      <c r="W20" s="13" t="n">
        <v>6824.958096</v>
      </c>
      <c r="X20" s="13" t="n">
        <v>6527.573564</v>
      </c>
      <c r="Y20" s="13" t="n">
        <v>6510.032558</v>
      </c>
      <c r="Z20" s="13" t="n">
        <v>6527.508768</v>
      </c>
      <c r="AA20" s="13" t="n">
        <v>6404.95647</v>
      </c>
      <c r="AB20" s="13" t="n">
        <v>6457.520848</v>
      </c>
      <c r="AC20" s="13" t="n">
        <v>6657.5124</v>
      </c>
      <c r="AD20" s="13" t="n">
        <v>6730.5552</v>
      </c>
      <c r="AE20" s="13" t="n">
        <v>4833.5616</v>
      </c>
      <c r="AF20" s="13" t="n">
        <v>6694.0104</v>
      </c>
      <c r="AG20" s="13" t="n">
        <v>6639.28392</v>
      </c>
      <c r="AH20" s="13" t="n">
        <v>6730.614</v>
      </c>
      <c r="AI20" s="13" t="n">
        <v>6767.10797</v>
      </c>
      <c r="AJ20" s="13" t="n">
        <v>6821.68761</v>
      </c>
      <c r="AK20" s="13" t="n">
        <v>6858.27825</v>
      </c>
      <c r="AL20" s="13" t="n">
        <v>6730.526283</v>
      </c>
      <c r="AM20" s="13" t="n">
        <v>6657.517302</v>
      </c>
      <c r="AN20" s="13" t="n">
        <v>6694.103592</v>
      </c>
      <c r="AO20" s="13" t="n">
        <v>6996.762768</v>
      </c>
      <c r="AP20" s="13" t="n">
        <v>6940.01808</v>
      </c>
      <c r="AQ20" s="13" t="n">
        <v>6864.296357</v>
      </c>
      <c r="AR20" s="13" t="n">
        <v>6864.243954</v>
      </c>
      <c r="AS20" s="13" t="n">
        <v>6769.82367</v>
      </c>
      <c r="AT20" s="13" t="n">
        <v>6939.909448</v>
      </c>
    </row>
    <row r="21" customFormat="false" ht="15" hidden="false" customHeight="true" outlineLevel="0" collapsed="false">
      <c r="A21" s="12" t="s">
        <v>116</v>
      </c>
      <c r="B21" s="12" t="s">
        <v>117</v>
      </c>
      <c r="C21" s="12" t="n">
        <v>1</v>
      </c>
      <c r="D21" s="12" t="s">
        <v>118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18999.8725</v>
      </c>
      <c r="J21" s="13" t="n">
        <v>18389.4875</v>
      </c>
      <c r="K21" s="13" t="n">
        <v>17940.03</v>
      </c>
      <c r="L21" s="13" t="n">
        <v>18002.0575</v>
      </c>
      <c r="M21" s="13" t="n">
        <v>18948.4875</v>
      </c>
      <c r="N21" s="13" t="n">
        <v>19422.885</v>
      </c>
      <c r="O21" s="13" t="n">
        <v>43698.429576</v>
      </c>
      <c r="P21" s="13" t="n">
        <v>18187.1725</v>
      </c>
      <c r="Q21" s="13" t="n">
        <v>18456.9975</v>
      </c>
      <c r="R21" s="13" t="n">
        <v>18376.3725</v>
      </c>
      <c r="S21" s="13" t="n">
        <v>17781.0375</v>
      </c>
      <c r="T21" s="13" t="n">
        <v>18300.8</v>
      </c>
      <c r="U21" s="13" t="n">
        <v>20346.36</v>
      </c>
      <c r="V21" s="13" t="n">
        <v>22108.32</v>
      </c>
      <c r="W21" s="13" t="n">
        <v>22500.48</v>
      </c>
      <c r="X21" s="13" t="n">
        <v>23795.76</v>
      </c>
      <c r="Y21" s="13" t="n">
        <v>23624.88</v>
      </c>
      <c r="Z21" s="13" t="n">
        <v>24055.68</v>
      </c>
      <c r="AA21" s="13" t="n">
        <v>24490.8</v>
      </c>
      <c r="AB21" s="13" t="n">
        <v>24282.48</v>
      </c>
      <c r="AC21" s="13" t="n">
        <v>24816</v>
      </c>
      <c r="AD21" s="13" t="n">
        <v>24636</v>
      </c>
      <c r="AE21" s="13" t="n">
        <v>24494.4</v>
      </c>
      <c r="AF21" s="13" t="n">
        <v>23496</v>
      </c>
      <c r="AG21" s="13" t="n">
        <v>23442.43848</v>
      </c>
      <c r="AH21" s="13" t="n">
        <v>23442.51705</v>
      </c>
      <c r="AI21" s="13" t="n">
        <v>23442.49058</v>
      </c>
      <c r="AJ21" s="13" t="n">
        <v>23442.45669</v>
      </c>
      <c r="AK21" s="13" t="n">
        <v>23442.52515</v>
      </c>
      <c r="AL21" s="13" t="n">
        <v>23442.55768</v>
      </c>
      <c r="AM21" s="13" t="n">
        <v>23442.553967</v>
      </c>
      <c r="AN21" s="13" t="n">
        <v>23442.490381</v>
      </c>
      <c r="AO21" s="13" t="n">
        <v>23442.534352</v>
      </c>
      <c r="AP21" s="13" t="n">
        <v>23442.44856</v>
      </c>
      <c r="AQ21" s="13" t="n">
        <v>23442.434872</v>
      </c>
      <c r="AR21" s="13" t="n">
        <v>23442.527232</v>
      </c>
      <c r="AS21" s="13" t="n">
        <v>21637.125</v>
      </c>
      <c r="AT21" s="13" t="n">
        <v>21877</v>
      </c>
    </row>
    <row r="22" customFormat="false" ht="15" hidden="false" customHeight="true" outlineLevel="0" collapsed="false">
      <c r="A22" s="12" t="s">
        <v>119</v>
      </c>
      <c r="B22" s="12" t="s">
        <v>120</v>
      </c>
      <c r="C22" s="12" t="n">
        <v>1</v>
      </c>
      <c r="D22" s="12" t="s">
        <v>121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775.94016</v>
      </c>
      <c r="AJ22" s="13" t="n">
        <v>969.97356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</row>
    <row r="23" customFormat="false" ht="15" hidden="false" customHeight="true" outlineLevel="0" collapsed="false">
      <c r="A23" s="12" t="s">
        <v>122</v>
      </c>
      <c r="B23" s="12" t="s">
        <v>123</v>
      </c>
      <c r="C23" s="12" t="n">
        <v>1</v>
      </c>
      <c r="D23" s="12" t="s">
        <v>124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1785.062604</v>
      </c>
      <c r="W23" s="13" t="n">
        <v>1819.913824</v>
      </c>
      <c r="X23" s="13" t="n">
        <v>1785.078596</v>
      </c>
      <c r="Y23" s="13" t="n">
        <v>1854.946828</v>
      </c>
      <c r="Z23" s="13" t="n">
        <v>1995.017728</v>
      </c>
      <c r="AA23" s="13" t="n">
        <v>2030.08323</v>
      </c>
      <c r="AB23" s="13" t="n">
        <v>2030.015328</v>
      </c>
      <c r="AC23" s="13" t="n">
        <v>2224.7544</v>
      </c>
      <c r="AD23" s="13" t="n">
        <v>0</v>
      </c>
      <c r="AE23" s="13" t="n">
        <v>2224.70388</v>
      </c>
      <c r="AF23" s="13" t="n">
        <v>2188.2608</v>
      </c>
      <c r="AG23" s="13" t="n">
        <v>2297.61988</v>
      </c>
      <c r="AH23" s="13" t="n">
        <v>2261.10105</v>
      </c>
      <c r="AI23" s="13" t="n">
        <v>1932.89551</v>
      </c>
      <c r="AJ23" s="13" t="n">
        <v>1969.39674</v>
      </c>
      <c r="AK23" s="13" t="n">
        <v>1932.8292</v>
      </c>
      <c r="AL23" s="13" t="n">
        <v>1860.043919</v>
      </c>
      <c r="AM23" s="13" t="n">
        <v>1750.501119</v>
      </c>
      <c r="AN23" s="13" t="n">
        <v>1787.000521</v>
      </c>
      <c r="AO23" s="13" t="n">
        <v>1853.149098</v>
      </c>
      <c r="AP23" s="13" t="n">
        <v>1777.54056</v>
      </c>
      <c r="AQ23" s="13" t="n">
        <v>1890.945339</v>
      </c>
      <c r="AR23" s="13" t="n">
        <v>1928.80887</v>
      </c>
      <c r="AS23" s="13" t="n">
        <v>2193.485184</v>
      </c>
      <c r="AT23" s="13" t="n">
        <v>2042.261704</v>
      </c>
    </row>
    <row r="24" customFormat="false" ht="15" hidden="false" customHeight="true" outlineLevel="0" collapsed="false">
      <c r="A24" s="12" t="s">
        <v>125</v>
      </c>
      <c r="B24" s="12" t="s">
        <v>126</v>
      </c>
      <c r="C24" s="12" t="n">
        <v>1</v>
      </c>
      <c r="D24" s="12" t="s">
        <v>127</v>
      </c>
      <c r="E24" s="13" t="n">
        <v>0</v>
      </c>
      <c r="F24" s="13" t="n">
        <v>0</v>
      </c>
      <c r="G24" s="13" t="n">
        <v>0</v>
      </c>
      <c r="H24" s="13" t="n">
        <v>119.957355</v>
      </c>
      <c r="I24" s="13" t="n">
        <v>120.008497</v>
      </c>
      <c r="J24" s="13" t="n">
        <v>119.916565</v>
      </c>
      <c r="K24" s="13" t="n">
        <v>119.989596</v>
      </c>
      <c r="L24" s="13" t="n">
        <v>120.069537</v>
      </c>
      <c r="M24" s="13" t="n">
        <v>120.036465</v>
      </c>
      <c r="N24" s="13" t="n">
        <v>119.970192</v>
      </c>
      <c r="O24" s="13" t="n">
        <v>119.939063</v>
      </c>
      <c r="P24" s="13" t="n">
        <v>119.950747</v>
      </c>
      <c r="Q24" s="13" t="n">
        <v>120.013407</v>
      </c>
      <c r="R24" s="13" t="n">
        <v>120.001986</v>
      </c>
      <c r="S24" s="13" t="n">
        <v>119.918625</v>
      </c>
      <c r="T24" s="13" t="n">
        <v>120.0192</v>
      </c>
      <c r="U24" s="13" t="n">
        <v>120.043524</v>
      </c>
      <c r="V24" s="13" t="n">
        <v>119.937636</v>
      </c>
      <c r="W24" s="13" t="n">
        <v>120.00256</v>
      </c>
      <c r="X24" s="13" t="n">
        <v>119.97029</v>
      </c>
      <c r="Y24" s="13" t="n">
        <v>120.09314</v>
      </c>
      <c r="Z24" s="13" t="n">
        <v>120.077936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</row>
    <row r="25" customFormat="false" ht="15" hidden="false" customHeight="true" outlineLevel="0" collapsed="false">
      <c r="A25" s="12" t="s">
        <v>128</v>
      </c>
      <c r="B25" s="12" t="s">
        <v>129</v>
      </c>
      <c r="C25" s="12" t="n">
        <v>1</v>
      </c>
      <c r="D25" s="12" t="s">
        <v>130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2352.5327</v>
      </c>
      <c r="AE25" s="13" t="n">
        <v>2626.0038</v>
      </c>
      <c r="AF25" s="13" t="n">
        <v>2680.6978</v>
      </c>
      <c r="AG25" s="13" t="n">
        <v>4431.59272</v>
      </c>
      <c r="AH25" s="13" t="n">
        <v>4446.47325</v>
      </c>
      <c r="AI25" s="13" t="n">
        <v>4905.26512</v>
      </c>
      <c r="AJ25" s="13" t="n">
        <v>5022.65133</v>
      </c>
      <c r="AK25" s="13" t="n">
        <v>5336.01015</v>
      </c>
      <c r="AL25" s="13" t="n">
        <v>0</v>
      </c>
      <c r="AM25" s="13" t="n">
        <v>4444.765023</v>
      </c>
      <c r="AN25" s="13" t="n">
        <v>4937.135182</v>
      </c>
      <c r="AO25" s="13" t="n">
        <v>5046.896148</v>
      </c>
      <c r="AP25" s="13" t="n">
        <v>5356.2624</v>
      </c>
      <c r="AQ25" s="13" t="n">
        <v>5356.13934</v>
      </c>
      <c r="AR25" s="13" t="n">
        <v>0</v>
      </c>
      <c r="AS25" s="13" t="n">
        <v>5866.776621</v>
      </c>
      <c r="AT25" s="13" t="n">
        <v>5366.340592</v>
      </c>
    </row>
    <row r="26" customFormat="false" ht="15" hidden="false" customHeight="true" outlineLevel="0" collapsed="false">
      <c r="A26" s="12" t="s">
        <v>131</v>
      </c>
      <c r="B26" s="12" t="s">
        <v>132</v>
      </c>
      <c r="C26" s="12" t="n">
        <v>1</v>
      </c>
      <c r="D26" s="12" t="s">
        <v>133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4409.95455</v>
      </c>
      <c r="AL26" s="13" t="n">
        <v>3604.974713</v>
      </c>
      <c r="AM26" s="13" t="n">
        <v>3640.044452</v>
      </c>
      <c r="AN26" s="13" t="n">
        <v>3465.022244</v>
      </c>
      <c r="AO26" s="13" t="n">
        <v>3302.36031</v>
      </c>
      <c r="AP26" s="13" t="n">
        <v>3012.0348</v>
      </c>
      <c r="AQ26" s="13" t="n">
        <v>0</v>
      </c>
      <c r="AR26" s="13" t="n">
        <v>0</v>
      </c>
      <c r="AS26" s="13" t="n">
        <v>0</v>
      </c>
      <c r="AT26" s="13" t="n">
        <v>0</v>
      </c>
    </row>
    <row r="27" customFormat="false" ht="15" hidden="false" customHeight="true" outlineLevel="0" collapsed="false">
      <c r="A27" s="12" t="s">
        <v>134</v>
      </c>
      <c r="B27" s="12" t="s">
        <v>135</v>
      </c>
      <c r="C27" s="12" t="n">
        <v>1</v>
      </c>
      <c r="D27" s="12" t="s">
        <v>136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3719.9184</v>
      </c>
      <c r="AD27" s="13" t="n">
        <v>4019.9793</v>
      </c>
      <c r="AE27" s="13" t="n">
        <v>4452.46956</v>
      </c>
      <c r="AF27" s="13" t="n">
        <v>4484.9948</v>
      </c>
      <c r="AG27" s="13" t="n">
        <v>4420.01392</v>
      </c>
      <c r="AH27" s="13" t="n">
        <v>0</v>
      </c>
      <c r="AI27" s="13" t="n">
        <v>4550.00182</v>
      </c>
      <c r="AJ27" s="13" t="n">
        <v>4615.0164</v>
      </c>
      <c r="AK27" s="13" t="n">
        <v>4420.0443</v>
      </c>
      <c r="AL27" s="13" t="n">
        <v>4452.575675</v>
      </c>
      <c r="AM27" s="13" t="n">
        <v>4420.001568</v>
      </c>
      <c r="AN27" s="13" t="n">
        <v>4322.465988</v>
      </c>
      <c r="AO27" s="13" t="n">
        <v>4420.042476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</row>
    <row r="28" customFormat="false" ht="15" hidden="false" customHeight="true" outlineLevel="0" collapsed="false">
      <c r="A28" s="12" t="s">
        <v>137</v>
      </c>
      <c r="B28" s="12" t="s">
        <v>138</v>
      </c>
      <c r="C28" s="12" t="n">
        <v>1</v>
      </c>
      <c r="D28" s="12" t="s">
        <v>139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4172.26305</v>
      </c>
      <c r="AI28" s="13" t="n">
        <v>4189.09942</v>
      </c>
      <c r="AJ28" s="13" t="n">
        <v>4044.663</v>
      </c>
      <c r="AK28" s="13" t="n">
        <v>4574.32575</v>
      </c>
      <c r="AL28" s="13" t="n">
        <v>6114.993381</v>
      </c>
      <c r="AM28" s="13" t="n">
        <v>6740.979317</v>
      </c>
      <c r="AN28" s="13" t="n">
        <v>6163.236576</v>
      </c>
      <c r="AO28" s="13" t="n">
        <v>6690.576816</v>
      </c>
      <c r="AP28" s="13" t="n">
        <v>5891.71608</v>
      </c>
      <c r="AQ28" s="13" t="n">
        <v>5841.777126</v>
      </c>
      <c r="AR28" s="13" t="n">
        <v>6440.941016</v>
      </c>
      <c r="AS28" s="13" t="n">
        <v>6790.422213</v>
      </c>
      <c r="AT28" s="13" t="n">
        <v>7289.766432</v>
      </c>
    </row>
    <row r="29" customFormat="false" ht="15" hidden="false" customHeight="true" outlineLevel="0" collapsed="false">
      <c r="A29" s="12" t="s">
        <v>140</v>
      </c>
      <c r="B29" s="12" t="s">
        <v>141</v>
      </c>
      <c r="C29" s="12" t="n">
        <v>1</v>
      </c>
      <c r="D29" s="12" t="s">
        <v>142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3180.04515</v>
      </c>
      <c r="AI29" s="13" t="n">
        <v>3719.9263</v>
      </c>
      <c r="AJ29" s="13" t="n">
        <v>3719.97162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</row>
    <row r="30" customFormat="false" ht="15" hidden="false" customHeight="true" outlineLevel="0" collapsed="false">
      <c r="A30" s="12" t="s">
        <v>143</v>
      </c>
      <c r="B30" s="12" t="s">
        <v>144</v>
      </c>
      <c r="C30" s="12" t="n">
        <v>1</v>
      </c>
      <c r="D30" s="12" t="s">
        <v>145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6050.03301</v>
      </c>
      <c r="AK30" s="13" t="n">
        <v>6380.0241</v>
      </c>
      <c r="AL30" s="13" t="n">
        <v>6599.941954</v>
      </c>
      <c r="AM30" s="13" t="n">
        <v>6269.923373</v>
      </c>
      <c r="AN30" s="13" t="n">
        <v>5940.063823</v>
      </c>
      <c r="AO30" s="13" t="n">
        <v>4914.663814</v>
      </c>
      <c r="AP30" s="13" t="n">
        <v>5038.92456</v>
      </c>
      <c r="AQ30" s="13" t="n">
        <v>5785.463423</v>
      </c>
      <c r="AR30" s="13" t="n">
        <v>5760.11271</v>
      </c>
      <c r="AS30" s="13" t="n">
        <v>5536.680642</v>
      </c>
      <c r="AT30" s="13" t="n">
        <v>5536.63116</v>
      </c>
    </row>
    <row r="31" customFormat="false" ht="15" hidden="false" customHeight="true" outlineLevel="0" collapsed="false">
      <c r="A31" s="12" t="s">
        <v>146</v>
      </c>
      <c r="B31" s="12" t="s">
        <v>147</v>
      </c>
      <c r="C31" s="12" t="n">
        <v>1</v>
      </c>
      <c r="D31" s="12" t="s">
        <v>148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2700.049616</v>
      </c>
      <c r="AA31" s="13" t="n">
        <v>2745.0105</v>
      </c>
      <c r="AB31" s="13" t="n">
        <v>2790.056952</v>
      </c>
      <c r="AC31" s="13" t="n">
        <v>3060.0196</v>
      </c>
      <c r="AD31" s="13" t="n">
        <v>2924.9091</v>
      </c>
      <c r="AE31" s="13" t="n">
        <v>3015.05652</v>
      </c>
      <c r="AF31" s="13" t="n">
        <v>2970.0902</v>
      </c>
      <c r="AG31" s="13" t="n">
        <v>2969.9622</v>
      </c>
      <c r="AH31" s="13" t="n">
        <v>2970.04395</v>
      </c>
      <c r="AI31" s="13" t="n">
        <v>3284.96372</v>
      </c>
      <c r="AJ31" s="13" t="n">
        <v>2834.9919</v>
      </c>
      <c r="AK31" s="13" t="n">
        <v>2970.0555</v>
      </c>
      <c r="AL31" s="13" t="n">
        <v>2969.918625</v>
      </c>
      <c r="AM31" s="13" t="n">
        <v>3015.088221</v>
      </c>
      <c r="AN31" s="13" t="n">
        <v>3015.080078</v>
      </c>
      <c r="AO31" s="13" t="n">
        <v>0</v>
      </c>
      <c r="AP31" s="13" t="n">
        <v>3105.04464</v>
      </c>
      <c r="AQ31" s="13" t="n">
        <v>2384.912483</v>
      </c>
      <c r="AR31" s="13" t="n">
        <v>3195.033738</v>
      </c>
      <c r="AS31" s="13" t="n">
        <v>3195.024426</v>
      </c>
      <c r="AT31" s="13" t="n">
        <v>3285.05032</v>
      </c>
    </row>
    <row r="32" customFormat="false" ht="15" hidden="false" customHeight="true" outlineLevel="0" collapsed="false">
      <c r="A32" s="12" t="s">
        <v>149</v>
      </c>
      <c r="B32" s="12" t="s">
        <v>150</v>
      </c>
      <c r="C32" s="12" t="n">
        <v>1</v>
      </c>
      <c r="D32" s="12" t="s">
        <v>151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3079.98208</v>
      </c>
      <c r="U32" s="13" t="n">
        <v>3192.004778</v>
      </c>
      <c r="V32" s="13" t="n">
        <v>2702.005176</v>
      </c>
      <c r="W32" s="13" t="n">
        <v>2701.93264</v>
      </c>
      <c r="X32" s="13" t="n">
        <v>2744.047724</v>
      </c>
      <c r="Y32" s="13" t="n">
        <v>2029.967814</v>
      </c>
      <c r="Z32" s="13" t="n">
        <v>2184.05528</v>
      </c>
      <c r="AA32" s="13" t="n">
        <v>2939.91645</v>
      </c>
      <c r="AB32" s="13" t="n">
        <v>1960.000844</v>
      </c>
      <c r="AC32" s="13" t="n">
        <v>2198.0772</v>
      </c>
      <c r="AD32" s="13" t="n">
        <v>2211.9022</v>
      </c>
      <c r="AE32" s="13" t="n">
        <v>2072.02212</v>
      </c>
      <c r="AF32" s="13" t="n">
        <v>1946.0562</v>
      </c>
      <c r="AG32" s="13" t="n">
        <v>2016.06206</v>
      </c>
      <c r="AH32" s="13" t="n">
        <v>2100.012</v>
      </c>
      <c r="AI32" s="13" t="n">
        <v>1890.03835</v>
      </c>
      <c r="AJ32" s="13" t="n">
        <v>1106.03826</v>
      </c>
      <c r="AK32" s="13" t="n">
        <v>1848.0753</v>
      </c>
      <c r="AL32" s="13" t="n">
        <v>1834.074398</v>
      </c>
      <c r="AM32" s="13" t="n">
        <v>1959.981605</v>
      </c>
      <c r="AN32" s="13" t="n">
        <v>1988.053815</v>
      </c>
      <c r="AO32" s="13" t="n">
        <v>2057.962674</v>
      </c>
      <c r="AP32" s="13" t="n">
        <v>2057.95056</v>
      </c>
      <c r="AQ32" s="13" t="n">
        <v>1974.057846</v>
      </c>
      <c r="AR32" s="13" t="n">
        <v>2057.922406</v>
      </c>
      <c r="AS32" s="13" t="n">
        <v>1931.935617</v>
      </c>
      <c r="AT32" s="13" t="n">
        <v>1946.002904</v>
      </c>
    </row>
    <row r="33" customFormat="false" ht="15" hidden="false" customHeight="true" outlineLevel="0" collapsed="false">
      <c r="A33" s="12" t="s">
        <v>152</v>
      </c>
      <c r="B33" s="12" t="s">
        <v>153</v>
      </c>
      <c r="C33" s="12" t="n">
        <v>1</v>
      </c>
      <c r="D33" s="12" t="s">
        <v>154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2729.91945</v>
      </c>
      <c r="AL33" s="13" t="n">
        <v>2745.033624</v>
      </c>
      <c r="AM33" s="13" t="n">
        <v>4845.015829</v>
      </c>
      <c r="AN33" s="13" t="n">
        <v>4874.912964</v>
      </c>
      <c r="AO33" s="13" t="n">
        <v>4980.004172</v>
      </c>
      <c r="AP33" s="13" t="n">
        <v>5024.9472</v>
      </c>
      <c r="AQ33" s="13" t="n">
        <v>5265.059621</v>
      </c>
      <c r="AR33" s="13" t="n">
        <v>5309.969594</v>
      </c>
      <c r="AS33" s="13" t="n">
        <v>5444.939232</v>
      </c>
      <c r="AT33" s="13" t="n">
        <v>5490.076904</v>
      </c>
    </row>
    <row r="34" customFormat="false" ht="15" hidden="false" customHeight="true" outlineLevel="0" collapsed="false">
      <c r="A34" s="12" t="s">
        <v>155</v>
      </c>
      <c r="B34" s="12" t="s">
        <v>156</v>
      </c>
      <c r="C34" s="12" t="n">
        <v>1</v>
      </c>
      <c r="D34" s="12" t="s">
        <v>157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</row>
    <row r="35" customFormat="false" ht="15" hidden="false" customHeight="true" outlineLevel="0" collapsed="false">
      <c r="A35" s="12" t="s">
        <v>158</v>
      </c>
      <c r="B35" s="12" t="s">
        <v>159</v>
      </c>
      <c r="C35" s="12" t="n">
        <v>1</v>
      </c>
      <c r="D35" s="12" t="s">
        <v>160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1196.95968</v>
      </c>
      <c r="AF35" s="13" t="n">
        <v>1134.0736</v>
      </c>
      <c r="AG35" s="13" t="n">
        <v>1071.039</v>
      </c>
      <c r="AH35" s="13" t="n">
        <v>1008.0813</v>
      </c>
      <c r="AI35" s="13" t="n">
        <v>1008.08311</v>
      </c>
      <c r="AJ35" s="13" t="n">
        <v>1007.99712</v>
      </c>
      <c r="AK35" s="13" t="n">
        <v>1008.05775</v>
      </c>
      <c r="AL35" s="13" t="n">
        <v>882.042809</v>
      </c>
      <c r="AM35" s="13" t="n">
        <v>819.028345</v>
      </c>
      <c r="AN35" s="13" t="n">
        <v>818.959482</v>
      </c>
      <c r="AO35" s="13" t="n">
        <v>849.07985</v>
      </c>
      <c r="AP35" s="13" t="n">
        <v>993.60048</v>
      </c>
      <c r="AQ35" s="13" t="n">
        <v>743.485738</v>
      </c>
      <c r="AR35" s="13" t="n">
        <v>993.437438</v>
      </c>
      <c r="AS35" s="13" t="n">
        <v>993.57678</v>
      </c>
      <c r="AT35" s="13" t="n">
        <v>993.565832</v>
      </c>
    </row>
    <row r="36" customFormat="false" ht="15" hidden="false" customHeight="true" outlineLevel="0" collapsed="false">
      <c r="A36" s="12" t="s">
        <v>161</v>
      </c>
      <c r="B36" s="12" t="s">
        <v>162</v>
      </c>
      <c r="C36" s="12" t="n">
        <v>1</v>
      </c>
      <c r="D36" s="12" t="s">
        <v>163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2055.0069</v>
      </c>
      <c r="AL36" s="13" t="n">
        <v>2205.014932</v>
      </c>
      <c r="AM36" s="13" t="n">
        <v>2070.041405</v>
      </c>
      <c r="AN36" s="13" t="n">
        <v>1995.067302</v>
      </c>
      <c r="AO36" s="13" t="n">
        <v>2010.034918</v>
      </c>
      <c r="AP36" s="13" t="n">
        <v>2055.01704</v>
      </c>
      <c r="AQ36" s="13" t="n">
        <v>2129.961699</v>
      </c>
      <c r="AR36" s="13" t="n">
        <v>2204.929394</v>
      </c>
      <c r="AS36" s="13" t="n">
        <v>2174.963805</v>
      </c>
      <c r="AT36" s="13" t="n">
        <v>2144.996096</v>
      </c>
    </row>
    <row r="37" customFormat="false" ht="15" hidden="false" customHeight="true" outlineLevel="0" collapsed="false">
      <c r="A37" s="12" t="s">
        <v>164</v>
      </c>
      <c r="B37" s="12" t="s">
        <v>165</v>
      </c>
      <c r="C37" s="12" t="n">
        <v>1</v>
      </c>
      <c r="D37" s="12" t="s">
        <v>166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2500.0566</v>
      </c>
      <c r="AL37" s="13" t="n">
        <v>2349.965379</v>
      </c>
      <c r="AM37" s="13" t="n">
        <v>1849.921805</v>
      </c>
      <c r="AN37" s="13" t="n">
        <v>1649.967775</v>
      </c>
      <c r="AO37" s="13" t="n">
        <v>1658.852044</v>
      </c>
      <c r="AP37" s="13" t="n">
        <v>1295.9256</v>
      </c>
      <c r="AQ37" s="13" t="n">
        <v>1192.365705</v>
      </c>
      <c r="AR37" s="13" t="n">
        <v>2488.242384</v>
      </c>
      <c r="AS37" s="13" t="n">
        <v>4147.231023</v>
      </c>
      <c r="AT37" s="13" t="n">
        <v>4665.576528</v>
      </c>
    </row>
    <row r="38" customFormat="false" ht="15" hidden="false" customHeight="true" outlineLevel="0" collapsed="false">
      <c r="A38" s="12" t="s">
        <v>167</v>
      </c>
      <c r="B38" s="12" t="s">
        <v>168</v>
      </c>
      <c r="C38" s="12" t="n">
        <v>1</v>
      </c>
      <c r="D38" s="12" t="s">
        <v>169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0</v>
      </c>
      <c r="AE38" s="13" t="n">
        <v>0</v>
      </c>
      <c r="AF38" s="13" t="n">
        <v>0</v>
      </c>
      <c r="AG38" s="13" t="n">
        <v>630.0797</v>
      </c>
      <c r="AH38" s="13" t="n">
        <v>559.94025</v>
      </c>
      <c r="AI38" s="13" t="n">
        <v>559.96263</v>
      </c>
      <c r="AJ38" s="13" t="n">
        <v>419.93667</v>
      </c>
      <c r="AK38" s="13" t="n">
        <v>350.0226</v>
      </c>
      <c r="AL38" s="13" t="n">
        <v>349.9439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</row>
    <row r="39" customFormat="false" ht="15" hidden="false" customHeight="true" outlineLevel="0" collapsed="false">
      <c r="A39" s="12" t="s">
        <v>170</v>
      </c>
      <c r="B39" s="12" t="s">
        <v>171</v>
      </c>
      <c r="C39" s="12" t="n">
        <v>1</v>
      </c>
      <c r="D39" s="12" t="s">
        <v>172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950.006253</v>
      </c>
      <c r="M39" s="13" t="n">
        <v>987.965325</v>
      </c>
      <c r="N39" s="13" t="n">
        <v>1026.070362</v>
      </c>
      <c r="O39" s="13" t="n">
        <v>1025.934998</v>
      </c>
      <c r="P39" s="13" t="n">
        <v>1063.991887</v>
      </c>
      <c r="Q39" s="13" t="n">
        <v>2773.185336</v>
      </c>
      <c r="R39" s="13" t="n">
        <v>4213.403064</v>
      </c>
      <c r="S39" s="13" t="n">
        <v>5413.209435</v>
      </c>
      <c r="T39" s="13" t="n">
        <v>5493.13408</v>
      </c>
      <c r="U39" s="13" t="n">
        <v>5493.008541</v>
      </c>
      <c r="V39" s="13" t="n">
        <v>5372.874468</v>
      </c>
      <c r="W39" s="13" t="n">
        <v>5412.865472</v>
      </c>
      <c r="X39" s="13" t="n">
        <v>5412.940506</v>
      </c>
      <c r="Y39" s="13" t="n">
        <v>5532.946896</v>
      </c>
      <c r="Z39" s="13" t="n">
        <v>5372.836128</v>
      </c>
      <c r="AA39" s="13" t="n">
        <v>5492.87826</v>
      </c>
      <c r="AB39" s="13" t="n">
        <v>5895.988498</v>
      </c>
      <c r="AC39" s="13" t="n">
        <v>6168.6372</v>
      </c>
      <c r="AD39" s="13" t="n">
        <v>4543.0837</v>
      </c>
      <c r="AE39" s="13" t="n">
        <v>6126.86592</v>
      </c>
      <c r="AF39" s="13" t="n">
        <v>6293.5994</v>
      </c>
      <c r="AG39" s="13" t="n">
        <v>6234.79784</v>
      </c>
      <c r="AH39" s="13" t="n">
        <v>6193.1469</v>
      </c>
      <c r="AI39" s="13" t="n">
        <v>6151.50622</v>
      </c>
      <c r="AJ39" s="13" t="n">
        <v>6233.25438</v>
      </c>
      <c r="AK39" s="13" t="n">
        <v>6274.90725</v>
      </c>
      <c r="AL39" s="13" t="n">
        <v>6273.20486</v>
      </c>
      <c r="AM39" s="13" t="n">
        <v>6314.864458</v>
      </c>
      <c r="AN39" s="13" t="n">
        <v>6316.634125</v>
      </c>
      <c r="AO39" s="13" t="n">
        <v>7132.960348</v>
      </c>
      <c r="AP39" s="13" t="n">
        <v>7134.83832</v>
      </c>
      <c r="AQ39" s="13" t="n">
        <v>7349.209851</v>
      </c>
      <c r="AR39" s="13" t="n">
        <v>7347.367158</v>
      </c>
      <c r="AS39" s="13" t="n">
        <v>7304.174109</v>
      </c>
      <c r="AT39" s="13" t="n">
        <v>7304.117744</v>
      </c>
    </row>
    <row r="40" customFormat="false" ht="15" hidden="false" customHeight="true" outlineLevel="0" collapsed="false">
      <c r="A40" s="12" t="s">
        <v>173</v>
      </c>
      <c r="B40" s="12" t="s">
        <v>174</v>
      </c>
      <c r="C40" s="12" t="n">
        <v>1</v>
      </c>
      <c r="D40" s="12" t="s">
        <v>175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3569.940972</v>
      </c>
      <c r="W40" s="13" t="n">
        <v>3570.07616</v>
      </c>
      <c r="X40" s="13" t="n">
        <v>0</v>
      </c>
      <c r="Y40" s="13" t="n">
        <v>1819.903256</v>
      </c>
      <c r="Z40" s="13" t="n">
        <v>1820.012656</v>
      </c>
      <c r="AA40" s="13" t="n">
        <v>2869.91358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</row>
    <row r="41" customFormat="false" ht="15" hidden="false" customHeight="true" outlineLevel="0" collapsed="false">
      <c r="A41" s="12" t="s">
        <v>176</v>
      </c>
      <c r="B41" s="12" t="s">
        <v>177</v>
      </c>
      <c r="C41" s="12" t="n">
        <v>1</v>
      </c>
      <c r="D41" s="12" t="s">
        <v>178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7050.712912</v>
      </c>
      <c r="X41" s="13" t="n">
        <v>7050.683688</v>
      </c>
      <c r="Y41" s="13" t="n">
        <v>7063.445372</v>
      </c>
      <c r="Z41" s="13" t="n">
        <v>7076.178736</v>
      </c>
      <c r="AA41" s="13" t="n">
        <v>10646.15076</v>
      </c>
      <c r="AB41" s="13" t="n">
        <v>10225.554682</v>
      </c>
      <c r="AC41" s="13" t="n">
        <v>10671.914</v>
      </c>
      <c r="AD41" s="13" t="n">
        <v>10964.2518</v>
      </c>
      <c r="AE41" s="13" t="n">
        <v>11402.75556</v>
      </c>
      <c r="AF41" s="13" t="n">
        <v>12399.6224</v>
      </c>
      <c r="AG41" s="13" t="n">
        <v>22631.53652</v>
      </c>
      <c r="AH41" s="13" t="n">
        <v>22149.4611</v>
      </c>
      <c r="AI41" s="13" t="n">
        <v>22356.96383</v>
      </c>
      <c r="AJ41" s="13" t="n">
        <v>30153.42864</v>
      </c>
      <c r="AK41" s="13" t="n">
        <v>14235.72</v>
      </c>
      <c r="AL41" s="13" t="n">
        <v>21859.337804</v>
      </c>
      <c r="AM41" s="13" t="n">
        <v>22158.7064</v>
      </c>
      <c r="AN41" s="13" t="n">
        <v>22470.672849</v>
      </c>
      <c r="AO41" s="13" t="n">
        <v>22985.49665</v>
      </c>
      <c r="AP41" s="13" t="n">
        <v>24270.04632</v>
      </c>
      <c r="AQ41" s="13" t="n">
        <v>24560.379574</v>
      </c>
      <c r="AR41" s="13" t="n">
        <v>23958.104246</v>
      </c>
      <c r="AS41" s="13" t="n">
        <v>24268.891788</v>
      </c>
      <c r="AT41" s="13" t="n">
        <v>23681.239944</v>
      </c>
    </row>
    <row r="42" customFormat="false" ht="15" hidden="false" customHeight="true" outlineLevel="0" collapsed="false">
      <c r="A42" s="12" t="s">
        <v>179</v>
      </c>
      <c r="B42" s="12" t="s">
        <v>180</v>
      </c>
      <c r="C42" s="12" t="n">
        <v>1</v>
      </c>
      <c r="D42" s="12" t="s">
        <v>181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3" t="n">
        <v>0</v>
      </c>
      <c r="AH42" s="13" t="n">
        <v>0</v>
      </c>
      <c r="AI42" s="13" t="n">
        <v>0</v>
      </c>
      <c r="AJ42" s="13" t="n">
        <v>0</v>
      </c>
      <c r="AK42" s="13" t="n">
        <v>5145.0387</v>
      </c>
      <c r="AL42" s="13" t="n">
        <v>5160.014896</v>
      </c>
      <c r="AM42" s="13" t="n">
        <v>5744.938127</v>
      </c>
      <c r="AN42" s="13" t="n">
        <v>5550.006046</v>
      </c>
      <c r="AO42" s="13" t="n">
        <v>5684.95595</v>
      </c>
      <c r="AP42" s="13" t="n">
        <v>5775.06552</v>
      </c>
      <c r="AQ42" s="13" t="n">
        <v>6000.034928</v>
      </c>
      <c r="AR42" s="13" t="n">
        <v>6059.915744</v>
      </c>
      <c r="AS42" s="13" t="n">
        <v>6180.082191</v>
      </c>
      <c r="AT42" s="13" t="n">
        <v>6059.929</v>
      </c>
    </row>
    <row r="43" customFormat="false" ht="15" hidden="false" customHeight="true" outlineLevel="0" collapsed="false">
      <c r="A43" s="12" t="s">
        <v>182</v>
      </c>
      <c r="B43" s="12" t="s">
        <v>183</v>
      </c>
      <c r="C43" s="12" t="n">
        <v>1</v>
      </c>
      <c r="D43" s="12" t="s">
        <v>184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5953.50939</v>
      </c>
      <c r="AB43" s="13" t="n">
        <v>6636.806492</v>
      </c>
      <c r="AC43" s="13" t="n">
        <v>7368.6976</v>
      </c>
      <c r="AD43" s="13" t="n">
        <v>6588.077</v>
      </c>
      <c r="AE43" s="13" t="n">
        <v>5807.214</v>
      </c>
      <c r="AF43" s="13" t="n">
        <v>8675.3106</v>
      </c>
      <c r="AG43" s="13" t="n">
        <v>7081.78706</v>
      </c>
      <c r="AH43" s="13" t="n">
        <v>7337.01135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</row>
    <row r="44" customFormat="false" ht="15" hidden="false" customHeight="true" outlineLevel="0" collapsed="false">
      <c r="A44" s="12" t="s">
        <v>185</v>
      </c>
      <c r="B44" s="12" t="s">
        <v>186</v>
      </c>
      <c r="C44" s="12" t="n">
        <v>1</v>
      </c>
      <c r="D44" s="12" t="s">
        <v>187</v>
      </c>
      <c r="E44" s="13" t="n">
        <v>5103.978912</v>
      </c>
      <c r="F44" s="13" t="n">
        <v>5103.96111</v>
      </c>
      <c r="G44" s="13" t="n">
        <v>5007.628998</v>
      </c>
      <c r="H44" s="13" t="n">
        <v>5200.196436</v>
      </c>
      <c r="I44" s="13" t="n">
        <v>5392.782416</v>
      </c>
      <c r="J44" s="13" t="n">
        <v>5296.51453</v>
      </c>
      <c r="K44" s="13" t="n">
        <v>5296.564392</v>
      </c>
      <c r="L44" s="13" t="n">
        <v>5200.166433</v>
      </c>
      <c r="M44" s="13" t="n">
        <v>5200.17003</v>
      </c>
      <c r="N44" s="13" t="n">
        <v>5392.876944</v>
      </c>
      <c r="O44" s="13" t="n">
        <v>5200.22738</v>
      </c>
      <c r="P44" s="13" t="n">
        <v>5585.407562</v>
      </c>
      <c r="Q44" s="13" t="n">
        <v>5489.02521</v>
      </c>
      <c r="R44" s="13" t="n">
        <v>5489.150673</v>
      </c>
      <c r="S44" s="13" t="n">
        <v>5489.13033</v>
      </c>
      <c r="T44" s="13" t="n">
        <v>5489.04832</v>
      </c>
      <c r="U44" s="13" t="n">
        <v>5681.72103</v>
      </c>
      <c r="V44" s="13" t="n">
        <v>5681.654004</v>
      </c>
      <c r="W44" s="13" t="n">
        <v>5681.746208</v>
      </c>
      <c r="X44" s="13" t="n">
        <v>5681.634296</v>
      </c>
      <c r="Y44" s="13" t="n">
        <v>5585.31538</v>
      </c>
      <c r="Z44" s="13" t="n">
        <v>5585.327968</v>
      </c>
      <c r="AA44" s="13" t="n">
        <v>5681.66151</v>
      </c>
      <c r="AB44" s="13" t="n">
        <v>5585.375108</v>
      </c>
      <c r="AC44" s="13" t="n">
        <v>6020.982</v>
      </c>
      <c r="AD44" s="13" t="n">
        <v>5820.255</v>
      </c>
      <c r="AE44" s="13" t="n">
        <v>5820.27768</v>
      </c>
      <c r="AF44" s="13" t="n">
        <v>5820.3508</v>
      </c>
      <c r="AG44" s="13" t="n">
        <v>5820.2768</v>
      </c>
      <c r="AH44" s="13" t="n">
        <v>6121.3839</v>
      </c>
      <c r="AI44" s="13" t="n">
        <v>6121.43102</v>
      </c>
      <c r="AJ44" s="13" t="n">
        <v>6020.95617</v>
      </c>
      <c r="AK44" s="13" t="n">
        <v>5920.6653</v>
      </c>
      <c r="AL44" s="13" t="n">
        <v>5920.682426</v>
      </c>
      <c r="AM44" s="13" t="n">
        <v>5820.32909</v>
      </c>
      <c r="AN44" s="13" t="n">
        <v>5820.295045</v>
      </c>
      <c r="AO44" s="13" t="n">
        <v>6034.93201</v>
      </c>
      <c r="AP44" s="13" t="n">
        <v>6138.99456</v>
      </c>
      <c r="AQ44" s="13" t="n">
        <v>6034.982017</v>
      </c>
      <c r="AR44" s="13" t="n">
        <v>5930.802208</v>
      </c>
      <c r="AS44" s="13" t="n">
        <v>6034.853808</v>
      </c>
      <c r="AT44" s="13" t="n">
        <v>6139.036232</v>
      </c>
    </row>
    <row r="45" customFormat="false" ht="15" hidden="false" customHeight="true" outlineLevel="0" collapsed="false">
      <c r="A45" s="12" t="s">
        <v>188</v>
      </c>
      <c r="B45" s="12" t="s">
        <v>189</v>
      </c>
      <c r="C45" s="12" t="n">
        <v>1</v>
      </c>
      <c r="D45" s="12" t="s">
        <v>190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3465.022244</v>
      </c>
      <c r="AO45" s="13" t="n">
        <v>3409.939158</v>
      </c>
      <c r="AP45" s="13" t="n">
        <v>3465.0048</v>
      </c>
      <c r="AQ45" s="13" t="n">
        <v>3520.05912</v>
      </c>
      <c r="AR45" s="13" t="n">
        <v>3575.006454</v>
      </c>
      <c r="AS45" s="13" t="n">
        <v>3630.017187</v>
      </c>
      <c r="AT45" s="13" t="n">
        <v>3575.051832</v>
      </c>
    </row>
    <row r="46" customFormat="false" ht="15" hidden="false" customHeight="true" outlineLevel="0" collapsed="false">
      <c r="A46" s="12" t="s">
        <v>191</v>
      </c>
      <c r="B46" s="12" t="s">
        <v>192</v>
      </c>
      <c r="C46" s="12" t="n">
        <v>1</v>
      </c>
      <c r="D46" s="12" t="s">
        <v>193</v>
      </c>
      <c r="E46" s="13" t="n">
        <v>0</v>
      </c>
      <c r="F46" s="13" t="n">
        <v>0</v>
      </c>
      <c r="G46" s="13" t="n">
        <v>0</v>
      </c>
      <c r="H46" s="13" t="n">
        <v>1000.065528</v>
      </c>
      <c r="I46" s="13" t="n">
        <v>849.957087</v>
      </c>
      <c r="J46" s="13" t="n">
        <v>699.99798</v>
      </c>
      <c r="K46" s="13" t="n">
        <v>650.01318</v>
      </c>
      <c r="L46" s="13" t="n">
        <v>650.083602</v>
      </c>
      <c r="M46" s="13" t="n">
        <v>900.00909</v>
      </c>
      <c r="N46" s="13" t="n">
        <v>1200.063276</v>
      </c>
      <c r="O46" s="13" t="n">
        <v>1249.981856</v>
      </c>
      <c r="P46" s="13" t="n">
        <v>1300.002172</v>
      </c>
      <c r="Q46" s="13" t="n">
        <v>1627.477947</v>
      </c>
      <c r="R46" s="13" t="n">
        <v>1417.459356</v>
      </c>
      <c r="S46" s="13" t="n">
        <v>1469.954235</v>
      </c>
      <c r="T46" s="13" t="n">
        <v>1679.92832</v>
      </c>
      <c r="U46" s="13" t="n">
        <v>1627.539247</v>
      </c>
      <c r="V46" s="13" t="n">
        <v>1522.526304</v>
      </c>
      <c r="W46" s="13" t="n">
        <v>1417.53024</v>
      </c>
      <c r="X46" s="13" t="n">
        <v>1365.083432</v>
      </c>
      <c r="Y46" s="13" t="n">
        <v>1470.058158</v>
      </c>
      <c r="Z46" s="13" t="n">
        <v>1417.480944</v>
      </c>
      <c r="AA46" s="13" t="n">
        <v>1627.41366</v>
      </c>
      <c r="AB46" s="13" t="n">
        <v>1522.511496</v>
      </c>
      <c r="AC46" s="13" t="n">
        <v>1477.1724</v>
      </c>
      <c r="AD46" s="13" t="n">
        <v>1531.9486</v>
      </c>
      <c r="AE46" s="13" t="n">
        <v>1586.62476</v>
      </c>
      <c r="AF46" s="13" t="n">
        <v>1586.5674</v>
      </c>
      <c r="AG46" s="13" t="n">
        <v>1586.68156</v>
      </c>
      <c r="AH46" s="13" t="n">
        <v>1750.6395</v>
      </c>
      <c r="AI46" s="13" t="n">
        <v>1750.75258</v>
      </c>
      <c r="AJ46" s="13" t="n">
        <v>1750.76127</v>
      </c>
      <c r="AK46" s="13" t="n">
        <v>1477.1394</v>
      </c>
      <c r="AL46" s="13" t="n">
        <v>1586.535134</v>
      </c>
      <c r="AM46" s="13" t="n">
        <v>1750.684552</v>
      </c>
      <c r="AN46" s="13" t="n">
        <v>1477.148262</v>
      </c>
      <c r="AO46" s="13" t="n">
        <v>1418.178852</v>
      </c>
      <c r="AP46" s="13" t="n">
        <v>1588.4148</v>
      </c>
      <c r="AQ46" s="13" t="n">
        <v>1645.229278</v>
      </c>
      <c r="AR46" s="13" t="n">
        <v>1645.145028</v>
      </c>
      <c r="AS46" s="13" t="n">
        <v>1701.889704</v>
      </c>
      <c r="AT46" s="13" t="n">
        <v>1701.855584</v>
      </c>
    </row>
    <row r="47" customFormat="false" ht="15" hidden="false" customHeight="true" outlineLevel="0" collapsed="false">
      <c r="A47" s="12" t="s">
        <v>194</v>
      </c>
      <c r="B47" s="12" t="s">
        <v>195</v>
      </c>
      <c r="C47" s="12" t="n">
        <v>1</v>
      </c>
      <c r="D47" s="12" t="s">
        <v>196</v>
      </c>
      <c r="E47" s="13" t="n">
        <v>22511.14632</v>
      </c>
      <c r="F47" s="13" t="n">
        <v>32252.028708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</row>
    <row r="48" customFormat="false" ht="15" hidden="false" customHeight="true" outlineLevel="0" collapsed="false">
      <c r="A48" s="12" t="s">
        <v>197</v>
      </c>
      <c r="B48" s="12" t="s">
        <v>198</v>
      </c>
      <c r="C48" s="12" t="n">
        <v>1</v>
      </c>
      <c r="D48" s="12" t="s">
        <v>199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17.933398</v>
      </c>
      <c r="Q48" s="13" t="n">
        <v>36.05553</v>
      </c>
      <c r="R48" s="13" t="n">
        <v>54.017988</v>
      </c>
      <c r="S48" s="13" t="n">
        <v>53.92203</v>
      </c>
      <c r="T48" s="13" t="n">
        <v>72.01152</v>
      </c>
      <c r="U48" s="13" t="n">
        <v>57.64802</v>
      </c>
      <c r="V48" s="13" t="n">
        <v>57.665868</v>
      </c>
      <c r="W48" s="13" t="n">
        <v>72.001536</v>
      </c>
      <c r="X48" s="13" t="n">
        <v>71.982174</v>
      </c>
      <c r="Y48" s="13" t="n">
        <v>72.055884</v>
      </c>
      <c r="Z48" s="13" t="n">
        <v>71.966576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  <c r="AG48" s="13" t="n">
        <v>0</v>
      </c>
      <c r="AH48" s="13" t="n">
        <v>0</v>
      </c>
      <c r="AI48" s="13" t="n">
        <v>0</v>
      </c>
      <c r="AJ48" s="13" t="n">
        <v>0</v>
      </c>
      <c r="AK48" s="13" t="n">
        <v>0</v>
      </c>
      <c r="AL48" s="13" t="n">
        <v>0</v>
      </c>
      <c r="AM48" s="13" t="n">
        <v>0</v>
      </c>
      <c r="AN48" s="13" t="n">
        <v>0</v>
      </c>
      <c r="AO48" s="13" t="n">
        <v>0</v>
      </c>
      <c r="AP48" s="13" t="n">
        <v>0</v>
      </c>
      <c r="AQ48" s="13" t="n">
        <v>0</v>
      </c>
      <c r="AR48" s="13" t="n">
        <v>0</v>
      </c>
      <c r="AS48" s="13" t="n">
        <v>0</v>
      </c>
      <c r="AT48" s="13" t="n">
        <v>0</v>
      </c>
    </row>
    <row r="49" customFormat="false" ht="15" hidden="false" customHeight="true" outlineLevel="0" collapsed="false">
      <c r="A49" s="12" t="s">
        <v>200</v>
      </c>
      <c r="B49" s="12" t="s">
        <v>201</v>
      </c>
      <c r="C49" s="12" t="n">
        <v>1</v>
      </c>
      <c r="D49" s="12" t="s">
        <v>202</v>
      </c>
      <c r="E49" s="13" t="n">
        <v>11299.145544</v>
      </c>
      <c r="F49" s="13" t="n">
        <v>11588.11722</v>
      </c>
      <c r="G49" s="13" t="n">
        <v>11523.918001</v>
      </c>
      <c r="H49" s="13" t="n">
        <v>11780.714196</v>
      </c>
      <c r="I49" s="13" t="n">
        <v>12390.568015</v>
      </c>
      <c r="J49" s="13" t="n">
        <v>8859.627415</v>
      </c>
      <c r="K49" s="13" t="n">
        <v>9373.206744</v>
      </c>
      <c r="L49" s="13" t="n">
        <v>10047.325078</v>
      </c>
      <c r="M49" s="13" t="n">
        <v>9630.06201</v>
      </c>
      <c r="N49" s="13" t="n">
        <v>9597.976716</v>
      </c>
      <c r="O49" s="13" t="n">
        <v>9212.765502</v>
      </c>
      <c r="P49" s="13" t="n">
        <v>8570.641597</v>
      </c>
      <c r="Q49" s="13" t="n">
        <v>10891.688841</v>
      </c>
      <c r="R49" s="13" t="n">
        <v>10650.774558</v>
      </c>
      <c r="S49" s="13" t="n">
        <v>11695.622145</v>
      </c>
      <c r="T49" s="13" t="n">
        <v>11594.53568</v>
      </c>
      <c r="U49" s="13" t="n">
        <v>11628.283846</v>
      </c>
      <c r="V49" s="13" t="n">
        <v>11055.265416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</row>
    <row r="50" customFormat="false" ht="15" hidden="false" customHeight="true" outlineLevel="0" collapsed="false">
      <c r="A50" s="12" t="s">
        <v>203</v>
      </c>
      <c r="B50" s="12" t="s">
        <v>204</v>
      </c>
      <c r="C50" s="12" t="n">
        <v>1</v>
      </c>
      <c r="D50" s="12" t="s">
        <v>205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3255.032</v>
      </c>
      <c r="AD50" s="13" t="n">
        <v>3255.0315</v>
      </c>
      <c r="AE50" s="13" t="n">
        <v>3234.07728</v>
      </c>
      <c r="AF50" s="13" t="n">
        <v>3234.0286</v>
      </c>
      <c r="AG50" s="13" t="n">
        <v>3254.99366</v>
      </c>
      <c r="AH50" s="13" t="n">
        <v>3255.0186</v>
      </c>
      <c r="AI50" s="13" t="n">
        <v>3255.07649</v>
      </c>
      <c r="AJ50" s="13" t="n">
        <v>3254.92857</v>
      </c>
      <c r="AK50" s="13" t="n">
        <v>3276.0501</v>
      </c>
      <c r="AL50" s="13" t="n">
        <v>3297.024081</v>
      </c>
      <c r="AM50" s="13" t="n">
        <v>3401.948418</v>
      </c>
      <c r="AN50" s="13" t="n">
        <v>3317.91885</v>
      </c>
      <c r="AO50" s="13" t="n">
        <v>3504.93266</v>
      </c>
      <c r="AP50" s="13" t="n">
        <v>3526.78128</v>
      </c>
      <c r="AQ50" s="13" t="n">
        <v>3222.012962</v>
      </c>
      <c r="AR50" s="13" t="n">
        <v>3309.060638</v>
      </c>
      <c r="AS50" s="13" t="n">
        <v>3374.352918</v>
      </c>
      <c r="AT50" s="13" t="n">
        <v>3374.30848</v>
      </c>
    </row>
    <row r="51" customFormat="false" ht="15" hidden="false" customHeight="true" outlineLevel="0" collapsed="false">
      <c r="A51" s="12" t="s">
        <v>206</v>
      </c>
      <c r="B51" s="12" t="s">
        <v>207</v>
      </c>
      <c r="C51" s="12" t="n">
        <v>1</v>
      </c>
      <c r="D51" s="12" t="s">
        <v>208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935.04465</v>
      </c>
      <c r="AL51" s="13" t="n">
        <v>935.086937</v>
      </c>
      <c r="AM51" s="13" t="n">
        <v>850.028522</v>
      </c>
      <c r="AN51" s="13" t="n">
        <v>850.070591</v>
      </c>
      <c r="AO51" s="13" t="n">
        <v>881.319024</v>
      </c>
      <c r="AP51" s="13" t="n">
        <v>881.43648</v>
      </c>
      <c r="AQ51" s="13" t="n">
        <v>881.463364</v>
      </c>
      <c r="AR51" s="13" t="n">
        <v>881.340224</v>
      </c>
      <c r="AS51" s="13" t="n">
        <v>881.409924</v>
      </c>
      <c r="AT51" s="13" t="n">
        <v>881.380576</v>
      </c>
    </row>
    <row r="52" customFormat="false" ht="15" hidden="false" customHeight="true" outlineLevel="0" collapsed="false">
      <c r="A52" s="12" t="s">
        <v>209</v>
      </c>
      <c r="B52" s="12" t="s">
        <v>210</v>
      </c>
      <c r="C52" s="12" t="n">
        <v>1</v>
      </c>
      <c r="D52" s="12" t="s">
        <v>211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5790.0489</v>
      </c>
      <c r="AL52" s="13" t="n">
        <v>5879.978425</v>
      </c>
      <c r="AM52" s="13" t="n">
        <v>6195.082709</v>
      </c>
      <c r="AN52" s="13" t="n">
        <v>5999.948212</v>
      </c>
      <c r="AO52" s="13" t="n">
        <v>6209.92004</v>
      </c>
      <c r="AP52" s="13" t="n">
        <v>6165.05112</v>
      </c>
      <c r="AQ52" s="13" t="n">
        <v>6224.927594</v>
      </c>
      <c r="AR52" s="13" t="n">
        <v>6450.063168</v>
      </c>
      <c r="AS52" s="13" t="n">
        <v>6449.940414</v>
      </c>
      <c r="AT52" s="13" t="n">
        <v>6584.977</v>
      </c>
    </row>
    <row r="53" customFormat="false" ht="15" hidden="false" customHeight="true" outlineLevel="0" collapsed="false">
      <c r="A53" s="12" t="s">
        <v>212</v>
      </c>
      <c r="B53" s="12" t="s">
        <v>213</v>
      </c>
      <c r="C53" s="12" t="n">
        <v>1</v>
      </c>
      <c r="D53" s="12" t="s">
        <v>214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461.925948</v>
      </c>
      <c r="AM53" s="13" t="n">
        <v>0</v>
      </c>
      <c r="AN53" s="13" t="n">
        <v>0</v>
      </c>
      <c r="AO53" s="13" t="n">
        <v>0</v>
      </c>
      <c r="AP53" s="13" t="n">
        <v>0</v>
      </c>
      <c r="AQ53" s="13" t="n">
        <v>0</v>
      </c>
      <c r="AR53" s="13" t="n">
        <v>0</v>
      </c>
      <c r="AS53" s="13" t="n">
        <v>0</v>
      </c>
      <c r="AT53" s="13" t="n">
        <v>0</v>
      </c>
    </row>
    <row r="54" customFormat="false" ht="15" hidden="false" customHeight="true" outlineLevel="0" collapsed="false">
      <c r="A54" s="12" t="s">
        <v>215</v>
      </c>
      <c r="B54" s="12" t="s">
        <v>216</v>
      </c>
      <c r="C54" s="12" t="n">
        <v>1</v>
      </c>
      <c r="D54" s="12" t="s">
        <v>217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1639.916616</v>
      </c>
      <c r="V54" s="13" t="n">
        <v>1640.068872</v>
      </c>
      <c r="W54" s="13" t="n">
        <v>2040.04352</v>
      </c>
      <c r="X54" s="13" t="n">
        <v>2199.918012</v>
      </c>
      <c r="Y54" s="13" t="n">
        <v>2440.056356</v>
      </c>
      <c r="Z54" s="13" t="n">
        <v>2280.077536</v>
      </c>
      <c r="AA54" s="13" t="n">
        <v>2240.09184</v>
      </c>
      <c r="AB54" s="13" t="n">
        <v>2240.05878</v>
      </c>
      <c r="AC54" s="13" t="n">
        <v>2500.8324</v>
      </c>
      <c r="AD54" s="13" t="n">
        <v>2459.0834</v>
      </c>
      <c r="AE54" s="13" t="n">
        <v>2167.34616</v>
      </c>
      <c r="AF54" s="13" t="n">
        <v>2167.3102</v>
      </c>
      <c r="AG54" s="13" t="n">
        <v>2209.04206</v>
      </c>
      <c r="AH54" s="13" t="n">
        <v>1917.2052</v>
      </c>
      <c r="AI54" s="13" t="n">
        <v>2084.02339</v>
      </c>
      <c r="AJ54" s="13" t="n">
        <v>2125.59156</v>
      </c>
      <c r="AK54" s="13" t="n">
        <v>2083.992</v>
      </c>
      <c r="AL54" s="13" t="n">
        <v>1792.265311</v>
      </c>
      <c r="AM54" s="13" t="n">
        <v>1792.323843</v>
      </c>
      <c r="AN54" s="13" t="n">
        <v>1792.215678</v>
      </c>
      <c r="AO54" s="13" t="n">
        <v>4083.513772</v>
      </c>
      <c r="AP54" s="13" t="n">
        <v>3694.5096</v>
      </c>
      <c r="AQ54" s="13" t="n">
        <v>3824.26176</v>
      </c>
      <c r="AR54" s="13" t="n">
        <v>4040.411632</v>
      </c>
      <c r="AS54" s="13" t="n">
        <v>3953.881674</v>
      </c>
      <c r="AT54" s="13" t="n">
        <v>4040.419376</v>
      </c>
    </row>
    <row r="55" customFormat="false" ht="15" hidden="false" customHeight="true" outlineLevel="0" collapsed="false">
      <c r="A55" s="12" t="s">
        <v>218</v>
      </c>
      <c r="B55" s="12" t="s">
        <v>219</v>
      </c>
      <c r="C55" s="12" t="n">
        <v>1</v>
      </c>
      <c r="D55" s="12" t="s">
        <v>220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749.994378</v>
      </c>
      <c r="O55" s="13" t="n">
        <v>749.920282</v>
      </c>
      <c r="P55" s="13" t="n">
        <v>749.988239</v>
      </c>
      <c r="Q55" s="13" t="n">
        <v>749.955024</v>
      </c>
      <c r="R55" s="13" t="n">
        <v>749.926941</v>
      </c>
      <c r="S55" s="13" t="n">
        <v>749.94627</v>
      </c>
      <c r="T55" s="13" t="n">
        <v>750.07744</v>
      </c>
      <c r="U55" s="13" t="n">
        <v>749.932919</v>
      </c>
      <c r="V55" s="13" t="n">
        <v>750.024756</v>
      </c>
      <c r="W55" s="13" t="n">
        <v>750.016</v>
      </c>
      <c r="X55" s="13" t="n">
        <v>749.963036</v>
      </c>
      <c r="Y55" s="13" t="n">
        <v>750.08994</v>
      </c>
      <c r="Z55" s="13" t="n">
        <v>749.935824</v>
      </c>
      <c r="AA55" s="13" t="n">
        <v>750.03075</v>
      </c>
      <c r="AB55" s="13" t="n">
        <v>749.923924</v>
      </c>
      <c r="AC55" s="13" t="n">
        <v>750.0636</v>
      </c>
      <c r="AD55" s="13" t="n">
        <v>749.9609</v>
      </c>
      <c r="AE55" s="13" t="n">
        <v>749.93688</v>
      </c>
      <c r="AF55" s="13" t="n">
        <v>749.914</v>
      </c>
      <c r="AG55" s="13" t="n">
        <v>749.92028</v>
      </c>
      <c r="AH55" s="13" t="n">
        <v>749.92335</v>
      </c>
      <c r="AI55" s="13" t="n">
        <v>750.0003</v>
      </c>
      <c r="AJ55" s="13" t="n">
        <v>750.03336</v>
      </c>
      <c r="AK55" s="13" t="n">
        <v>749.9436</v>
      </c>
      <c r="AL55" s="13" t="n">
        <v>749.985032</v>
      </c>
      <c r="AM55" s="13" t="n">
        <v>750.057537</v>
      </c>
      <c r="AN55" s="13" t="n">
        <v>750.083443</v>
      </c>
      <c r="AO55" s="13" t="n">
        <v>999.9316</v>
      </c>
      <c r="AP55" s="13" t="n">
        <v>999.9852</v>
      </c>
      <c r="AQ55" s="13" t="n">
        <v>1000.066179</v>
      </c>
      <c r="AR55" s="13" t="n">
        <v>999.9282</v>
      </c>
      <c r="AS55" s="13" t="n">
        <v>999.981369</v>
      </c>
      <c r="AT55" s="13" t="n">
        <v>1000.041424</v>
      </c>
    </row>
    <row r="56" customFormat="false" ht="15" hidden="false" customHeight="true" outlineLevel="0" collapsed="false">
      <c r="A56" s="12" t="s">
        <v>221</v>
      </c>
      <c r="B56" s="12" t="s">
        <v>222</v>
      </c>
      <c r="C56" s="12" t="n">
        <v>1</v>
      </c>
      <c r="D56" s="12" t="s">
        <v>223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13944.069584</v>
      </c>
      <c r="AR56" s="13" t="n">
        <v>14154.071384</v>
      </c>
      <c r="AS56" s="13" t="n">
        <v>13986.064503</v>
      </c>
      <c r="AT56" s="13" t="n">
        <v>15498.016832</v>
      </c>
    </row>
    <row r="57" customFormat="false" ht="15" hidden="false" customHeight="true" outlineLevel="0" collapsed="false">
      <c r="A57" s="12" t="s">
        <v>224</v>
      </c>
      <c r="B57" s="12" t="s">
        <v>225</v>
      </c>
      <c r="C57" s="12" t="n">
        <v>1</v>
      </c>
      <c r="D57" s="12" t="s">
        <v>226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0</v>
      </c>
      <c r="AQ57" s="13" t="n">
        <v>135.080458</v>
      </c>
      <c r="AR57" s="13" t="n">
        <v>135.07802</v>
      </c>
      <c r="AS57" s="13" t="n">
        <v>135.01566</v>
      </c>
      <c r="AT57" s="13" t="n">
        <v>89.958224</v>
      </c>
    </row>
    <row r="58" customFormat="false" ht="15" hidden="false" customHeight="true" outlineLevel="0" collapsed="false">
      <c r="A58" s="12" t="s">
        <v>227</v>
      </c>
      <c r="B58" s="12" t="s">
        <v>228</v>
      </c>
      <c r="C58" s="12" t="n">
        <v>1</v>
      </c>
      <c r="D58" s="12" t="s">
        <v>229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2500.038366</v>
      </c>
      <c r="AO58" s="13" t="n">
        <v>2500.001402</v>
      </c>
      <c r="AP58" s="13" t="n">
        <v>2500.04928</v>
      </c>
      <c r="AQ58" s="13" t="n">
        <v>2500.074911</v>
      </c>
      <c r="AR58" s="13" t="n">
        <v>2499.995926</v>
      </c>
      <c r="AS58" s="13" t="n">
        <v>0</v>
      </c>
      <c r="AT58" s="13" t="n">
        <v>0</v>
      </c>
    </row>
    <row r="59" customFormat="false" ht="15" hidden="false" customHeight="true" outlineLevel="0" collapsed="false">
      <c r="A59" s="12" t="s">
        <v>230</v>
      </c>
      <c r="B59" s="12" t="s">
        <v>231</v>
      </c>
      <c r="C59" s="12" t="n">
        <v>1</v>
      </c>
      <c r="D59" s="12" t="s">
        <v>232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2519.89923</v>
      </c>
      <c r="AB59" s="13" t="n">
        <v>2519.914362</v>
      </c>
      <c r="AC59" s="13" t="n">
        <v>2474.9824</v>
      </c>
      <c r="AD59" s="13" t="n">
        <v>2475.0968</v>
      </c>
      <c r="AE59" s="13" t="n">
        <v>2474.955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0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0</v>
      </c>
    </row>
    <row r="60" customFormat="false" ht="15" hidden="false" customHeight="true" outlineLevel="0" collapsed="false">
      <c r="A60" s="12" t="s">
        <v>233</v>
      </c>
      <c r="B60" s="12" t="s">
        <v>234</v>
      </c>
      <c r="C60" s="12" t="n">
        <v>1</v>
      </c>
      <c r="D60" s="12" t="s">
        <v>235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17640.04465</v>
      </c>
      <c r="AJ60" s="13" t="n">
        <v>0</v>
      </c>
      <c r="AK60" s="13" t="n">
        <v>0</v>
      </c>
      <c r="AL60" s="13" t="n">
        <v>0</v>
      </c>
      <c r="AM60" s="13" t="n">
        <v>0</v>
      </c>
      <c r="AN60" s="13" t="n">
        <v>0</v>
      </c>
      <c r="AO60" s="13" t="n">
        <v>0</v>
      </c>
      <c r="AP60" s="13" t="n">
        <v>0</v>
      </c>
      <c r="AQ60" s="13" t="n">
        <v>0</v>
      </c>
      <c r="AR60" s="13" t="n">
        <v>0</v>
      </c>
      <c r="AS60" s="13" t="n">
        <v>17639.969076</v>
      </c>
      <c r="AT60" s="13" t="n">
        <v>17640.037656</v>
      </c>
    </row>
    <row r="61" customFormat="false" ht="15" hidden="false" customHeight="true" outlineLevel="0" collapsed="false">
      <c r="A61" s="12" t="s">
        <v>236</v>
      </c>
      <c r="B61" s="12" t="s">
        <v>237</v>
      </c>
      <c r="C61" s="12" t="n">
        <v>1</v>
      </c>
      <c r="D61" s="12" t="s">
        <v>238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25999.92375</v>
      </c>
      <c r="AI61" s="13" t="n">
        <v>30000.012</v>
      </c>
      <c r="AJ61" s="13" t="n">
        <v>21999.98448</v>
      </c>
      <c r="AK61" s="13" t="n">
        <v>22000.0578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</row>
    <row r="62" customFormat="false" ht="15" hidden="false" customHeight="true" outlineLevel="0" collapsed="false">
      <c r="A62" s="12" t="s">
        <v>239</v>
      </c>
      <c r="B62" s="12" t="s">
        <v>240</v>
      </c>
      <c r="C62" s="12" t="n">
        <v>1</v>
      </c>
      <c r="D62" s="12" t="s">
        <v>241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854.94528</v>
      </c>
      <c r="U62" s="13" t="n">
        <v>899.987324</v>
      </c>
      <c r="V62" s="13" t="n">
        <v>944.946444</v>
      </c>
      <c r="W62" s="13" t="n">
        <v>855.01824</v>
      </c>
      <c r="X62" s="13" t="n">
        <v>810.04733</v>
      </c>
      <c r="Y62" s="13" t="n">
        <v>809.939636</v>
      </c>
      <c r="Z62" s="13" t="n">
        <v>810.075024</v>
      </c>
      <c r="AA62" s="13" t="n">
        <v>764.92932</v>
      </c>
      <c r="AB62" s="13" t="n">
        <v>765.100474</v>
      </c>
      <c r="AC62" s="13" t="n">
        <v>750.2704</v>
      </c>
      <c r="AD62" s="13" t="n">
        <v>750.1662</v>
      </c>
      <c r="AE62" s="13" t="n">
        <v>703.39752</v>
      </c>
      <c r="AF62" s="13" t="n">
        <v>750.3056</v>
      </c>
      <c r="AG62" s="13" t="n">
        <v>750.30624</v>
      </c>
      <c r="AH62" s="13" t="n">
        <v>797.13585</v>
      </c>
      <c r="AI62" s="13" t="n">
        <v>797.18077</v>
      </c>
      <c r="AJ62" s="13" t="n">
        <v>797.19003</v>
      </c>
      <c r="AK62" s="13" t="n">
        <v>797.09025</v>
      </c>
      <c r="AL62" s="13" t="n">
        <v>797.135368</v>
      </c>
      <c r="AM62" s="13" t="n">
        <v>797.199818</v>
      </c>
      <c r="AN62" s="13" t="n">
        <v>750.263276</v>
      </c>
      <c r="AO62" s="13" t="n">
        <v>777.877824</v>
      </c>
      <c r="AP62" s="13" t="n">
        <v>729.23856</v>
      </c>
      <c r="AQ62" s="13" t="n">
        <v>729.362044</v>
      </c>
      <c r="AR62" s="13" t="n">
        <v>729.245882</v>
      </c>
      <c r="AS62" s="13" t="n">
        <v>826.538175</v>
      </c>
      <c r="AT62" s="13" t="n">
        <v>826.600568</v>
      </c>
    </row>
    <row r="63" customFormat="false" ht="15" hidden="false" customHeight="true" outlineLevel="0" collapsed="false">
      <c r="A63" s="12" t="s">
        <v>242</v>
      </c>
      <c r="B63" s="12" t="s">
        <v>243</v>
      </c>
      <c r="C63" s="12" t="n">
        <v>1</v>
      </c>
      <c r="D63" s="12" t="s">
        <v>244</v>
      </c>
      <c r="E63" s="13" t="n">
        <v>2396.856744</v>
      </c>
      <c r="F63" s="13" t="n">
        <v>2396.754624</v>
      </c>
      <c r="G63" s="13" t="n">
        <v>2396.841726</v>
      </c>
      <c r="H63" s="13" t="n">
        <v>2944.637388</v>
      </c>
      <c r="I63" s="13" t="n">
        <v>2396.811823</v>
      </c>
      <c r="J63" s="13" t="n">
        <v>2396.791715</v>
      </c>
      <c r="K63" s="13" t="n">
        <v>2122.931364</v>
      </c>
      <c r="L63" s="13" t="n">
        <v>2328.377744</v>
      </c>
      <c r="M63" s="13" t="n">
        <v>2122.93566</v>
      </c>
      <c r="N63" s="13" t="n">
        <v>2054.489538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</row>
    <row r="64" customFormat="false" ht="15" hidden="false" customHeight="true" outlineLevel="0" collapsed="false">
      <c r="A64" s="12" t="s">
        <v>245</v>
      </c>
      <c r="B64" s="12" t="s">
        <v>246</v>
      </c>
      <c r="C64" s="12" t="n">
        <v>1</v>
      </c>
      <c r="D64" s="12" t="s">
        <v>247</v>
      </c>
      <c r="E64" s="13" t="n">
        <v>0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3" t="n">
        <v>2599.947099</v>
      </c>
      <c r="R64" s="13" t="n">
        <v>2520.041706</v>
      </c>
      <c r="S64" s="13" t="n">
        <v>2480.08257</v>
      </c>
      <c r="T64" s="13" t="n">
        <v>2160.00512</v>
      </c>
      <c r="U64" s="13" t="n">
        <v>4019.932077</v>
      </c>
      <c r="V64" s="13" t="n">
        <v>2400.042372</v>
      </c>
      <c r="W64" s="13" t="n">
        <v>2359.925344</v>
      </c>
      <c r="X64" s="13" t="n">
        <v>2359.944498</v>
      </c>
      <c r="Y64" s="13" t="n">
        <v>2400.090934</v>
      </c>
      <c r="Z64" s="13" t="n">
        <v>2440.047808</v>
      </c>
      <c r="AA64" s="13" t="n">
        <v>2440.10004</v>
      </c>
      <c r="AB64" s="13" t="n">
        <v>2399.91844</v>
      </c>
      <c r="AC64" s="13" t="n">
        <v>2399.914</v>
      </c>
      <c r="AD64" s="13" t="n">
        <v>2439.9905</v>
      </c>
      <c r="AE64" s="13" t="n">
        <v>2560.07304</v>
      </c>
      <c r="AF64" s="13" t="n">
        <v>2519.946</v>
      </c>
      <c r="AG64" s="13" t="n">
        <v>2560.07268</v>
      </c>
      <c r="AH64" s="13" t="n">
        <v>2639.93415</v>
      </c>
      <c r="AI64" s="13" t="n">
        <v>2519.92582</v>
      </c>
      <c r="AJ64" s="13" t="n">
        <v>2560.06665</v>
      </c>
      <c r="AK64" s="13" t="n">
        <v>2520.05265</v>
      </c>
      <c r="AL64" s="13" t="n">
        <v>2479.997165</v>
      </c>
      <c r="AM64" s="13" t="n">
        <v>2440.025766</v>
      </c>
      <c r="AN64" s="13" t="n">
        <v>2400.051218</v>
      </c>
      <c r="AO64" s="13" t="n">
        <v>2400.008242</v>
      </c>
      <c r="AP64" s="13" t="n">
        <v>2399.96448</v>
      </c>
      <c r="AQ64" s="13" t="n">
        <v>2399.941542</v>
      </c>
      <c r="AR64" s="13" t="n">
        <v>2440.000234</v>
      </c>
      <c r="AS64" s="13" t="n">
        <v>2439.975312</v>
      </c>
      <c r="AT64" s="13" t="n">
        <v>2479.97672</v>
      </c>
    </row>
    <row r="65" customFormat="false" ht="15" hidden="false" customHeight="true" outlineLevel="0" collapsed="false">
      <c r="A65" s="12" t="s">
        <v>248</v>
      </c>
      <c r="B65" s="12" t="s">
        <v>249</v>
      </c>
      <c r="C65" s="12" t="n">
        <v>1</v>
      </c>
      <c r="D65" s="12" t="s">
        <v>250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1000.0163</v>
      </c>
      <c r="AE65" s="13" t="n">
        <v>999.98388</v>
      </c>
      <c r="AF65" s="13" t="n">
        <v>1200.0582</v>
      </c>
      <c r="AG65" s="13" t="n">
        <v>1139.93286</v>
      </c>
      <c r="AH65" s="13" t="n">
        <v>1140.08745</v>
      </c>
      <c r="AI65" s="13" t="n">
        <v>1140.03805</v>
      </c>
      <c r="AJ65" s="13" t="n">
        <v>1139.96124</v>
      </c>
      <c r="AK65" s="13" t="n">
        <v>1139.9583</v>
      </c>
      <c r="AL65" s="13" t="n">
        <v>1140.08039</v>
      </c>
      <c r="AM65" s="13" t="n">
        <v>1140.036095</v>
      </c>
      <c r="AN65" s="13" t="n">
        <v>1139.961387</v>
      </c>
      <c r="AO65" s="13" t="n">
        <v>0</v>
      </c>
      <c r="AP65" s="13" t="n">
        <v>0</v>
      </c>
      <c r="AQ65" s="13" t="n">
        <v>0</v>
      </c>
      <c r="AR65" s="13" t="n">
        <v>0</v>
      </c>
      <c r="AS65" s="13" t="n">
        <v>0</v>
      </c>
      <c r="AT65" s="13" t="n">
        <v>0</v>
      </c>
    </row>
    <row r="66" customFormat="false" ht="15" hidden="false" customHeight="true" outlineLevel="0" collapsed="false">
      <c r="A66" s="12" t="s">
        <v>251</v>
      </c>
      <c r="B66" s="12" t="s">
        <v>252</v>
      </c>
      <c r="C66" s="12" t="n">
        <v>1</v>
      </c>
      <c r="D66" s="12" t="s">
        <v>253</v>
      </c>
      <c r="E66" s="13" t="n">
        <v>6167.933892</v>
      </c>
      <c r="F66" s="13" t="n">
        <v>5589.973776</v>
      </c>
      <c r="G66" s="13" t="n">
        <v>5204.017253</v>
      </c>
      <c r="H66" s="13" t="n">
        <v>5034.060009</v>
      </c>
      <c r="I66" s="13" t="n">
        <v>4501.997696</v>
      </c>
      <c r="J66" s="13" t="n">
        <v>4000.012895</v>
      </c>
      <c r="K66" s="13" t="n">
        <v>3949.977396</v>
      </c>
      <c r="L66" s="13" t="n">
        <v>3950.070068</v>
      </c>
      <c r="M66" s="13" t="n">
        <v>3399.975585</v>
      </c>
      <c r="N66" s="13" t="n">
        <v>3749.97189</v>
      </c>
      <c r="O66" s="13" t="n">
        <v>3849.923467</v>
      </c>
      <c r="P66" s="13" t="n">
        <v>3600.045057</v>
      </c>
      <c r="Q66" s="13" t="n">
        <v>3832.531146</v>
      </c>
      <c r="R66" s="13" t="n">
        <v>3780.062559</v>
      </c>
      <c r="S66" s="13" t="n">
        <v>3517.50273</v>
      </c>
      <c r="T66" s="13" t="n">
        <v>3412.4608</v>
      </c>
      <c r="U66" s="13" t="n">
        <v>3622.499845</v>
      </c>
      <c r="V66" s="13" t="n">
        <v>3307.588908</v>
      </c>
      <c r="W66" s="13" t="n">
        <v>3255.06944</v>
      </c>
      <c r="X66" s="13" t="n">
        <v>3202.5127</v>
      </c>
      <c r="Y66" s="13" t="n">
        <v>3097.418642</v>
      </c>
      <c r="Z66" s="13" t="n">
        <v>3097.569728</v>
      </c>
      <c r="AA66" s="13" t="n">
        <v>3149.92506</v>
      </c>
      <c r="AB66" s="13" t="n">
        <v>3202.454404</v>
      </c>
      <c r="AC66" s="13" t="n">
        <v>3337.3384</v>
      </c>
      <c r="AD66" s="13" t="n">
        <v>3032.281</v>
      </c>
      <c r="AE66" s="13" t="n">
        <v>3133.242</v>
      </c>
      <c r="AF66" s="13" t="n">
        <v>3570.8046</v>
      </c>
      <c r="AG66" s="13" t="n">
        <v>3625.51526</v>
      </c>
      <c r="AH66" s="13" t="n">
        <v>3516.19815</v>
      </c>
      <c r="AI66" s="13" t="n">
        <v>3899.24968</v>
      </c>
      <c r="AJ66" s="13" t="n">
        <v>3735.06921</v>
      </c>
      <c r="AK66" s="13" t="n">
        <v>3570.85425</v>
      </c>
      <c r="AL66" s="13" t="n">
        <v>3516.199471</v>
      </c>
      <c r="AM66" s="13" t="n">
        <v>3735.062746</v>
      </c>
      <c r="AN66" s="13" t="n">
        <v>3680.282345</v>
      </c>
      <c r="AO66" s="13" t="n">
        <v>3816.11827</v>
      </c>
      <c r="AP66" s="13" t="n">
        <v>3646.02024</v>
      </c>
      <c r="AQ66" s="13" t="n">
        <v>3475.877308</v>
      </c>
      <c r="AR66" s="13" t="n">
        <v>3305.552118</v>
      </c>
      <c r="AS66" s="13" t="n">
        <v>3362.409225</v>
      </c>
      <c r="AT66" s="13" t="n">
        <v>3475.81776</v>
      </c>
    </row>
    <row r="67" customFormat="false" ht="15" hidden="false" customHeight="true" outlineLevel="0" collapsed="false">
      <c r="A67" s="12" t="s">
        <v>254</v>
      </c>
      <c r="B67" s="12" t="s">
        <v>255</v>
      </c>
      <c r="C67" s="12" t="n">
        <v>1</v>
      </c>
      <c r="D67" s="12" t="s">
        <v>256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216.046691</v>
      </c>
      <c r="Q67" s="13" t="n">
        <v>323.984691</v>
      </c>
      <c r="R67" s="13" t="n">
        <v>377.954973</v>
      </c>
      <c r="S67" s="13" t="n">
        <v>342.05754</v>
      </c>
      <c r="T67" s="13" t="n">
        <v>395.97824</v>
      </c>
      <c r="U67" s="13" t="n">
        <v>259.246537</v>
      </c>
      <c r="V67" s="13" t="n">
        <v>273.59046</v>
      </c>
      <c r="W67" s="13" t="n">
        <v>342.007296</v>
      </c>
      <c r="X67" s="13" t="n">
        <v>342.06405</v>
      </c>
      <c r="Y67" s="13" t="n">
        <v>341.970138</v>
      </c>
      <c r="Z67" s="13" t="n">
        <v>341.991584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</row>
    <row r="68" customFormat="false" ht="15" hidden="false" customHeight="true" outlineLevel="0" collapsed="false">
      <c r="A68" s="12" t="s">
        <v>257</v>
      </c>
      <c r="B68" s="12" t="s">
        <v>258</v>
      </c>
      <c r="C68" s="12" t="n">
        <v>1</v>
      </c>
      <c r="D68" s="12" t="s">
        <v>259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10500.02232</v>
      </c>
      <c r="AB68" s="13" t="n">
        <v>10569.96119</v>
      </c>
      <c r="AC68" s="13" t="n">
        <v>11129.976</v>
      </c>
      <c r="AD68" s="13" t="n">
        <v>13824.902</v>
      </c>
      <c r="AE68" s="13" t="n">
        <v>14200.01604</v>
      </c>
      <c r="AF68" s="13" t="n">
        <v>16944.9236</v>
      </c>
      <c r="AG68" s="13" t="n">
        <v>17204.93892</v>
      </c>
      <c r="AH68" s="13" t="n">
        <v>17009.90835</v>
      </c>
      <c r="AI68" s="13" t="n">
        <v>17330.08212</v>
      </c>
      <c r="AJ68" s="13" t="n">
        <v>17809.93728</v>
      </c>
      <c r="AK68" s="13" t="n">
        <v>17999.93055</v>
      </c>
      <c r="AL68" s="13" t="n">
        <v>18265.045589</v>
      </c>
      <c r="AM68" s="13" t="n">
        <v>18955.049055</v>
      </c>
      <c r="AN68" s="13" t="n">
        <v>19114.989069</v>
      </c>
      <c r="AO68" s="13" t="n">
        <v>18834.9185</v>
      </c>
      <c r="AP68" s="13" t="n">
        <v>19059.94224</v>
      </c>
      <c r="AQ68" s="13" t="n">
        <v>19554.978635</v>
      </c>
      <c r="AR68" s="13" t="n">
        <v>19629.993974</v>
      </c>
      <c r="AS68" s="13" t="n">
        <v>20055.01842</v>
      </c>
      <c r="AT68" s="13" t="n">
        <v>20205.072152</v>
      </c>
    </row>
    <row r="69" customFormat="false" ht="15" hidden="false" customHeight="true" outlineLevel="0" collapsed="false">
      <c r="A69" s="12" t="s">
        <v>260</v>
      </c>
      <c r="B69" s="12" t="s">
        <v>261</v>
      </c>
      <c r="C69" s="12" t="n">
        <v>1</v>
      </c>
      <c r="D69" s="12" t="s">
        <v>262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565.619002</v>
      </c>
      <c r="Z69" s="13" t="n">
        <v>565.508944</v>
      </c>
      <c r="AA69" s="13" t="n">
        <v>560.02296</v>
      </c>
      <c r="AB69" s="13" t="n">
        <v>424.133984</v>
      </c>
      <c r="AC69" s="13" t="n">
        <v>280.0072</v>
      </c>
      <c r="AD69" s="13" t="n">
        <v>280.0292</v>
      </c>
      <c r="AE69" s="13" t="n">
        <v>280.05264</v>
      </c>
      <c r="AF69" s="13" t="n">
        <v>350.0904</v>
      </c>
      <c r="AG69" s="13" t="n">
        <v>350.06572</v>
      </c>
      <c r="AH69" s="13" t="n">
        <v>349.93905</v>
      </c>
      <c r="AI69" s="13" t="n">
        <v>350.00014</v>
      </c>
      <c r="AJ69" s="13" t="n">
        <v>350.04042</v>
      </c>
      <c r="AK69" s="13" t="n">
        <v>350.0226</v>
      </c>
      <c r="AL69" s="13" t="n">
        <v>349.9439</v>
      </c>
      <c r="AM69" s="13" t="n">
        <v>349.990164</v>
      </c>
      <c r="AN69" s="13" t="n">
        <v>349.955018</v>
      </c>
      <c r="AO69" s="13" t="n">
        <v>362.90621</v>
      </c>
      <c r="AP69" s="13" t="n">
        <v>362.89368</v>
      </c>
      <c r="AQ69" s="13" t="n">
        <v>290.260019</v>
      </c>
      <c r="AR69" s="13" t="n">
        <v>217.703666</v>
      </c>
      <c r="AS69" s="13" t="n">
        <v>217.756026</v>
      </c>
      <c r="AT69" s="13" t="n">
        <v>217.719904</v>
      </c>
    </row>
    <row r="70" customFormat="false" ht="15" hidden="false" customHeight="true" outlineLevel="0" collapsed="false">
      <c r="A70" s="12" t="s">
        <v>263</v>
      </c>
      <c r="B70" s="12" t="s">
        <v>264</v>
      </c>
      <c r="C70" s="12" t="n">
        <v>1</v>
      </c>
      <c r="D70" s="12" t="s">
        <v>265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720.04125</v>
      </c>
      <c r="AL70" s="13" t="n">
        <v>719.963529</v>
      </c>
      <c r="AM70" s="13" t="n">
        <v>719.974525</v>
      </c>
      <c r="AN70" s="13" t="n">
        <v>720.051332</v>
      </c>
      <c r="AO70" s="13" t="n">
        <v>746.50066</v>
      </c>
      <c r="AP70" s="13" t="n">
        <v>808.78872</v>
      </c>
      <c r="AQ70" s="13" t="n">
        <v>808.672018</v>
      </c>
      <c r="AR70" s="13" t="n">
        <v>808.71386</v>
      </c>
      <c r="AS70" s="13" t="n">
        <v>808.709184</v>
      </c>
      <c r="AT70" s="13" t="n">
        <v>808.748936</v>
      </c>
    </row>
    <row r="71" customFormat="false" ht="15" hidden="false" customHeight="true" outlineLevel="0" collapsed="false">
      <c r="A71" s="12" t="s">
        <v>266</v>
      </c>
      <c r="B71" s="12" t="s">
        <v>267</v>
      </c>
      <c r="C71" s="12" t="n">
        <v>1</v>
      </c>
      <c r="D71" s="12" t="s">
        <v>268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  <c r="AO71" s="13" t="n">
        <v>0</v>
      </c>
      <c r="AP71" s="13" t="n">
        <v>0</v>
      </c>
      <c r="AQ71" s="13" t="n">
        <v>0</v>
      </c>
      <c r="AR71" s="13" t="n">
        <v>0</v>
      </c>
      <c r="AS71" s="13" t="n">
        <v>151.286778</v>
      </c>
      <c r="AT71" s="13" t="n">
        <v>37.803456</v>
      </c>
    </row>
    <row r="72" customFormat="false" ht="15" hidden="false" customHeight="true" outlineLevel="0" collapsed="false">
      <c r="A72" s="12" t="s">
        <v>269</v>
      </c>
      <c r="B72" s="12" t="s">
        <v>270</v>
      </c>
      <c r="C72" s="12" t="n">
        <v>1</v>
      </c>
      <c r="D72" s="12" t="s">
        <v>271</v>
      </c>
      <c r="E72" s="13" t="n">
        <v>17911.818252</v>
      </c>
      <c r="F72" s="13" t="n">
        <v>17398.186092</v>
      </c>
      <c r="G72" s="13" t="n">
        <v>17013.014979</v>
      </c>
      <c r="H72" s="13" t="n">
        <v>14958.591975</v>
      </c>
      <c r="I72" s="13" t="n">
        <v>15600.574381</v>
      </c>
      <c r="J72" s="13" t="n">
        <v>14637.518855</v>
      </c>
      <c r="K72" s="13" t="n">
        <v>13096.722552</v>
      </c>
      <c r="L72" s="13" t="n">
        <v>13160.927451</v>
      </c>
      <c r="M72" s="13" t="n">
        <v>12840.023925</v>
      </c>
      <c r="N72" s="13" t="n">
        <v>13096.806186</v>
      </c>
      <c r="O72" s="13" t="n">
        <v>12390.548395</v>
      </c>
      <c r="P72" s="13" t="n">
        <v>11620.165172</v>
      </c>
      <c r="Q72" s="13" t="n">
        <v>11684.395422</v>
      </c>
      <c r="R72" s="13" t="n">
        <v>11941.223265</v>
      </c>
      <c r="S72" s="13" t="n">
        <v>11941.24857</v>
      </c>
      <c r="T72" s="13" t="n">
        <v>12390.57792</v>
      </c>
      <c r="U72" s="13" t="n">
        <v>11941.278684</v>
      </c>
      <c r="V72" s="13" t="n">
        <v>10785.543912</v>
      </c>
      <c r="W72" s="13" t="n">
        <v>10400.471872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10272.096102</v>
      </c>
      <c r="AC72" s="13" t="n">
        <v>20033.9568</v>
      </c>
      <c r="AD72" s="13" t="n">
        <v>9633.7025</v>
      </c>
      <c r="AE72" s="13" t="n">
        <v>5753.32632</v>
      </c>
      <c r="AF72" s="13" t="n">
        <v>5351.9972</v>
      </c>
      <c r="AG72" s="13" t="n">
        <v>5285.14326</v>
      </c>
      <c r="AH72" s="13" t="n">
        <v>7091.3175</v>
      </c>
      <c r="AI72" s="13" t="n">
        <v>4616.16726</v>
      </c>
      <c r="AJ72" s="13" t="n">
        <v>4281.56469</v>
      </c>
      <c r="AK72" s="13" t="n">
        <v>4014.06945</v>
      </c>
      <c r="AL72" s="13" t="n">
        <v>4014.040714</v>
      </c>
      <c r="AM72" s="13" t="n">
        <v>3813.388637</v>
      </c>
      <c r="AN72" s="13" t="n">
        <v>3612.665137</v>
      </c>
      <c r="AO72" s="13" t="n">
        <v>3468.555838</v>
      </c>
      <c r="AP72" s="13" t="n">
        <v>2913.50304</v>
      </c>
      <c r="AQ72" s="13" t="n">
        <v>2705.411693</v>
      </c>
      <c r="AR72" s="13" t="n">
        <v>2358.60257</v>
      </c>
      <c r="AS72" s="13" t="n">
        <v>0</v>
      </c>
      <c r="AT72" s="13" t="n">
        <v>0</v>
      </c>
    </row>
    <row r="73" customFormat="false" ht="15" hidden="false" customHeight="true" outlineLevel="0" collapsed="false">
      <c r="A73" s="12" t="s">
        <v>272</v>
      </c>
      <c r="B73" s="12" t="s">
        <v>273</v>
      </c>
      <c r="C73" s="12" t="n">
        <v>1</v>
      </c>
      <c r="D73" s="12" t="s">
        <v>274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1320.01398</v>
      </c>
      <c r="AK73" s="13" t="n">
        <v>1319.92275</v>
      </c>
      <c r="AL73" s="13" t="n">
        <v>1320.025227</v>
      </c>
      <c r="AM73" s="13" t="n">
        <v>1319.983868</v>
      </c>
      <c r="AN73" s="13" t="n">
        <v>1319.97422</v>
      </c>
      <c r="AO73" s="13" t="n">
        <v>1425.76454</v>
      </c>
      <c r="AP73" s="13" t="n">
        <v>1425.69072</v>
      </c>
      <c r="AQ73" s="13" t="n">
        <v>1425.768802</v>
      </c>
      <c r="AR73" s="13" t="n">
        <v>1482.700552</v>
      </c>
      <c r="AS73" s="13" t="n">
        <v>1482.748902</v>
      </c>
      <c r="AT73" s="13" t="n">
        <v>1482.735552</v>
      </c>
    </row>
    <row r="74" customFormat="false" ht="15" hidden="false" customHeight="true" outlineLevel="0" collapsed="false">
      <c r="A74" s="12" t="s">
        <v>275</v>
      </c>
      <c r="B74" s="12" t="s">
        <v>276</v>
      </c>
      <c r="C74" s="12" t="n">
        <v>1</v>
      </c>
      <c r="D74" s="12" t="s">
        <v>277</v>
      </c>
      <c r="E74" s="13" t="n">
        <v>401.166432</v>
      </c>
      <c r="F74" s="13" t="n">
        <v>401.17668</v>
      </c>
      <c r="G74" s="13" t="n">
        <v>401.283651</v>
      </c>
      <c r="H74" s="13" t="n">
        <v>401.180688</v>
      </c>
      <c r="I74" s="13" t="n">
        <v>401.20661</v>
      </c>
      <c r="J74" s="13" t="n">
        <v>401.31849</v>
      </c>
      <c r="K74" s="13" t="n">
        <v>401.189136</v>
      </c>
      <c r="L74" s="13" t="n">
        <v>401.236556</v>
      </c>
      <c r="M74" s="13" t="n">
        <v>401.17914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</row>
    <row r="75" customFormat="false" ht="15" hidden="false" customHeight="true" outlineLevel="0" collapsed="false">
      <c r="A75" s="12" t="s">
        <v>278</v>
      </c>
      <c r="B75" s="12" t="s">
        <v>279</v>
      </c>
      <c r="C75" s="12" t="n">
        <v>1</v>
      </c>
      <c r="D75" s="12" t="s">
        <v>280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0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</row>
    <row r="76" customFormat="false" ht="15" hidden="false" customHeight="true" outlineLevel="0" collapsed="false">
      <c r="A76" s="12" t="s">
        <v>281</v>
      </c>
      <c r="B76" s="12" t="s">
        <v>282</v>
      </c>
      <c r="C76" s="12" t="n">
        <v>1</v>
      </c>
      <c r="D76" s="12" t="s">
        <v>283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1350.05535</v>
      </c>
      <c r="AB76" s="13" t="n">
        <v>1299.922096</v>
      </c>
      <c r="AC76" s="13" t="n">
        <v>1299.9448</v>
      </c>
      <c r="AD76" s="13" t="n">
        <v>1250.0717</v>
      </c>
      <c r="AE76" s="13" t="n">
        <v>1200.02148</v>
      </c>
      <c r="AF76" s="13" t="n">
        <v>1200.0582</v>
      </c>
      <c r="AG76" s="13" t="n">
        <v>1199.94964</v>
      </c>
      <c r="AH76" s="13" t="n">
        <v>1199.9529</v>
      </c>
      <c r="AI76" s="13" t="n">
        <v>1200.00048</v>
      </c>
      <c r="AJ76" s="13" t="n">
        <v>1199.97882</v>
      </c>
      <c r="AK76" s="13" t="n">
        <v>1199.94645</v>
      </c>
      <c r="AL76" s="13" t="n">
        <v>1250.036447</v>
      </c>
      <c r="AM76" s="13" t="n">
        <v>1299.989671</v>
      </c>
      <c r="AN76" s="13" t="n">
        <v>1250.019183</v>
      </c>
      <c r="AO76" s="13" t="n">
        <v>0</v>
      </c>
      <c r="AP76" s="13" t="n">
        <v>1399.63416</v>
      </c>
      <c r="AQ76" s="13" t="n">
        <v>0</v>
      </c>
      <c r="AR76" s="13" t="n">
        <v>0</v>
      </c>
      <c r="AS76" s="13" t="n">
        <v>0</v>
      </c>
      <c r="AT76" s="13" t="n">
        <v>0</v>
      </c>
    </row>
    <row r="77" customFormat="false" ht="15" hidden="false" customHeight="true" outlineLevel="0" collapsed="false">
      <c r="A77" s="12" t="s">
        <v>284</v>
      </c>
      <c r="B77" s="12" t="s">
        <v>285</v>
      </c>
      <c r="C77" s="12" t="n">
        <v>1</v>
      </c>
      <c r="D77" s="12" t="s">
        <v>286</v>
      </c>
      <c r="E77" s="13" t="n">
        <v>6563.465964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</row>
    <row r="78" customFormat="false" ht="15" hidden="false" customHeight="true" outlineLevel="0" collapsed="false">
      <c r="A78" s="12" t="s">
        <v>287</v>
      </c>
      <c r="B78" s="12" t="s">
        <v>288</v>
      </c>
      <c r="C78" s="12" t="n">
        <v>1</v>
      </c>
      <c r="D78" s="12" t="s">
        <v>289</v>
      </c>
      <c r="E78" s="13" t="n">
        <v>1439.954604</v>
      </c>
      <c r="F78" s="13" t="n">
        <v>1440.00345</v>
      </c>
      <c r="G78" s="13" t="n">
        <v>1440.059868</v>
      </c>
      <c r="H78" s="13" t="n">
        <v>1440.029421</v>
      </c>
      <c r="I78" s="13" t="n">
        <v>1439.925221</v>
      </c>
      <c r="J78" s="13" t="n">
        <v>1440.02517</v>
      </c>
      <c r="K78" s="13" t="n">
        <v>1440.042036</v>
      </c>
      <c r="L78" s="13" t="n">
        <v>1439.997139</v>
      </c>
      <c r="M78" s="13" t="n">
        <v>1440.08505</v>
      </c>
      <c r="N78" s="13" t="n">
        <v>1440.00366</v>
      </c>
      <c r="O78" s="13" t="n">
        <v>1439.957072</v>
      </c>
      <c r="P78" s="13" t="n">
        <v>1439.916513</v>
      </c>
      <c r="Q78" s="13" t="n">
        <v>1439.989191</v>
      </c>
      <c r="R78" s="13" t="n">
        <v>1440.023832</v>
      </c>
      <c r="S78" s="13" t="n">
        <v>1440.01593</v>
      </c>
      <c r="T78" s="13" t="n">
        <v>1440.06016</v>
      </c>
      <c r="U78" s="13" t="n">
        <v>1440.013629</v>
      </c>
      <c r="V78" s="13" t="n">
        <v>1439.988576</v>
      </c>
      <c r="W78" s="13" t="n">
        <v>1440.03072</v>
      </c>
      <c r="X78" s="13" t="n">
        <v>1440.040076</v>
      </c>
      <c r="Y78" s="13" t="n">
        <v>1439.936436</v>
      </c>
      <c r="Z78" s="13" t="n">
        <v>1560.010848</v>
      </c>
      <c r="AA78" s="13" t="n">
        <v>1560.06396</v>
      </c>
      <c r="AB78" s="13" t="n">
        <v>1559.946986</v>
      </c>
      <c r="AC78" s="13" t="n">
        <v>1560.0992</v>
      </c>
      <c r="AD78" s="13" t="n">
        <v>1560.0747</v>
      </c>
      <c r="AE78" s="13" t="n">
        <v>1560.08916</v>
      </c>
      <c r="AF78" s="13" t="n">
        <v>1559.9386</v>
      </c>
      <c r="AG78" s="13" t="n">
        <v>1560.05032</v>
      </c>
      <c r="AH78" s="13" t="n">
        <v>1560.08985</v>
      </c>
      <c r="AI78" s="13" t="n">
        <v>1559.96303</v>
      </c>
      <c r="AJ78" s="13" t="n">
        <v>1560.0843</v>
      </c>
      <c r="AK78" s="13" t="n">
        <v>1560.0588</v>
      </c>
      <c r="AL78" s="13" t="n">
        <v>1500.706788</v>
      </c>
      <c r="AM78" s="13" t="n">
        <v>1500.665373</v>
      </c>
      <c r="AN78" s="13" t="n">
        <v>1313.140566</v>
      </c>
      <c r="AO78" s="13" t="n">
        <v>1361.630996</v>
      </c>
      <c r="AP78" s="13" t="n">
        <v>1621.02864</v>
      </c>
      <c r="AQ78" s="13" t="n">
        <v>1685.78963</v>
      </c>
      <c r="AR78" s="13" t="n">
        <v>1685.84386</v>
      </c>
      <c r="AS78" s="13" t="n">
        <v>1685.791683</v>
      </c>
      <c r="AT78" s="13" t="n">
        <v>1750.685048</v>
      </c>
    </row>
    <row r="79" customFormat="false" ht="15" hidden="false" customHeight="true" outlineLevel="0" collapsed="false">
      <c r="A79" s="12" t="s">
        <v>290</v>
      </c>
      <c r="B79" s="12" t="s">
        <v>291</v>
      </c>
      <c r="C79" s="12" t="n">
        <v>1</v>
      </c>
      <c r="D79" s="12" t="s">
        <v>292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4202.054688</v>
      </c>
      <c r="W79" s="13" t="n">
        <v>4201.96464</v>
      </c>
      <c r="X79" s="13" t="n">
        <v>4135.901386</v>
      </c>
      <c r="Y79" s="13" t="n">
        <v>4950.002982</v>
      </c>
      <c r="Z79" s="13" t="n">
        <v>5147.91552</v>
      </c>
      <c r="AA79" s="13" t="n">
        <v>5455.93797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</row>
    <row r="80" customFormat="false" ht="15" hidden="false" customHeight="true" outlineLevel="0" collapsed="false">
      <c r="A80" s="12" t="s">
        <v>293</v>
      </c>
      <c r="B80" s="12" t="s">
        <v>294</v>
      </c>
      <c r="C80" s="12" t="n">
        <v>1</v>
      </c>
      <c r="D80" s="12" t="s">
        <v>295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1638.0849</v>
      </c>
      <c r="AI80" s="13" t="n">
        <v>1637.97058</v>
      </c>
      <c r="AJ80" s="13" t="n">
        <v>1637.99532</v>
      </c>
      <c r="AK80" s="13" t="n">
        <v>1638.02505</v>
      </c>
      <c r="AL80" s="13" t="n">
        <v>1637.921633</v>
      </c>
      <c r="AM80" s="13" t="n">
        <v>1638.05669</v>
      </c>
      <c r="AN80" s="13" t="n">
        <v>1637.918964</v>
      </c>
      <c r="AO80" s="13" t="n">
        <v>1637.991402</v>
      </c>
      <c r="AP80" s="13" t="n">
        <v>1637.93952</v>
      </c>
      <c r="AQ80" s="13" t="n">
        <v>1637.986358</v>
      </c>
      <c r="AR80" s="13" t="n">
        <v>1637.952562</v>
      </c>
      <c r="AS80" s="13" t="n">
        <v>1638.016911</v>
      </c>
      <c r="AT80" s="13" t="n">
        <v>1637.974744</v>
      </c>
    </row>
    <row r="81" customFormat="false" ht="15" hidden="false" customHeight="true" outlineLevel="0" collapsed="false">
      <c r="A81" s="12" t="s">
        <v>296</v>
      </c>
      <c r="B81" s="12" t="s">
        <v>297</v>
      </c>
      <c r="C81" s="12" t="n">
        <v>1</v>
      </c>
      <c r="D81" s="12" t="s">
        <v>298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442.058598</v>
      </c>
      <c r="S81" s="13" t="n">
        <v>441.96216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</row>
    <row r="82" customFormat="false" ht="15" hidden="false" customHeight="true" outlineLevel="0" collapsed="false">
      <c r="A82" s="12" t="s">
        <v>299</v>
      </c>
      <c r="B82" s="12" t="s">
        <v>300</v>
      </c>
      <c r="C82" s="12" t="n">
        <v>1</v>
      </c>
      <c r="D82" s="12" t="s">
        <v>301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100457.958888</v>
      </c>
    </row>
    <row r="83" customFormat="false" ht="15" hidden="false" customHeight="true" outlineLevel="0" collapsed="false">
      <c r="A83" s="12" t="s">
        <v>302</v>
      </c>
      <c r="B83" s="12" t="s">
        <v>303</v>
      </c>
      <c r="C83" s="12" t="n">
        <v>1</v>
      </c>
      <c r="D83" s="12" t="s">
        <v>304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984.6782</v>
      </c>
      <c r="AG83" s="13" t="n">
        <v>948.30372</v>
      </c>
      <c r="AH83" s="13" t="n">
        <v>984.6639</v>
      </c>
      <c r="AI83" s="13" t="n">
        <v>1021.24101</v>
      </c>
      <c r="AJ83" s="13" t="n">
        <v>875.28744</v>
      </c>
      <c r="AK83" s="13" t="n">
        <v>875.23995</v>
      </c>
      <c r="AL83" s="13" t="n">
        <v>1458.71352</v>
      </c>
      <c r="AM83" s="13" t="n">
        <v>1495.345816</v>
      </c>
      <c r="AN83" s="13" t="n">
        <v>1312.960733</v>
      </c>
      <c r="AO83" s="13" t="n">
        <v>1437.143072</v>
      </c>
      <c r="AP83" s="13" t="n">
        <v>1475.04288</v>
      </c>
      <c r="AQ83" s="13" t="n">
        <v>1285.799373</v>
      </c>
      <c r="AR83" s="13" t="n">
        <v>1285.87258</v>
      </c>
      <c r="AS83" s="13" t="n">
        <v>983.364057</v>
      </c>
      <c r="AT83" s="13" t="n">
        <v>567.226856</v>
      </c>
    </row>
    <row r="84" customFormat="false" ht="15" hidden="false" customHeight="true" outlineLevel="0" collapsed="false">
      <c r="A84" s="12" t="s">
        <v>305</v>
      </c>
      <c r="B84" s="12" t="s">
        <v>306</v>
      </c>
      <c r="C84" s="12" t="n">
        <v>1</v>
      </c>
      <c r="D84" s="12" t="s">
        <v>307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2068.037941</v>
      </c>
      <c r="V84" s="13" t="n">
        <v>2068.0491</v>
      </c>
      <c r="W84" s="13" t="n">
        <v>0</v>
      </c>
      <c r="X84" s="13" t="n">
        <v>0</v>
      </c>
      <c r="Y84" s="13" t="n">
        <v>0</v>
      </c>
      <c r="Z84" s="13" t="n">
        <v>2067.986624</v>
      </c>
      <c r="AA84" s="13" t="n">
        <v>2068.04397</v>
      </c>
      <c r="AB84" s="13" t="n">
        <v>2068.05788</v>
      </c>
      <c r="AC84" s="13" t="n">
        <v>2068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</row>
    <row r="85" customFormat="false" ht="15" hidden="false" customHeight="true" outlineLevel="0" collapsed="false">
      <c r="A85" s="12" t="s">
        <v>308</v>
      </c>
      <c r="B85" s="12" t="s">
        <v>309</v>
      </c>
      <c r="C85" s="12" t="n">
        <v>1</v>
      </c>
      <c r="D85" s="12" t="s">
        <v>310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11449.96711</v>
      </c>
      <c r="AO85" s="13" t="n">
        <v>11800.05489</v>
      </c>
      <c r="AP85" s="13" t="n">
        <v>12199.992</v>
      </c>
      <c r="AQ85" s="13" t="n">
        <v>12324.914818</v>
      </c>
      <c r="AR85" s="13" t="n">
        <v>12000.01553</v>
      </c>
      <c r="AS85" s="13" t="n">
        <v>11975.023557</v>
      </c>
      <c r="AT85" s="13" t="n">
        <v>11900.037904</v>
      </c>
    </row>
    <row r="86" customFormat="false" ht="15" hidden="false" customHeight="true" outlineLevel="0" collapsed="false">
      <c r="A86" s="12" t="s">
        <v>311</v>
      </c>
      <c r="B86" s="12" t="s">
        <v>312</v>
      </c>
      <c r="C86" s="12" t="n">
        <v>1</v>
      </c>
      <c r="D86" s="12" t="s">
        <v>313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</row>
    <row r="87" customFormat="false" ht="15" hidden="false" customHeight="true" outlineLevel="0" collapsed="false">
      <c r="A87" s="12" t="s">
        <v>314</v>
      </c>
      <c r="B87" s="12" t="s">
        <v>315</v>
      </c>
      <c r="C87" s="12" t="n">
        <v>1</v>
      </c>
      <c r="D87" s="12" t="s">
        <v>316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2543.94624</v>
      </c>
      <c r="O87" s="13" t="n">
        <v>2544.015936</v>
      </c>
      <c r="P87" s="13" t="n">
        <v>2830.262407</v>
      </c>
      <c r="Q87" s="13" t="n">
        <v>2448.685566</v>
      </c>
      <c r="R87" s="13" t="n">
        <v>2607.564522</v>
      </c>
      <c r="S87" s="13" t="n">
        <v>2639.367585</v>
      </c>
      <c r="T87" s="13" t="n">
        <v>2639.40096</v>
      </c>
      <c r="U87" s="13" t="n">
        <v>2671.137962</v>
      </c>
      <c r="V87" s="13" t="n">
        <v>2543.930688</v>
      </c>
      <c r="W87" s="13" t="n">
        <v>2448.614736</v>
      </c>
      <c r="X87" s="13" t="n">
        <v>2416.856024</v>
      </c>
      <c r="Y87" s="13" t="n">
        <v>1939.799522</v>
      </c>
      <c r="Z87" s="13" t="n">
        <v>1939.890128</v>
      </c>
      <c r="AA87" s="13" t="n">
        <v>1908.03741</v>
      </c>
      <c r="AB87" s="13" t="n">
        <v>1907.995866</v>
      </c>
      <c r="AC87" s="13" t="n">
        <v>1907.9368</v>
      </c>
      <c r="AD87" s="13" t="n">
        <v>1908.0582</v>
      </c>
      <c r="AE87" s="13" t="n">
        <v>1907.90964</v>
      </c>
      <c r="AF87" s="13" t="n">
        <v>1908.071</v>
      </c>
      <c r="AG87" s="13" t="n">
        <v>1812.66114</v>
      </c>
      <c r="AH87" s="13" t="n">
        <v>1812.5823</v>
      </c>
      <c r="AI87" s="13" t="n">
        <v>1844.36164</v>
      </c>
      <c r="AJ87" s="13" t="n">
        <v>1844.32905</v>
      </c>
      <c r="AK87" s="13" t="n">
        <v>1812.66945</v>
      </c>
      <c r="AL87" s="13" t="n">
        <v>1812.525221</v>
      </c>
      <c r="AM87" s="13" t="n">
        <v>1812.684906</v>
      </c>
      <c r="AN87" s="13" t="n">
        <v>1844.367248</v>
      </c>
      <c r="AO87" s="13" t="n">
        <v>1844.356596</v>
      </c>
      <c r="AP87" s="13" t="n">
        <v>1844.32128</v>
      </c>
      <c r="AQ87" s="13" t="n">
        <v>1812.54073</v>
      </c>
      <c r="AR87" s="13" t="n">
        <v>1780.749326</v>
      </c>
      <c r="AS87" s="13" t="n">
        <v>1748.972088</v>
      </c>
      <c r="AT87" s="13" t="n">
        <v>1748.934888</v>
      </c>
    </row>
    <row r="88" customFormat="false" ht="15" hidden="false" customHeight="true" outlineLevel="0" collapsed="false">
      <c r="A88" s="12" t="s">
        <v>317</v>
      </c>
      <c r="B88" s="12" t="s">
        <v>318</v>
      </c>
      <c r="C88" s="12" t="n">
        <v>1</v>
      </c>
      <c r="D88" s="12" t="s">
        <v>319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1008.00051</v>
      </c>
      <c r="AB88" s="13" t="n">
        <v>1007.925274</v>
      </c>
      <c r="AC88" s="13" t="n">
        <v>1071.0172</v>
      </c>
      <c r="AD88" s="13" t="n">
        <v>1071.0501</v>
      </c>
      <c r="AE88" s="13" t="n">
        <v>882.00252</v>
      </c>
      <c r="AF88" s="13" t="n">
        <v>895.9808</v>
      </c>
      <c r="AG88" s="13" t="n">
        <v>0</v>
      </c>
      <c r="AH88" s="13" t="n">
        <v>881.9295</v>
      </c>
      <c r="AI88" s="13" t="n">
        <v>818.98529</v>
      </c>
      <c r="AJ88" s="13" t="n">
        <v>818.99766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</row>
    <row r="89" customFormat="false" ht="15" hidden="false" customHeight="true" outlineLevel="0" collapsed="false">
      <c r="A89" s="12" t="s">
        <v>320</v>
      </c>
      <c r="B89" s="12" t="s">
        <v>321</v>
      </c>
      <c r="C89" s="12" t="n">
        <v>1</v>
      </c>
      <c r="D89" s="12" t="s">
        <v>322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2625.068924</v>
      </c>
      <c r="Y89" s="13" t="n">
        <v>2834.9856</v>
      </c>
      <c r="Z89" s="13" t="n">
        <v>3027.407328</v>
      </c>
      <c r="AA89" s="13" t="n">
        <v>2992.57167</v>
      </c>
      <c r="AB89" s="13" t="n">
        <v>2975.008508</v>
      </c>
      <c r="AC89" s="13" t="n">
        <v>3264.9584</v>
      </c>
      <c r="AD89" s="13" t="n">
        <v>3082.5795</v>
      </c>
      <c r="AE89" s="13" t="n">
        <v>3137.3244</v>
      </c>
      <c r="AF89" s="13" t="n">
        <v>3046.0606</v>
      </c>
      <c r="AG89" s="13" t="n">
        <v>2918.43654</v>
      </c>
      <c r="AH89" s="13" t="n">
        <v>2900.16945</v>
      </c>
      <c r="AI89" s="13" t="n">
        <v>2991.35458</v>
      </c>
      <c r="AJ89" s="13" t="n">
        <v>2954.84067</v>
      </c>
      <c r="AK89" s="13" t="n">
        <v>2863.6545</v>
      </c>
      <c r="AL89" s="13" t="n">
        <v>2845.412269</v>
      </c>
      <c r="AM89" s="13" t="n">
        <v>2808.909529</v>
      </c>
      <c r="AN89" s="13" t="n">
        <v>2790.648494</v>
      </c>
      <c r="AO89" s="13" t="n">
        <v>2817.565886</v>
      </c>
      <c r="AP89" s="13" t="n">
        <v>2798.75064</v>
      </c>
      <c r="AQ89" s="13" t="n">
        <v>2798.664288</v>
      </c>
      <c r="AR89" s="13" t="n">
        <v>2817.516986</v>
      </c>
      <c r="AS89" s="13" t="n">
        <v>2742.029577</v>
      </c>
      <c r="AT89" s="13" t="n">
        <v>2685.270488</v>
      </c>
    </row>
    <row r="90" customFormat="false" ht="15" hidden="false" customHeight="true" outlineLevel="0" collapsed="false">
      <c r="A90" s="12" t="s">
        <v>323</v>
      </c>
      <c r="B90" s="12" t="s">
        <v>324</v>
      </c>
      <c r="C90" s="12" t="n">
        <v>1</v>
      </c>
      <c r="D90" s="12" t="s">
        <v>325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149.917011</v>
      </c>
      <c r="S90" s="13" t="n">
        <v>89.98032</v>
      </c>
      <c r="T90" s="13" t="n">
        <v>59.92448</v>
      </c>
      <c r="U90" s="13" t="n">
        <v>120.043524</v>
      </c>
      <c r="V90" s="13" t="n">
        <v>149.968104</v>
      </c>
      <c r="W90" s="13" t="n">
        <v>150.0032</v>
      </c>
      <c r="X90" s="13" t="n">
        <v>149.913288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</row>
    <row r="91" customFormat="false" ht="15" hidden="false" customHeight="true" outlineLevel="0" collapsed="false">
      <c r="A91" s="12" t="s">
        <v>326</v>
      </c>
      <c r="B91" s="12" t="s">
        <v>327</v>
      </c>
      <c r="C91" s="12" t="n">
        <v>1</v>
      </c>
      <c r="D91" s="12" t="s">
        <v>328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966.029345</v>
      </c>
      <c r="AM91" s="13" t="n">
        <v>2484.049686</v>
      </c>
      <c r="AN91" s="13" t="n">
        <v>8831.958296</v>
      </c>
      <c r="AO91" s="13" t="n">
        <v>9301.432704</v>
      </c>
      <c r="AP91" s="13" t="n">
        <v>9253.87512</v>
      </c>
      <c r="AQ91" s="13" t="n">
        <v>9444.586607</v>
      </c>
      <c r="AR91" s="13" t="n">
        <v>9444.584988</v>
      </c>
      <c r="AS91" s="13" t="n">
        <v>9540.068058</v>
      </c>
      <c r="AT91" s="13" t="n">
        <v>9587.726512</v>
      </c>
    </row>
    <row r="92" customFormat="false" ht="15" hidden="false" customHeight="true" outlineLevel="0" collapsed="false">
      <c r="A92" s="12" t="s">
        <v>329</v>
      </c>
      <c r="B92" s="12" t="s">
        <v>330</v>
      </c>
      <c r="C92" s="12" t="n">
        <v>1</v>
      </c>
      <c r="D92" s="12" t="s">
        <v>331</v>
      </c>
      <c r="E92" s="13" t="n">
        <v>1746.275976</v>
      </c>
      <c r="F92" s="13" t="n">
        <v>1746.222714</v>
      </c>
      <c r="G92" s="13" t="n">
        <v>1694.912092</v>
      </c>
      <c r="H92" s="13" t="n">
        <v>1848.96675</v>
      </c>
      <c r="I92" s="13" t="n">
        <v>2054.460632</v>
      </c>
      <c r="J92" s="13" t="n">
        <v>2362.578715</v>
      </c>
      <c r="K92" s="13" t="n">
        <v>2413.97706</v>
      </c>
      <c r="L92" s="13" t="n">
        <v>2362.539788</v>
      </c>
      <c r="M92" s="13" t="n">
        <v>2568.004785</v>
      </c>
      <c r="N92" s="13" t="n">
        <v>2567.976414</v>
      </c>
      <c r="O92" s="13" t="n">
        <v>2619.386538</v>
      </c>
      <c r="P92" s="13" t="n">
        <v>2978.805081</v>
      </c>
      <c r="Q92" s="13" t="n">
        <v>3127.903074</v>
      </c>
      <c r="R92" s="13" t="n">
        <v>3559.204203</v>
      </c>
      <c r="S92" s="13" t="n">
        <v>3235.65261</v>
      </c>
      <c r="T92" s="13" t="n">
        <v>3127.81952</v>
      </c>
      <c r="U92" s="13" t="n">
        <v>3721.010138</v>
      </c>
      <c r="V92" s="13" t="n">
        <v>3559.255284</v>
      </c>
      <c r="W92" s="13" t="n">
        <v>3451.386128</v>
      </c>
      <c r="X92" s="13" t="n">
        <v>3451.37669</v>
      </c>
      <c r="Y92" s="13" t="n">
        <v>3235.62419</v>
      </c>
      <c r="Z92" s="13" t="n">
        <v>3559.438784</v>
      </c>
      <c r="AA92" s="13" t="n">
        <v>3613.20936</v>
      </c>
      <c r="AB92" s="13" t="n">
        <v>3559.40686</v>
      </c>
      <c r="AC92" s="13" t="n">
        <v>3540.6228</v>
      </c>
      <c r="AD92" s="13" t="n">
        <v>3652.9029</v>
      </c>
      <c r="AE92" s="13" t="n">
        <v>3484.3284</v>
      </c>
      <c r="AF92" s="13" t="n">
        <v>3484.4568</v>
      </c>
      <c r="AG92" s="13" t="n">
        <v>3428.2897</v>
      </c>
      <c r="AH92" s="13" t="n">
        <v>3484.47135</v>
      </c>
      <c r="AI92" s="13" t="n">
        <v>3259.58777</v>
      </c>
      <c r="AJ92" s="13" t="n">
        <v>3259.58832</v>
      </c>
      <c r="AK92" s="13" t="n">
        <v>3259.5396</v>
      </c>
      <c r="AL92" s="13" t="n">
        <v>4046.45657</v>
      </c>
      <c r="AM92" s="13" t="n">
        <v>1906.786035</v>
      </c>
      <c r="AN92" s="13" t="n">
        <v>1839.69159</v>
      </c>
      <c r="AO92" s="13" t="n">
        <v>1678.33347</v>
      </c>
      <c r="AP92" s="13" t="n">
        <v>1708.344</v>
      </c>
      <c r="AQ92" s="13" t="n">
        <v>1912.13088</v>
      </c>
      <c r="AR92" s="13" t="n">
        <v>1707.77211</v>
      </c>
      <c r="AS92" s="13" t="n">
        <v>1742.221305</v>
      </c>
      <c r="AT92" s="13" t="n">
        <v>1559.39256</v>
      </c>
    </row>
    <row r="93" customFormat="false" ht="15" hidden="false" customHeight="true" outlineLevel="0" collapsed="false">
      <c r="A93" s="12" t="s">
        <v>332</v>
      </c>
      <c r="B93" s="12" t="s">
        <v>333</v>
      </c>
      <c r="C93" s="12" t="n">
        <v>1</v>
      </c>
      <c r="D93" s="12" t="s">
        <v>334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420.006951</v>
      </c>
      <c r="S93" s="13" t="n">
        <v>450.067005</v>
      </c>
      <c r="T93" s="13" t="n">
        <v>480.0768</v>
      </c>
      <c r="U93" s="13" t="n">
        <v>480.004543</v>
      </c>
      <c r="V93" s="13" t="n">
        <v>450.088548</v>
      </c>
      <c r="W93" s="13" t="n">
        <v>450.0096</v>
      </c>
      <c r="X93" s="13" t="n">
        <v>419.995164</v>
      </c>
      <c r="Y93" s="13" t="n">
        <v>540.025382</v>
      </c>
      <c r="Z93" s="13" t="n">
        <v>630.058352</v>
      </c>
      <c r="AA93" s="13" t="n">
        <v>510.02091</v>
      </c>
      <c r="AB93" s="13" t="n">
        <v>509.93208</v>
      </c>
      <c r="AC93" s="13" t="n">
        <v>593.9296</v>
      </c>
      <c r="AD93" s="13" t="n">
        <v>437.6996</v>
      </c>
      <c r="AE93" s="13" t="n">
        <v>375.17256</v>
      </c>
      <c r="AF93" s="13" t="n">
        <v>375.1528</v>
      </c>
      <c r="AG93" s="13" t="n">
        <v>343.89036</v>
      </c>
      <c r="AH93" s="13" t="n">
        <v>375.0561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</row>
    <row r="94" customFormat="false" ht="15" hidden="false" customHeight="true" outlineLevel="0" collapsed="false">
      <c r="A94" s="12" t="s">
        <v>335</v>
      </c>
      <c r="B94" s="12" t="s">
        <v>336</v>
      </c>
      <c r="C94" s="12" t="n">
        <v>1</v>
      </c>
      <c r="D94" s="12" t="s">
        <v>337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750.03075</v>
      </c>
      <c r="AB94" s="13" t="n">
        <v>749.923924</v>
      </c>
      <c r="AC94" s="13" t="n">
        <v>750.0636</v>
      </c>
      <c r="AD94" s="13" t="n">
        <v>749.9609</v>
      </c>
      <c r="AE94" s="13" t="n">
        <v>749.93688</v>
      </c>
      <c r="AF94" s="13" t="n">
        <v>749.914</v>
      </c>
      <c r="AG94" s="13" t="n">
        <v>749.92028</v>
      </c>
      <c r="AH94" s="13" t="n">
        <v>749.92335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</row>
    <row r="95" customFormat="false" ht="15" hidden="false" customHeight="true" outlineLevel="0" collapsed="false">
      <c r="A95" s="12" t="s">
        <v>338</v>
      </c>
      <c r="B95" s="12" t="s">
        <v>339</v>
      </c>
      <c r="C95" s="12" t="n">
        <v>1</v>
      </c>
      <c r="D95" s="12" t="s">
        <v>340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4279.963104</v>
      </c>
      <c r="R95" s="13" t="n">
        <v>4320.071496</v>
      </c>
      <c r="S95" s="13" t="n">
        <v>4280.01978</v>
      </c>
      <c r="T95" s="13" t="n">
        <v>3887.94112</v>
      </c>
      <c r="U95" s="13" t="n">
        <v>3996.025104</v>
      </c>
      <c r="V95" s="13" t="n">
        <v>4520.046024</v>
      </c>
      <c r="W95" s="13" t="n">
        <v>4600.035632</v>
      </c>
      <c r="X95" s="13" t="n">
        <v>4520.004612</v>
      </c>
      <c r="Y95" s="13" t="n">
        <v>4520.030166</v>
      </c>
      <c r="Z95" s="13" t="n">
        <v>4559.954608</v>
      </c>
      <c r="AA95" s="13" t="n">
        <v>4599.98451</v>
      </c>
      <c r="AB95" s="13" t="n">
        <v>4639.97722</v>
      </c>
      <c r="AC95" s="13" t="n">
        <v>4839.9472</v>
      </c>
      <c r="AD95" s="13" t="n">
        <v>4839.9475</v>
      </c>
      <c r="AE95" s="13" t="n">
        <v>4880.10096</v>
      </c>
      <c r="AF95" s="13" t="n">
        <v>4920.0624</v>
      </c>
      <c r="AG95" s="13" t="n">
        <v>4839.9384</v>
      </c>
      <c r="AH95" s="13" t="n">
        <v>4800.00045</v>
      </c>
      <c r="AI95" s="13" t="n">
        <v>4800.00192</v>
      </c>
      <c r="AJ95" s="13" t="n">
        <v>4799.91528</v>
      </c>
      <c r="AK95" s="13" t="n">
        <v>4799.96925</v>
      </c>
      <c r="AL95" s="13" t="n">
        <v>4799.941041</v>
      </c>
      <c r="AM95" s="13" t="n">
        <v>4800.074744</v>
      </c>
      <c r="AN95" s="13" t="n">
        <v>4640.051066</v>
      </c>
      <c r="AO95" s="13" t="n">
        <v>4680.024692</v>
      </c>
      <c r="AP95" s="13" t="n">
        <v>4679.99976</v>
      </c>
      <c r="AQ95" s="13" t="n">
        <v>4680.012758</v>
      </c>
      <c r="AR95" s="13" t="n">
        <v>4680.014828</v>
      </c>
      <c r="AS95" s="13" t="n">
        <v>4720.008996</v>
      </c>
      <c r="AT95" s="13" t="n">
        <v>4640.024192</v>
      </c>
    </row>
    <row r="96" customFormat="false" ht="15" hidden="false" customHeight="true" outlineLevel="0" collapsed="false">
      <c r="A96" s="12" t="s">
        <v>341</v>
      </c>
      <c r="B96" s="12" t="s">
        <v>342</v>
      </c>
      <c r="C96" s="12" t="n">
        <v>1</v>
      </c>
      <c r="D96" s="12" t="s">
        <v>343</v>
      </c>
      <c r="E96" s="13" t="n">
        <v>1027.143828</v>
      </c>
      <c r="F96" s="13" t="n">
        <v>802.537386</v>
      </c>
      <c r="G96" s="13" t="n">
        <v>802.567302</v>
      </c>
      <c r="H96" s="13" t="n">
        <v>802.541763</v>
      </c>
      <c r="I96" s="13" t="n">
        <v>802.41322</v>
      </c>
      <c r="J96" s="13" t="n">
        <v>802.465915</v>
      </c>
      <c r="K96" s="13" t="n">
        <v>802.545156</v>
      </c>
      <c r="L96" s="13" t="n">
        <v>802.473112</v>
      </c>
      <c r="M96" s="13" t="n">
        <v>802.534545</v>
      </c>
      <c r="N96" s="13" t="n">
        <v>802.571676</v>
      </c>
      <c r="O96" s="13" t="n">
        <v>802.576456</v>
      </c>
      <c r="P96" s="13" t="n">
        <v>802.434969</v>
      </c>
      <c r="Q96" s="13" t="n">
        <v>842.669244</v>
      </c>
      <c r="R96" s="13" t="n">
        <v>842.578047</v>
      </c>
      <c r="S96" s="13" t="n">
        <v>842.57307</v>
      </c>
      <c r="T96" s="13" t="n">
        <v>842.688</v>
      </c>
      <c r="U96" s="13" t="n">
        <v>842.67841</v>
      </c>
      <c r="V96" s="13" t="n">
        <v>842.695464</v>
      </c>
      <c r="W96" s="13" t="n">
        <v>842.642976</v>
      </c>
      <c r="X96" s="13" t="n">
        <v>842.568202</v>
      </c>
      <c r="Y96" s="13" t="n">
        <v>842.62072</v>
      </c>
      <c r="Z96" s="13" t="n">
        <v>842.550192</v>
      </c>
      <c r="AA96" s="13" t="n">
        <v>842.68761</v>
      </c>
      <c r="AB96" s="13" t="n">
        <v>842.602056</v>
      </c>
      <c r="AC96" s="13" t="n">
        <v>878.0728</v>
      </c>
      <c r="AD96" s="13" t="n">
        <v>878.0681</v>
      </c>
      <c r="AE96" s="13" t="n">
        <v>878.12424</v>
      </c>
      <c r="AF96" s="13" t="n">
        <v>878.163</v>
      </c>
      <c r="AG96" s="13" t="n">
        <v>878.059</v>
      </c>
      <c r="AH96" s="13" t="n">
        <v>878.1525</v>
      </c>
      <c r="AI96" s="13" t="n">
        <v>878.19584</v>
      </c>
      <c r="AJ96" s="13" t="n">
        <v>878.08329</v>
      </c>
      <c r="AK96" s="13" t="n">
        <v>878.17515</v>
      </c>
      <c r="AL96" s="13" t="n">
        <v>878.175008</v>
      </c>
      <c r="AM96" s="13" t="n">
        <v>878.093771</v>
      </c>
      <c r="AN96" s="13" t="n">
        <v>878.124539</v>
      </c>
      <c r="AO96" s="13" t="n">
        <v>910.454962</v>
      </c>
      <c r="AP96" s="13" t="n">
        <v>910.42656</v>
      </c>
      <c r="AQ96" s="13" t="n">
        <v>910.435044</v>
      </c>
      <c r="AR96" s="13" t="n">
        <v>910.46094</v>
      </c>
      <c r="AS96" s="13" t="n">
        <v>910.49022</v>
      </c>
      <c r="AT96" s="13" t="n">
        <v>910.433232</v>
      </c>
    </row>
    <row r="97" customFormat="false" ht="15" hidden="false" customHeight="true" outlineLevel="0" collapsed="false">
      <c r="A97" s="12" t="s">
        <v>344</v>
      </c>
      <c r="B97" s="12" t="s">
        <v>345</v>
      </c>
      <c r="C97" s="12" t="n">
        <v>1</v>
      </c>
      <c r="D97" s="12" t="s">
        <v>346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4747.45431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</row>
    <row r="98" customFormat="false" ht="15" hidden="false" customHeight="true" outlineLevel="0" collapsed="false">
      <c r="A98" s="12" t="s">
        <v>347</v>
      </c>
      <c r="B98" s="12" t="s">
        <v>348</v>
      </c>
      <c r="C98" s="12" t="n">
        <v>1</v>
      </c>
      <c r="D98" s="12" t="s">
        <v>349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1800.03956</v>
      </c>
    </row>
    <row r="99" customFormat="false" ht="15" hidden="false" customHeight="true" outlineLevel="0" collapsed="false">
      <c r="A99" s="12" t="s">
        <v>350</v>
      </c>
      <c r="B99" s="12" t="s">
        <v>351</v>
      </c>
      <c r="C99" s="12" t="n">
        <v>1</v>
      </c>
      <c r="D99" s="12" t="s">
        <v>352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10485.02295</v>
      </c>
      <c r="T99" s="13" t="n">
        <v>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</row>
    <row r="100" customFormat="false" ht="15" hidden="false" customHeight="true" outlineLevel="0" collapsed="false">
      <c r="A100" s="12" t="s">
        <v>353</v>
      </c>
      <c r="B100" s="12" t="s">
        <v>354</v>
      </c>
      <c r="C100" s="12" t="n">
        <v>1</v>
      </c>
      <c r="D100" s="12" t="s">
        <v>355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0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0</v>
      </c>
      <c r="AI100" s="13" t="n">
        <v>0</v>
      </c>
      <c r="AJ100" s="13" t="n">
        <v>0</v>
      </c>
      <c r="AK100" s="13" t="n">
        <v>0</v>
      </c>
      <c r="AL100" s="13" t="n">
        <v>0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794.169036</v>
      </c>
      <c r="AT100" s="13" t="n">
        <v>680.81224</v>
      </c>
    </row>
    <row r="101" customFormat="false" ht="15" hidden="false" customHeight="true" outlineLevel="0" collapsed="false">
      <c r="A101" s="12" t="s">
        <v>356</v>
      </c>
      <c r="B101" s="12" t="s">
        <v>357</v>
      </c>
      <c r="C101" s="12" t="n">
        <v>1</v>
      </c>
      <c r="D101" s="12" t="s">
        <v>358</v>
      </c>
      <c r="E101" s="13" t="n">
        <v>2664.301032</v>
      </c>
      <c r="F101" s="13" t="n">
        <v>2568.08283</v>
      </c>
      <c r="G101" s="13" t="n">
        <v>2664.36416</v>
      </c>
      <c r="H101" s="13" t="n">
        <v>2632.207104</v>
      </c>
      <c r="I101" s="13" t="n">
        <v>2760.548917</v>
      </c>
      <c r="J101" s="13" t="n">
        <v>3017.415535</v>
      </c>
      <c r="K101" s="13" t="n">
        <v>3081.679944</v>
      </c>
      <c r="L101" s="13" t="n">
        <v>2953.174735</v>
      </c>
      <c r="M101" s="13" t="n">
        <v>2888.98335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</row>
    <row r="102" customFormat="false" ht="15" hidden="false" customHeight="true" outlineLevel="0" collapsed="false">
      <c r="A102" s="12" t="s">
        <v>359</v>
      </c>
      <c r="B102" s="12" t="s">
        <v>360</v>
      </c>
      <c r="C102" s="12" t="n">
        <v>1</v>
      </c>
      <c r="D102" s="12" t="s">
        <v>361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3476.06088</v>
      </c>
      <c r="AB102" s="13" t="n">
        <v>3476.037012</v>
      </c>
      <c r="AC102" s="13" t="n">
        <v>3476.1012</v>
      </c>
      <c r="AD102" s="13" t="n">
        <v>3520.0738</v>
      </c>
      <c r="AE102" s="13" t="n">
        <v>87.97572</v>
      </c>
      <c r="AF102" s="13" t="n">
        <v>87.9142</v>
      </c>
      <c r="AG102" s="13" t="n">
        <v>87.99888</v>
      </c>
      <c r="AH102" s="13" t="n">
        <v>1144.0533</v>
      </c>
      <c r="AI102" s="13" t="n">
        <v>2112.03092</v>
      </c>
      <c r="AJ102" s="13" t="n">
        <v>4532.07285</v>
      </c>
      <c r="AK102" s="13" t="n">
        <v>4400.04825</v>
      </c>
      <c r="AL102" s="13" t="n">
        <v>3916.056422</v>
      </c>
      <c r="AM102" s="13" t="n">
        <v>1671.991795</v>
      </c>
      <c r="AN102" s="13" t="n">
        <v>87.938337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</row>
    <row r="103" customFormat="false" ht="15" hidden="false" customHeight="true" outlineLevel="0" collapsed="false">
      <c r="A103" s="12" t="s">
        <v>362</v>
      </c>
      <c r="B103" s="12" t="s">
        <v>363</v>
      </c>
      <c r="C103" s="12" t="n">
        <v>1</v>
      </c>
      <c r="D103" s="12" t="s">
        <v>364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73.0131</v>
      </c>
      <c r="AL103" s="13" t="n">
        <v>255.274866</v>
      </c>
      <c r="AM103" s="13" t="n">
        <v>218.835569</v>
      </c>
      <c r="AN103" s="13" t="n">
        <v>255.36286</v>
      </c>
      <c r="AO103" s="13" t="n">
        <v>264.809472</v>
      </c>
      <c r="AP103" s="13" t="n">
        <v>302.49768</v>
      </c>
      <c r="AQ103" s="13" t="n">
        <v>226.884469</v>
      </c>
      <c r="AR103" s="13" t="n">
        <v>227.001244</v>
      </c>
      <c r="AS103" s="13" t="n">
        <v>1096.742592</v>
      </c>
      <c r="AT103" s="13" t="n">
        <v>756.419152</v>
      </c>
    </row>
    <row r="104" customFormat="false" ht="15" hidden="false" customHeight="true" outlineLevel="0" collapsed="false">
      <c r="A104" s="12" t="s">
        <v>365</v>
      </c>
      <c r="B104" s="12" t="s">
        <v>366</v>
      </c>
      <c r="C104" s="12" t="n">
        <v>1</v>
      </c>
      <c r="D104" s="12" t="s">
        <v>367</v>
      </c>
      <c r="E104" s="13" t="n">
        <v>2487.757752</v>
      </c>
      <c r="F104" s="13" t="n">
        <v>2653.65492</v>
      </c>
      <c r="G104" s="13" t="n">
        <v>2653.684983</v>
      </c>
      <c r="H104" s="13" t="n">
        <v>2587.290741</v>
      </c>
      <c r="I104" s="13" t="n">
        <v>2719.898027</v>
      </c>
      <c r="J104" s="13" t="n">
        <v>2786.30672</v>
      </c>
      <c r="K104" s="13" t="n">
        <v>2852.548212</v>
      </c>
      <c r="L104" s="13" t="n">
        <v>2753.05884</v>
      </c>
      <c r="M104" s="13" t="n">
        <v>2753.083035</v>
      </c>
      <c r="N104" s="13" t="n">
        <v>2719.926612</v>
      </c>
      <c r="O104" s="13" t="n">
        <v>2719.880674</v>
      </c>
      <c r="P104" s="13" t="n">
        <v>2620.475487</v>
      </c>
      <c r="Q104" s="13" t="n">
        <v>2855.941362</v>
      </c>
      <c r="R104" s="13" t="n">
        <v>2821.072329</v>
      </c>
      <c r="S104" s="13" t="n">
        <v>2995.319145</v>
      </c>
      <c r="T104" s="13" t="n">
        <v>2855.94624</v>
      </c>
      <c r="U104" s="13" t="n">
        <v>2821.192367</v>
      </c>
      <c r="V104" s="13" t="n">
        <v>3099.7707</v>
      </c>
      <c r="W104" s="13" t="n">
        <v>3099.816128</v>
      </c>
      <c r="X104" s="13" t="n">
        <v>3029.99344</v>
      </c>
      <c r="Y104" s="13" t="n">
        <v>2720.011184</v>
      </c>
      <c r="Z104" s="13" t="n">
        <v>2960.452352</v>
      </c>
      <c r="AA104" s="13" t="n">
        <v>2960.52954</v>
      </c>
      <c r="AB104" s="13" t="n">
        <v>2890.829244</v>
      </c>
      <c r="AC104" s="13" t="n">
        <v>3012.8692</v>
      </c>
      <c r="AD104" s="13" t="n">
        <v>2976.6447</v>
      </c>
      <c r="AE104" s="13" t="n">
        <v>2800.11816</v>
      </c>
      <c r="AF104" s="13" t="n">
        <v>2731.0184</v>
      </c>
      <c r="AG104" s="13" t="n">
        <v>2731.05296</v>
      </c>
      <c r="AH104" s="13" t="n">
        <v>2696.4003</v>
      </c>
      <c r="AI104" s="13" t="n">
        <v>2800.18909</v>
      </c>
      <c r="AJ104" s="13" t="n">
        <v>2730.98628</v>
      </c>
      <c r="AK104" s="13" t="n">
        <v>2696.53155</v>
      </c>
      <c r="AL104" s="13" t="n">
        <v>2696.40984</v>
      </c>
      <c r="AM104" s="13" t="n">
        <v>2696.4651</v>
      </c>
      <c r="AN104" s="13" t="n">
        <v>2730.943938</v>
      </c>
      <c r="AO104" s="13" t="n">
        <v>2868.079672</v>
      </c>
      <c r="AP104" s="13" t="n">
        <v>2796.3348</v>
      </c>
      <c r="AQ104" s="13" t="n">
        <v>2796.310339</v>
      </c>
      <c r="AR104" s="13" t="n">
        <v>2832.077344</v>
      </c>
      <c r="AS104" s="13" t="n">
        <v>2832.213114</v>
      </c>
      <c r="AT104" s="13" t="n">
        <v>2796.230632</v>
      </c>
    </row>
    <row r="105" customFormat="false" ht="15" hidden="false" customHeight="true" outlineLevel="0" collapsed="false">
      <c r="A105" s="12" t="s">
        <v>368</v>
      </c>
      <c r="B105" s="12" t="s">
        <v>369</v>
      </c>
      <c r="C105" s="12" t="n">
        <v>1</v>
      </c>
      <c r="D105" s="12" t="s">
        <v>370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632.059878</v>
      </c>
      <c r="AS105" s="13" t="n">
        <v>631.977147</v>
      </c>
      <c r="AT105" s="13" t="n">
        <v>631.982776</v>
      </c>
    </row>
    <row r="106" customFormat="false" ht="15" hidden="false" customHeight="true" outlineLevel="0" collapsed="false">
      <c r="A106" s="12" t="s">
        <v>371</v>
      </c>
      <c r="B106" s="12" t="s">
        <v>372</v>
      </c>
      <c r="C106" s="12" t="n">
        <v>1</v>
      </c>
      <c r="D106" s="12" t="s">
        <v>373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350.04042</v>
      </c>
      <c r="AK106" s="13" t="n">
        <v>350.0226</v>
      </c>
      <c r="AL106" s="13" t="n">
        <v>349.9439</v>
      </c>
      <c r="AM106" s="13" t="n">
        <v>349.990164</v>
      </c>
      <c r="AN106" s="13" t="n">
        <v>279.999981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</row>
    <row r="107" customFormat="false" ht="15" hidden="false" customHeight="true" outlineLevel="0" collapsed="false">
      <c r="A107" s="12" t="s">
        <v>374</v>
      </c>
      <c r="B107" s="12" t="s">
        <v>375</v>
      </c>
      <c r="C107" s="12" t="n">
        <v>1</v>
      </c>
      <c r="D107" s="12" t="s">
        <v>376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4887.939151</v>
      </c>
      <c r="AN107" s="13" t="n">
        <v>5123.082504</v>
      </c>
      <c r="AO107" s="13" t="n">
        <v>5122.92543</v>
      </c>
      <c r="AP107" s="13" t="n">
        <v>4840.99824</v>
      </c>
      <c r="AQ107" s="13" t="n">
        <v>5592.982824</v>
      </c>
      <c r="AR107" s="13" t="n">
        <v>5639.9459</v>
      </c>
      <c r="AS107" s="13" t="n">
        <v>5216.970483</v>
      </c>
      <c r="AT107" s="13" t="n">
        <v>5311.035536</v>
      </c>
    </row>
    <row r="108" customFormat="false" ht="15" hidden="false" customHeight="true" outlineLevel="0" collapsed="false">
      <c r="A108" s="12" t="s">
        <v>377</v>
      </c>
      <c r="B108" s="12" t="s">
        <v>378</v>
      </c>
      <c r="C108" s="12" t="n">
        <v>1</v>
      </c>
      <c r="D108" s="12" t="s">
        <v>379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3049.940491</v>
      </c>
      <c r="AN108" s="13" t="n">
        <v>3399.922698</v>
      </c>
      <c r="AO108" s="13" t="n">
        <v>3149.956942</v>
      </c>
      <c r="AP108" s="13" t="n">
        <v>2999.9556</v>
      </c>
      <c r="AQ108" s="13" t="n">
        <v>3049.993612</v>
      </c>
      <c r="AR108" s="13" t="n">
        <v>3099.952846</v>
      </c>
      <c r="AS108" s="13" t="n">
        <v>3500.02134</v>
      </c>
      <c r="AT108" s="13" t="n">
        <v>3799.947392</v>
      </c>
    </row>
    <row r="109" customFormat="false" ht="15" hidden="false" customHeight="true" outlineLevel="0" collapsed="false">
      <c r="A109" s="12" t="s">
        <v>380</v>
      </c>
      <c r="B109" s="12" t="s">
        <v>381</v>
      </c>
      <c r="C109" s="12" t="n">
        <v>1</v>
      </c>
      <c r="D109" s="12" t="s">
        <v>382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107.923652</v>
      </c>
      <c r="AP109" s="13" t="n">
        <v>108.02256</v>
      </c>
      <c r="AQ109" s="13" t="n">
        <v>107.919508</v>
      </c>
      <c r="AR109" s="13" t="n">
        <v>108.062416</v>
      </c>
      <c r="AS109" s="13" t="n">
        <v>108.012528</v>
      </c>
      <c r="AT109" s="13" t="n">
        <v>107.984872</v>
      </c>
    </row>
    <row r="110" customFormat="false" ht="15" hidden="false" customHeight="true" outlineLevel="0" collapsed="false">
      <c r="A110" s="12" t="s">
        <v>383</v>
      </c>
      <c r="B110" s="12" t="s">
        <v>384</v>
      </c>
      <c r="C110" s="12" t="n">
        <v>1</v>
      </c>
      <c r="D110" s="12" t="s">
        <v>385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</row>
    <row r="111" customFormat="false" ht="15" hidden="false" customHeight="true" outlineLevel="0" collapsed="false">
      <c r="A111" s="12" t="s">
        <v>386</v>
      </c>
      <c r="B111" s="12" t="s">
        <v>387</v>
      </c>
      <c r="C111" s="12" t="n">
        <v>1</v>
      </c>
      <c r="D111" s="12" t="s">
        <v>388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  <c r="X111" s="13" t="n">
        <v>0</v>
      </c>
      <c r="Y111" s="13" t="n">
        <v>6196.412276</v>
      </c>
      <c r="Z111" s="13" t="n">
        <v>6196.542704</v>
      </c>
      <c r="AA111" s="13" t="n">
        <v>6196.58058</v>
      </c>
      <c r="AB111" s="13" t="n">
        <v>6196.484188</v>
      </c>
      <c r="AC111" s="13" t="n">
        <v>6196.5552</v>
      </c>
      <c r="AD111" s="13" t="n">
        <v>6196.5699</v>
      </c>
      <c r="AE111" s="13" t="n">
        <v>6196.47084</v>
      </c>
      <c r="AF111" s="13" t="n">
        <v>6196.4826</v>
      </c>
      <c r="AG111" s="13" t="n">
        <v>6196.5878</v>
      </c>
      <c r="AH111" s="13" t="n">
        <v>6196.5462</v>
      </c>
      <c r="AI111" s="13" t="n">
        <v>6196.43105</v>
      </c>
      <c r="AJ111" s="13" t="n">
        <v>6196.53555</v>
      </c>
      <c r="AK111" s="13" t="n">
        <v>0</v>
      </c>
      <c r="AL111" s="13" t="n">
        <v>0</v>
      </c>
      <c r="AM111" s="13" t="n">
        <v>0</v>
      </c>
      <c r="AN111" s="13" t="n">
        <v>0</v>
      </c>
      <c r="AO111" s="13" t="n">
        <v>0</v>
      </c>
      <c r="AP111" s="13" t="n">
        <v>0</v>
      </c>
      <c r="AQ111" s="13" t="n">
        <v>0</v>
      </c>
      <c r="AR111" s="13" t="n">
        <v>0</v>
      </c>
      <c r="AS111" s="13" t="n">
        <v>0</v>
      </c>
      <c r="AT111" s="13" t="n">
        <v>0</v>
      </c>
    </row>
    <row r="112" customFormat="false" ht="15" hidden="false" customHeight="true" outlineLevel="0" collapsed="false">
      <c r="A112" s="12" t="s">
        <v>389</v>
      </c>
      <c r="B112" s="12" t="s">
        <v>390</v>
      </c>
      <c r="C112" s="12" t="n">
        <v>1</v>
      </c>
      <c r="D112" s="12" t="s">
        <v>391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9672.0936</v>
      </c>
      <c r="AE112" s="13" t="n">
        <v>9486.06876</v>
      </c>
      <c r="AF112" s="13" t="n">
        <v>13438.5372</v>
      </c>
      <c r="AG112" s="13" t="n">
        <v>14182.48616</v>
      </c>
      <c r="AH112" s="13" t="n">
        <v>16554.02445</v>
      </c>
      <c r="AI112" s="13" t="n">
        <v>14546.9983</v>
      </c>
      <c r="AJ112" s="13" t="n">
        <v>14089.59288</v>
      </c>
      <c r="AK112" s="13" t="n">
        <v>10648.5387</v>
      </c>
      <c r="AL112" s="13" t="n">
        <v>10602.010903</v>
      </c>
      <c r="AM112" s="13" t="n">
        <v>7579.45156</v>
      </c>
      <c r="AN112" s="13" t="n">
        <v>12043.41601</v>
      </c>
      <c r="AO112" s="13" t="n">
        <v>10312.742836</v>
      </c>
      <c r="AP112" s="13" t="n">
        <v>8144.14176</v>
      </c>
      <c r="AQ112" s="13" t="n">
        <v>5782.747328</v>
      </c>
      <c r="AR112" s="13" t="n">
        <v>6650.224234</v>
      </c>
      <c r="AS112" s="13" t="n">
        <v>6312.84759</v>
      </c>
      <c r="AT112" s="13" t="n">
        <v>6216.918352</v>
      </c>
    </row>
    <row r="113" customFormat="false" ht="15" hidden="false" customHeight="true" outlineLevel="0" collapsed="false">
      <c r="A113" s="12" t="s">
        <v>392</v>
      </c>
      <c r="B113" s="12" t="s">
        <v>393</v>
      </c>
      <c r="C113" s="12" t="n">
        <v>1</v>
      </c>
      <c r="D113" s="12" t="s">
        <v>394</v>
      </c>
      <c r="E113" s="13" t="n">
        <v>13011.239736</v>
      </c>
      <c r="F113" s="13" t="n">
        <v>13458.373458</v>
      </c>
      <c r="G113" s="13" t="n">
        <v>14962.793998</v>
      </c>
      <c r="H113" s="13" t="n">
        <v>14637.683502</v>
      </c>
      <c r="I113" s="13" t="n">
        <v>15491.52395</v>
      </c>
      <c r="J113" s="13" t="n">
        <v>15450.761865</v>
      </c>
      <c r="K113" s="13" t="n">
        <v>14312.305608</v>
      </c>
      <c r="L113" s="13" t="n">
        <v>18012.440082</v>
      </c>
      <c r="M113" s="13" t="n">
        <v>20574.00333</v>
      </c>
      <c r="N113" s="13" t="n">
        <v>20655.289638</v>
      </c>
      <c r="O113" s="13" t="n">
        <v>19476.073299</v>
      </c>
      <c r="P113" s="13" t="n">
        <v>19557.385617</v>
      </c>
      <c r="Q113" s="13" t="n">
        <v>0</v>
      </c>
      <c r="R113" s="13" t="n">
        <v>20492.64684</v>
      </c>
      <c r="S113" s="13" t="n">
        <v>20492.68707</v>
      </c>
      <c r="T113" s="13" t="n">
        <v>20492.64</v>
      </c>
      <c r="U113" s="13" t="n">
        <v>20492.684239</v>
      </c>
      <c r="V113" s="13" t="n">
        <v>20535.313032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9090.015</v>
      </c>
      <c r="AG113" s="13" t="n">
        <v>9495.00196</v>
      </c>
      <c r="AH113" s="13" t="n">
        <v>10215.08535</v>
      </c>
      <c r="AI113" s="13" t="n">
        <v>55072.01451</v>
      </c>
      <c r="AJ113" s="13" t="n">
        <v>62624.05776</v>
      </c>
      <c r="AK113" s="13" t="n">
        <v>41536.0152</v>
      </c>
      <c r="AL113" s="13" t="n">
        <v>33471.949854</v>
      </c>
      <c r="AM113" s="13" t="n">
        <v>36192.064632</v>
      </c>
      <c r="AN113" s="13" t="n">
        <v>36831.956396</v>
      </c>
      <c r="AO113" s="13" t="n">
        <v>42072.294472</v>
      </c>
      <c r="AP113" s="13" t="n">
        <v>54979.3416</v>
      </c>
      <c r="AQ113" s="13" t="n">
        <v>77939.975682</v>
      </c>
      <c r="AR113" s="13" t="n">
        <v>77391.635864</v>
      </c>
      <c r="AS113" s="13" t="n">
        <v>70452.036873</v>
      </c>
      <c r="AT113" s="13" t="n">
        <v>101592.937648</v>
      </c>
    </row>
    <row r="114" customFormat="false" ht="15" hidden="false" customHeight="true" outlineLevel="0" collapsed="false">
      <c r="A114" s="12" t="s">
        <v>395</v>
      </c>
      <c r="B114" s="12" t="s">
        <v>396</v>
      </c>
      <c r="C114" s="12" t="n">
        <v>1</v>
      </c>
      <c r="D114" s="12" t="s">
        <v>397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279.960912</v>
      </c>
      <c r="J114" s="13" t="n">
        <v>320.062615</v>
      </c>
      <c r="K114" s="13" t="n">
        <v>319.916628</v>
      </c>
      <c r="L114" s="13" t="n">
        <v>360.04115</v>
      </c>
      <c r="M114" s="13" t="n">
        <v>319.920975</v>
      </c>
      <c r="N114" s="13" t="n">
        <v>439.95093</v>
      </c>
      <c r="O114" s="13" t="n">
        <v>400.083675</v>
      </c>
      <c r="P114" s="13" t="n">
        <v>399.948612</v>
      </c>
      <c r="Q114" s="13" t="n">
        <v>462.025863</v>
      </c>
      <c r="R114" s="13" t="n">
        <v>377.954973</v>
      </c>
      <c r="S114" s="13" t="n">
        <v>335.937555</v>
      </c>
      <c r="T114" s="13" t="n">
        <v>336.05376</v>
      </c>
      <c r="U114" s="13" t="n">
        <v>419.982781</v>
      </c>
      <c r="V114" s="13" t="n">
        <v>378.052272</v>
      </c>
      <c r="W114" s="13" t="n">
        <v>336.007168</v>
      </c>
      <c r="X114" s="13" t="n">
        <v>335.916812</v>
      </c>
      <c r="Y114" s="13" t="n">
        <v>377.99808</v>
      </c>
      <c r="Z114" s="13" t="n">
        <v>419.97208</v>
      </c>
      <c r="AA114" s="13" t="n">
        <v>335.93214</v>
      </c>
      <c r="AB114" s="13" t="n">
        <v>335.90764</v>
      </c>
      <c r="AC114" s="13" t="n">
        <v>437.7956</v>
      </c>
      <c r="AD114" s="13" t="n">
        <v>481.4285</v>
      </c>
      <c r="AE114" s="13" t="n">
        <v>393.9516</v>
      </c>
      <c r="AF114" s="13" t="n">
        <v>437.613</v>
      </c>
      <c r="AG114" s="13" t="n">
        <v>437.67864</v>
      </c>
      <c r="AH114" s="13" t="n">
        <v>350.1279</v>
      </c>
      <c r="AI114" s="13" t="n">
        <v>437.78213</v>
      </c>
      <c r="AJ114" s="13" t="n">
        <v>481.44537</v>
      </c>
      <c r="AK114" s="13" t="n">
        <v>350.20605</v>
      </c>
      <c r="AL114" s="13" t="n">
        <v>350.128081</v>
      </c>
      <c r="AM114" s="13" t="n">
        <v>350.173597</v>
      </c>
      <c r="AN114" s="13" t="n">
        <v>350.134851</v>
      </c>
      <c r="AO114" s="13" t="n">
        <v>363.078612</v>
      </c>
      <c r="AP114" s="13" t="n">
        <v>363.06624</v>
      </c>
      <c r="AQ114" s="13" t="n">
        <v>0</v>
      </c>
      <c r="AR114" s="13" t="n">
        <v>0</v>
      </c>
      <c r="AS114" s="13" t="n">
        <v>0</v>
      </c>
      <c r="AT114" s="13" t="n">
        <v>0</v>
      </c>
    </row>
    <row r="115" customFormat="false" ht="15" hidden="false" customHeight="true" outlineLevel="0" collapsed="false">
      <c r="A115" s="12" t="s">
        <v>398</v>
      </c>
      <c r="B115" s="12" t="s">
        <v>399</v>
      </c>
      <c r="C115" s="12" t="n">
        <v>1</v>
      </c>
      <c r="D115" s="12" t="s">
        <v>400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9950.087264</v>
      </c>
      <c r="X115" s="13" t="n">
        <v>9974.984294</v>
      </c>
      <c r="Y115" s="13" t="n">
        <v>10025.020954</v>
      </c>
      <c r="Z115" s="13" t="n">
        <v>10025.004176</v>
      </c>
      <c r="AA115" s="13" t="n">
        <v>10024.9008</v>
      </c>
      <c r="AB115" s="13" t="n">
        <v>10025.021868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</row>
    <row r="116" customFormat="false" ht="15" hidden="false" customHeight="true" outlineLevel="0" collapsed="false">
      <c r="A116" s="12" t="s">
        <v>401</v>
      </c>
      <c r="B116" s="12" t="s">
        <v>402</v>
      </c>
      <c r="C116" s="12" t="n">
        <v>1</v>
      </c>
      <c r="D116" s="12" t="s">
        <v>403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1830.03904</v>
      </c>
      <c r="X116" s="13" t="n">
        <v>1950.062532</v>
      </c>
      <c r="Y116" s="13" t="n">
        <v>1739.972412</v>
      </c>
      <c r="Z116" s="13" t="n">
        <v>1470.002512</v>
      </c>
      <c r="AA116" s="13" t="n">
        <v>1680.06888</v>
      </c>
      <c r="AB116" s="13" t="n">
        <v>2849.953736</v>
      </c>
      <c r="AC116" s="13" t="n">
        <v>8565.2424</v>
      </c>
      <c r="AD116" s="13" t="n">
        <v>11409.9581</v>
      </c>
      <c r="AE116" s="13" t="n">
        <v>12441.52224</v>
      </c>
      <c r="AF116" s="13" t="n">
        <v>15317.434</v>
      </c>
      <c r="AG116" s="13" t="n">
        <v>17286.76244</v>
      </c>
      <c r="AH116" s="13" t="n">
        <v>17849.53545</v>
      </c>
      <c r="AI116" s="13" t="n">
        <v>19881.39893</v>
      </c>
      <c r="AJ116" s="13" t="n">
        <v>19725.09453</v>
      </c>
      <c r="AK116" s="13" t="n">
        <v>20350.29195</v>
      </c>
      <c r="AL116" s="13" t="n">
        <v>26883.611303</v>
      </c>
      <c r="AM116" s="13" t="n">
        <v>25601.927243</v>
      </c>
      <c r="AN116" s="13" t="n">
        <v>26539.75414</v>
      </c>
      <c r="AO116" s="13" t="n">
        <v>25863.230834</v>
      </c>
      <c r="AP116" s="13" t="n">
        <v>24988.06848</v>
      </c>
      <c r="AQ116" s="13" t="n">
        <v>29039.401302</v>
      </c>
      <c r="AR116" s="13" t="n">
        <v>23821.271966</v>
      </c>
      <c r="AS116" s="13" t="n">
        <v>23432.487084</v>
      </c>
      <c r="AT116" s="13" t="n">
        <v>25312.214048</v>
      </c>
    </row>
    <row r="117" customFormat="false" ht="15" hidden="false" customHeight="true" outlineLevel="0" collapsed="false">
      <c r="A117" s="12" t="s">
        <v>404</v>
      </c>
      <c r="B117" s="12" t="s">
        <v>405</v>
      </c>
      <c r="C117" s="12" t="n">
        <v>1</v>
      </c>
      <c r="D117" s="12" t="s">
        <v>406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1926.225</v>
      </c>
      <c r="AL117" s="13" t="n">
        <v>1989.1548</v>
      </c>
      <c r="AM117" s="13" t="n">
        <v>1760.9568</v>
      </c>
      <c r="AN117" s="13" t="n">
        <v>1726.3968</v>
      </c>
      <c r="AO117" s="13" t="n">
        <v>1758.5004</v>
      </c>
      <c r="AP117" s="13" t="n">
        <v>1760.112</v>
      </c>
      <c r="AQ117" s="13" t="n">
        <v>1846.9446</v>
      </c>
      <c r="AR117" s="13" t="n">
        <v>1684.0896</v>
      </c>
      <c r="AS117" s="13" t="n">
        <v>1298.2275</v>
      </c>
      <c r="AT117" s="13" t="n">
        <v>1260.1152</v>
      </c>
    </row>
    <row r="118" customFormat="false" ht="15" hidden="false" customHeight="true" outlineLevel="0" collapsed="false">
      <c r="A118" s="12" t="s">
        <v>407</v>
      </c>
      <c r="B118" s="12" t="s">
        <v>408</v>
      </c>
      <c r="C118" s="12" t="n">
        <v>1</v>
      </c>
      <c r="D118" s="12" t="s">
        <v>409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1449.97701</v>
      </c>
      <c r="Z118" s="13" t="n">
        <v>949.998896</v>
      </c>
      <c r="AA118" s="13" t="n">
        <v>1450.05945</v>
      </c>
      <c r="AB118" s="13" t="n">
        <v>1450.068764</v>
      </c>
      <c r="AC118" s="13" t="n">
        <v>1510.8808</v>
      </c>
      <c r="AD118" s="13" t="n">
        <v>1510.8027</v>
      </c>
      <c r="AE118" s="13" t="n">
        <v>1510.89624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</row>
    <row r="119" customFormat="false" ht="15" hidden="false" customHeight="true" outlineLevel="0" collapsed="false">
      <c r="A119" s="12" t="s">
        <v>410</v>
      </c>
      <c r="B119" s="12" t="s">
        <v>411</v>
      </c>
      <c r="C119" s="12" t="n">
        <v>1</v>
      </c>
      <c r="D119" s="12" t="s">
        <v>412</v>
      </c>
      <c r="E119" s="13" t="n">
        <v>802.520676</v>
      </c>
      <c r="F119" s="13" t="n">
        <v>802.537386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</row>
    <row r="120" customFormat="false" ht="15" hidden="false" customHeight="true" outlineLevel="0" collapsed="false">
      <c r="A120" s="12" t="s">
        <v>413</v>
      </c>
      <c r="B120" s="12" t="s">
        <v>414</v>
      </c>
      <c r="C120" s="12" t="n">
        <v>1</v>
      </c>
      <c r="D120" s="12" t="s">
        <v>415</v>
      </c>
      <c r="E120" s="13" t="n">
        <v>3149.982864</v>
      </c>
      <c r="F120" s="13" t="n">
        <v>3841.358724</v>
      </c>
      <c r="G120" s="13" t="n">
        <v>3841.245666</v>
      </c>
      <c r="H120" s="13" t="n">
        <v>3841.160778</v>
      </c>
      <c r="I120" s="13" t="n">
        <v>3841.155619</v>
      </c>
      <c r="J120" s="13" t="n">
        <v>3841.264575</v>
      </c>
      <c r="K120" s="13" t="n">
        <v>3841.169028</v>
      </c>
      <c r="L120" s="13" t="n">
        <v>3841.220418</v>
      </c>
      <c r="M120" s="13" t="n">
        <v>3841.16688</v>
      </c>
      <c r="N120" s="13" t="n">
        <v>3841.21428</v>
      </c>
      <c r="O120" s="13" t="n">
        <v>3841.147438</v>
      </c>
      <c r="P120" s="13" t="n">
        <v>3841.130832</v>
      </c>
      <c r="Q120" s="13" t="n">
        <v>3841.115796</v>
      </c>
      <c r="R120" s="13" t="n">
        <v>4095.281451</v>
      </c>
      <c r="S120" s="13" t="n">
        <v>4095.4278</v>
      </c>
      <c r="T120" s="13" t="n">
        <v>4095.29344</v>
      </c>
      <c r="U120" s="13" t="n">
        <v>4095.383162</v>
      </c>
      <c r="V120" s="13" t="n">
        <v>4095.382044</v>
      </c>
      <c r="W120" s="13" t="n">
        <v>4095.274864</v>
      </c>
      <c r="X120" s="13" t="n">
        <v>4095.448594</v>
      </c>
      <c r="Y120" s="13" t="n">
        <v>4095.372948</v>
      </c>
      <c r="Z120" s="13" t="n">
        <v>4095.279056</v>
      </c>
      <c r="AA120" s="13" t="n">
        <v>4095.26994</v>
      </c>
      <c r="AB120" s="13" t="n">
        <v>4095.442606</v>
      </c>
      <c r="AC120" s="13" t="n">
        <v>11261.294</v>
      </c>
      <c r="AD120" s="13" t="n">
        <v>7165.7912</v>
      </c>
      <c r="AE120" s="13" t="n">
        <v>7165.83672</v>
      </c>
      <c r="AF120" s="13" t="n">
        <v>7165.8884</v>
      </c>
      <c r="AG120" s="13" t="n">
        <v>7165.92634</v>
      </c>
      <c r="AH120" s="13" t="n">
        <v>7165.91325</v>
      </c>
      <c r="AI120" s="13" t="n">
        <v>7165.79234</v>
      </c>
      <c r="AJ120" s="13" t="n">
        <v>7165.76355</v>
      </c>
      <c r="AK120" s="13" t="n">
        <v>7165.9239</v>
      </c>
      <c r="AL120" s="13" t="n">
        <v>7165.930167</v>
      </c>
      <c r="AM120" s="13" t="n">
        <v>7165.810145</v>
      </c>
      <c r="AN120" s="13" t="n">
        <v>7165.805551</v>
      </c>
      <c r="AO120" s="13" t="n">
        <v>4411.422376</v>
      </c>
      <c r="AP120" s="13" t="n">
        <v>4411.32384</v>
      </c>
      <c r="AQ120" s="13" t="n">
        <v>4411.300426</v>
      </c>
      <c r="AR120" s="13" t="n">
        <v>4411.437622</v>
      </c>
      <c r="AS120" s="13" t="n">
        <v>4411.377045</v>
      </c>
      <c r="AT120" s="13" t="n">
        <v>4411.453296</v>
      </c>
    </row>
    <row r="121" customFormat="false" ht="15" hidden="false" customHeight="true" outlineLevel="0" collapsed="false">
      <c r="A121" s="12" t="s">
        <v>416</v>
      </c>
      <c r="B121" s="12" t="s">
        <v>417</v>
      </c>
      <c r="C121" s="12" t="n">
        <v>1</v>
      </c>
      <c r="D121" s="12" t="s">
        <v>418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598.931505</v>
      </c>
      <c r="T121" s="13" t="n">
        <v>599.07456</v>
      </c>
      <c r="U121" s="13" t="n">
        <v>599.030749</v>
      </c>
      <c r="V121" s="13" t="n">
        <v>598.951236</v>
      </c>
      <c r="W121" s="13" t="n">
        <v>0</v>
      </c>
      <c r="X121" s="13" t="n">
        <v>0</v>
      </c>
      <c r="Y121" s="13" t="n">
        <v>599.087582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</v>
      </c>
      <c r="AK121" s="13" t="n">
        <v>0</v>
      </c>
      <c r="AL121" s="13" t="n">
        <v>0</v>
      </c>
      <c r="AM121" s="13" t="n">
        <v>0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</row>
    <row r="122" customFormat="false" ht="15" hidden="false" customHeight="true" outlineLevel="0" collapsed="false">
      <c r="A122" s="12" t="s">
        <v>419</v>
      </c>
      <c r="B122" s="12" t="s">
        <v>420</v>
      </c>
      <c r="C122" s="12" t="n">
        <v>1</v>
      </c>
      <c r="D122" s="12" t="s">
        <v>421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629.9673</v>
      </c>
      <c r="AL122" s="13" t="n">
        <v>689.942026</v>
      </c>
      <c r="AM122" s="13" t="n">
        <v>719.974525</v>
      </c>
      <c r="AN122" s="13" t="n">
        <v>704.94536</v>
      </c>
      <c r="AO122" s="13" t="n">
        <v>689.952804</v>
      </c>
      <c r="AP122" s="13" t="n">
        <v>705.08016</v>
      </c>
      <c r="AQ122" s="13" t="n">
        <v>719.946248</v>
      </c>
      <c r="AR122" s="13" t="n">
        <v>899.93538</v>
      </c>
      <c r="AS122" s="13" t="n">
        <v>914.990742</v>
      </c>
      <c r="AT122" s="13" t="n">
        <v>945.0864</v>
      </c>
    </row>
    <row r="123" customFormat="false" ht="15" hidden="false" customHeight="true" outlineLevel="0" collapsed="false">
      <c r="A123" s="12" t="s">
        <v>422</v>
      </c>
      <c r="B123" s="12" t="s">
        <v>423</v>
      </c>
      <c r="C123" s="12" t="n">
        <v>1</v>
      </c>
      <c r="D123" s="12" t="s">
        <v>424</v>
      </c>
      <c r="E123" s="13" t="n">
        <v>17292.038652</v>
      </c>
      <c r="F123" s="13" t="n">
        <v>17423.949732</v>
      </c>
      <c r="G123" s="13" t="n">
        <v>17863.910082</v>
      </c>
      <c r="H123" s="13" t="n">
        <v>17599.998816</v>
      </c>
      <c r="I123" s="13" t="n">
        <v>18172.008288</v>
      </c>
      <c r="J123" s="13" t="n">
        <v>17687.949935</v>
      </c>
      <c r="K123" s="13" t="n">
        <v>17336.076804</v>
      </c>
      <c r="L123" s="13" t="n">
        <v>17336.065103</v>
      </c>
      <c r="M123" s="13" t="n">
        <v>17600.06025</v>
      </c>
      <c r="N123" s="13" t="n">
        <v>18172.051206</v>
      </c>
      <c r="O123" s="13" t="n">
        <v>18259.991006</v>
      </c>
      <c r="P123" s="13" t="n">
        <v>18215.93361</v>
      </c>
      <c r="Q123" s="13" t="n">
        <v>19404.056088</v>
      </c>
      <c r="R123" s="13" t="n">
        <v>19958.449965</v>
      </c>
      <c r="S123" s="13" t="n">
        <v>19635.062145</v>
      </c>
      <c r="T123" s="13" t="n">
        <v>19172.93952</v>
      </c>
      <c r="U123" s="13" t="n">
        <v>14460.666711</v>
      </c>
      <c r="V123" s="13" t="n">
        <v>14321.953932</v>
      </c>
      <c r="W123" s="13" t="n">
        <v>14229.67856</v>
      </c>
      <c r="X123" s="13" t="n">
        <v>18849.612986</v>
      </c>
      <c r="Y123" s="13" t="n">
        <v>19265.302144</v>
      </c>
      <c r="Z123" s="13" t="n">
        <v>19496.326784</v>
      </c>
      <c r="AA123" s="13" t="n">
        <v>19865.91651</v>
      </c>
      <c r="AB123" s="13" t="n">
        <v>19496.403192</v>
      </c>
      <c r="AC123" s="13" t="n">
        <v>24748.9968</v>
      </c>
      <c r="AD123" s="13" t="n">
        <v>19597.1168</v>
      </c>
      <c r="AE123" s="13" t="n">
        <v>19356.29136</v>
      </c>
      <c r="AF123" s="13" t="n">
        <v>19067.3956</v>
      </c>
      <c r="AG123" s="13" t="n">
        <v>18874.79486</v>
      </c>
      <c r="AH123" s="13" t="n">
        <v>14396.7909</v>
      </c>
      <c r="AI123" s="13" t="n">
        <v>14348.68995</v>
      </c>
      <c r="AJ123" s="13" t="n">
        <v>14348.67498</v>
      </c>
      <c r="AK123" s="13" t="n">
        <v>14108.0388</v>
      </c>
      <c r="AL123" s="13" t="n">
        <v>12133.84428</v>
      </c>
      <c r="AM123" s="13" t="n">
        <v>10448.527113</v>
      </c>
      <c r="AN123" s="13" t="n">
        <v>10593.062865</v>
      </c>
      <c r="AO123" s="13" t="n">
        <v>11234.231526</v>
      </c>
      <c r="AP123" s="13" t="n">
        <v>11533.9104</v>
      </c>
      <c r="AQ123" s="13" t="n">
        <v>11384.05951</v>
      </c>
      <c r="AR123" s="13" t="n">
        <v>11633.726042</v>
      </c>
      <c r="AS123" s="13" t="n">
        <v>12133.061118</v>
      </c>
      <c r="AT123" s="13" t="n">
        <v>12632.304848</v>
      </c>
    </row>
    <row r="124" customFormat="false" ht="15" hidden="false" customHeight="true" outlineLevel="0" collapsed="false">
      <c r="A124" s="12" t="s">
        <v>425</v>
      </c>
      <c r="B124" s="12" t="s">
        <v>426</v>
      </c>
      <c r="C124" s="12" t="n">
        <v>1</v>
      </c>
      <c r="D124" s="12" t="s">
        <v>427</v>
      </c>
      <c r="E124" s="13" t="n">
        <v>2612.840544</v>
      </c>
      <c r="F124" s="13" t="n">
        <v>2612.985174</v>
      </c>
      <c r="G124" s="13" t="n">
        <v>1844.42057</v>
      </c>
      <c r="H124" s="13" t="n">
        <v>1690.767351</v>
      </c>
      <c r="I124" s="13" t="n">
        <v>1690.723538</v>
      </c>
      <c r="J124" s="13" t="n">
        <v>1537.019025</v>
      </c>
      <c r="K124" s="13" t="n">
        <v>1690.701804</v>
      </c>
      <c r="L124" s="13" t="n">
        <v>1690.686256</v>
      </c>
      <c r="M124" s="13" t="n">
        <v>1690.73388</v>
      </c>
      <c r="N124" s="13" t="n">
        <v>1229.51379</v>
      </c>
      <c r="O124" s="13" t="n">
        <v>1229.676534</v>
      </c>
      <c r="P124" s="13" t="n">
        <v>1229.622044</v>
      </c>
      <c r="Q124" s="13" t="n">
        <v>1229.665266</v>
      </c>
      <c r="R124" s="13" t="n">
        <v>1229.592999</v>
      </c>
      <c r="S124" s="13" t="n">
        <v>1229.62077</v>
      </c>
      <c r="T124" s="13" t="n">
        <v>1229.64352</v>
      </c>
      <c r="U124" s="13" t="n">
        <v>1229.598356</v>
      </c>
      <c r="V124" s="13" t="n">
        <v>1229.591064</v>
      </c>
      <c r="W124" s="13" t="n">
        <v>1229.651232</v>
      </c>
      <c r="X124" s="13" t="n">
        <v>1229.645898</v>
      </c>
      <c r="Y124" s="13" t="n">
        <v>1229.675004</v>
      </c>
      <c r="Z124" s="13" t="n">
        <v>1229.646176</v>
      </c>
      <c r="AA124" s="13" t="n">
        <v>1229.64225</v>
      </c>
      <c r="AB124" s="13" t="n">
        <v>1229.502904</v>
      </c>
      <c r="AC124" s="13" t="n">
        <v>1229.6328</v>
      </c>
      <c r="AD124" s="13" t="n">
        <v>1426.4244</v>
      </c>
      <c r="AE124" s="13" t="n">
        <v>1229.61888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</row>
    <row r="125" customFormat="false" ht="15" hidden="false" customHeight="true" outlineLevel="0" collapsed="false">
      <c r="A125" s="12" t="s">
        <v>428</v>
      </c>
      <c r="B125" s="12" t="s">
        <v>429</v>
      </c>
      <c r="C125" s="12" t="n">
        <v>1</v>
      </c>
      <c r="D125" s="12" t="s">
        <v>430</v>
      </c>
      <c r="E125" s="13" t="n">
        <v>0</v>
      </c>
      <c r="F125" s="13" t="n">
        <v>0</v>
      </c>
      <c r="G125" s="13" t="n">
        <v>0</v>
      </c>
      <c r="H125" s="13" t="n">
        <v>0</v>
      </c>
      <c r="I125" s="13" t="n">
        <v>0</v>
      </c>
      <c r="J125" s="13" t="n">
        <v>0</v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6440.043675</v>
      </c>
      <c r="T125" s="13" t="n">
        <v>6475.0784</v>
      </c>
      <c r="U125" s="13" t="n">
        <v>6475.059517</v>
      </c>
      <c r="V125" s="13" t="n">
        <v>6474.97422</v>
      </c>
      <c r="W125" s="13" t="n">
        <v>6650.016864</v>
      </c>
      <c r="X125" s="13" t="n">
        <v>6615.022982</v>
      </c>
      <c r="Y125" s="13" t="n">
        <v>6685.053544</v>
      </c>
      <c r="Z125" s="13" t="n">
        <v>6860.078544</v>
      </c>
      <c r="AA125" s="13" t="n">
        <v>6754.97082</v>
      </c>
      <c r="AB125" s="13" t="n">
        <v>6614.95226</v>
      </c>
      <c r="AC125" s="13" t="n">
        <v>6685.0168</v>
      </c>
      <c r="AD125" s="13" t="n">
        <v>6754.9859</v>
      </c>
      <c r="AE125" s="13" t="n">
        <v>7002.3366</v>
      </c>
      <c r="AF125" s="13" t="n">
        <v>7148.0706</v>
      </c>
      <c r="AG125" s="13" t="n">
        <v>7075.22574</v>
      </c>
      <c r="AH125" s="13" t="n">
        <v>7038.62835</v>
      </c>
      <c r="AI125" s="13" t="n">
        <v>7075.1908</v>
      </c>
      <c r="AJ125" s="13" t="n">
        <v>7075.17801</v>
      </c>
      <c r="AK125" s="13" t="n">
        <v>7075.11615</v>
      </c>
      <c r="AL125" s="13" t="n">
        <v>7075.128934</v>
      </c>
      <c r="AM125" s="13" t="n">
        <v>7184.520311</v>
      </c>
      <c r="AN125" s="13" t="n">
        <v>7439.871043</v>
      </c>
      <c r="AO125" s="13" t="n">
        <v>7111.5825</v>
      </c>
      <c r="AP125" s="13" t="n">
        <v>8994.51744</v>
      </c>
      <c r="AQ125" s="13" t="n">
        <v>8885.25211</v>
      </c>
      <c r="AR125" s="13" t="n">
        <v>8865.15291</v>
      </c>
      <c r="AS125" s="13" t="n">
        <v>8861.700915</v>
      </c>
      <c r="AT125" s="13" t="n">
        <v>8845.133624</v>
      </c>
    </row>
    <row r="126" customFormat="false" ht="15" hidden="false" customHeight="true" outlineLevel="0" collapsed="false">
      <c r="A126" s="12" t="s">
        <v>431</v>
      </c>
      <c r="B126" s="12" t="s">
        <v>432</v>
      </c>
      <c r="C126" s="12" t="n">
        <v>1</v>
      </c>
      <c r="D126" s="12" t="s">
        <v>433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209.96249</v>
      </c>
      <c r="AJ126" s="13" t="n">
        <v>700.08084</v>
      </c>
      <c r="AK126" s="13" t="n">
        <v>210.05025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</row>
    <row r="127" customFormat="false" ht="15" hidden="false" customHeight="true" outlineLevel="0" collapsed="false">
      <c r="A127" s="12" t="s">
        <v>434</v>
      </c>
      <c r="B127" s="12" t="s">
        <v>435</v>
      </c>
      <c r="C127" s="12" t="n">
        <v>1</v>
      </c>
      <c r="D127" s="12" t="s">
        <v>436</v>
      </c>
      <c r="E127" s="13" t="n">
        <v>14849.919216</v>
      </c>
      <c r="F127" s="13" t="n">
        <v>14849.97807</v>
      </c>
      <c r="G127" s="13" t="n">
        <v>14850.029129</v>
      </c>
      <c r="H127" s="13" t="n">
        <v>14849.999001</v>
      </c>
      <c r="I127" s="13" t="n">
        <v>14849.94686</v>
      </c>
      <c r="J127" s="13" t="n">
        <v>14849.981585</v>
      </c>
      <c r="K127" s="13" t="n">
        <v>14850.005856</v>
      </c>
      <c r="L127" s="13" t="n">
        <v>14849.939097</v>
      </c>
      <c r="M127" s="13" t="n">
        <v>14849.97372</v>
      </c>
      <c r="N127" s="13" t="n">
        <v>14849.92482</v>
      </c>
      <c r="O127" s="13" t="n">
        <v>14850.073542</v>
      </c>
      <c r="P127" s="13" t="n">
        <v>14850.037825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0</v>
      </c>
      <c r="X127" s="13" t="n">
        <v>0</v>
      </c>
      <c r="Y127" s="13" t="n">
        <v>0</v>
      </c>
      <c r="Z127" s="13" t="n">
        <v>0</v>
      </c>
      <c r="AA127" s="13" t="n">
        <v>0</v>
      </c>
      <c r="AB127" s="13" t="n">
        <v>0</v>
      </c>
      <c r="AC127" s="13" t="n">
        <v>0</v>
      </c>
      <c r="AD127" s="13" t="n">
        <v>0</v>
      </c>
      <c r="AE127" s="13" t="n">
        <v>0</v>
      </c>
      <c r="AF127" s="13" t="n">
        <v>0</v>
      </c>
      <c r="AG127" s="13" t="n">
        <v>0</v>
      </c>
      <c r="AH127" s="13" t="n">
        <v>0</v>
      </c>
      <c r="AI127" s="13" t="n">
        <v>0</v>
      </c>
      <c r="AJ127" s="13" t="n">
        <v>0</v>
      </c>
      <c r="AK127" s="13" t="n">
        <v>0</v>
      </c>
      <c r="AL127" s="13" t="n">
        <v>0</v>
      </c>
      <c r="AM127" s="13" t="n">
        <v>0</v>
      </c>
      <c r="AN127" s="13" t="n">
        <v>0</v>
      </c>
      <c r="AO127" s="13" t="n">
        <v>0</v>
      </c>
      <c r="AP127" s="13" t="n">
        <v>0</v>
      </c>
      <c r="AQ127" s="13" t="n">
        <v>0</v>
      </c>
      <c r="AR127" s="13" t="n">
        <v>0</v>
      </c>
      <c r="AS127" s="13" t="n">
        <v>0</v>
      </c>
      <c r="AT127" s="13" t="n">
        <v>0</v>
      </c>
    </row>
    <row r="128" customFormat="false" ht="15" hidden="false" customHeight="true" outlineLevel="0" collapsed="false">
      <c r="A128" s="12" t="s">
        <v>437</v>
      </c>
      <c r="B128" s="12" t="s">
        <v>438</v>
      </c>
      <c r="C128" s="12" t="n">
        <v>1</v>
      </c>
      <c r="D128" s="12" t="s">
        <v>439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13454.925227</v>
      </c>
      <c r="AO128" s="13" t="n">
        <v>13499.93861</v>
      </c>
      <c r="AP128" s="13" t="n">
        <v>13500.05904</v>
      </c>
      <c r="AQ128" s="13" t="n">
        <v>13500.078588</v>
      </c>
      <c r="AR128" s="13" t="n">
        <v>15075.057884</v>
      </c>
      <c r="AS128" s="13" t="n">
        <v>14130.081207</v>
      </c>
      <c r="AT128" s="13" t="n">
        <v>14849.932584</v>
      </c>
    </row>
    <row r="129" customFormat="false" ht="15" hidden="false" customHeight="true" outlineLevel="0" collapsed="false">
      <c r="A129" s="12" t="s">
        <v>440</v>
      </c>
      <c r="B129" s="12" t="s">
        <v>441</v>
      </c>
      <c r="C129" s="12" t="n">
        <v>1</v>
      </c>
      <c r="D129" s="12" t="s">
        <v>442</v>
      </c>
      <c r="E129" s="13" t="n">
        <v>0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12239.91552</v>
      </c>
      <c r="U129" s="13" t="n">
        <v>13175.96363</v>
      </c>
      <c r="V129" s="13" t="n">
        <v>13680.075708</v>
      </c>
      <c r="W129" s="13" t="n">
        <v>12384.076688</v>
      </c>
      <c r="X129" s="13" t="n">
        <v>12799.937602</v>
      </c>
      <c r="Y129" s="13" t="n">
        <v>14040.06931</v>
      </c>
      <c r="Z129" s="13" t="n">
        <v>14472.097552</v>
      </c>
      <c r="AA129" s="13" t="n">
        <v>13967.9196</v>
      </c>
      <c r="AB129" s="13" t="n">
        <v>13679.939816</v>
      </c>
      <c r="AC129" s="13" t="n">
        <v>14392.8664</v>
      </c>
      <c r="AD129" s="13" t="n">
        <v>14391.3247</v>
      </c>
      <c r="AE129" s="13" t="n">
        <v>14763.79548</v>
      </c>
      <c r="AF129" s="13" t="n">
        <v>13725.1884</v>
      </c>
      <c r="AG129" s="13" t="n">
        <v>13782.82458</v>
      </c>
      <c r="AH129" s="13" t="n">
        <v>14699.7063</v>
      </c>
      <c r="AI129" s="13" t="n">
        <v>14945.4947</v>
      </c>
      <c r="AJ129" s="13" t="n">
        <v>15289.38531</v>
      </c>
      <c r="AK129" s="13" t="n">
        <v>15343.57455</v>
      </c>
      <c r="AL129" s="13" t="n">
        <v>15010.198957</v>
      </c>
      <c r="AM129" s="13" t="n">
        <v>15354.075832</v>
      </c>
      <c r="AN129" s="13" t="n">
        <v>15408.271273</v>
      </c>
      <c r="AO129" s="13" t="n">
        <v>14910.18697</v>
      </c>
      <c r="AP129" s="13" t="n">
        <v>16152.30624</v>
      </c>
      <c r="AQ129" s="13" t="n">
        <v>16031.298055</v>
      </c>
      <c r="AR129" s="13" t="n">
        <v>16197.608858</v>
      </c>
      <c r="AS129" s="13" t="n">
        <v>16329.451689</v>
      </c>
      <c r="AT129" s="13" t="n">
        <v>14588.808712</v>
      </c>
    </row>
    <row r="130" customFormat="false" ht="15" hidden="false" customHeight="true" outlineLevel="0" collapsed="false">
      <c r="A130" s="12" t="s">
        <v>443</v>
      </c>
      <c r="B130" s="12" t="s">
        <v>444</v>
      </c>
      <c r="C130" s="12" t="n">
        <v>1</v>
      </c>
      <c r="D130" s="12" t="s">
        <v>445</v>
      </c>
      <c r="E130" s="13" t="n">
        <v>0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16249.977545</v>
      </c>
      <c r="K130" s="13" t="n">
        <v>16249.995732</v>
      </c>
      <c r="L130" s="13" t="n">
        <v>16250.080518</v>
      </c>
      <c r="M130" s="13" t="n">
        <v>16250.046615</v>
      </c>
      <c r="N130" s="13" t="n">
        <v>16249.998642</v>
      </c>
      <c r="O130" s="13" t="n">
        <v>16249.936207</v>
      </c>
      <c r="P130" s="13" t="n">
        <v>16250.02715</v>
      </c>
      <c r="Q130" s="13" t="n">
        <v>16250.055678</v>
      </c>
      <c r="R130" s="13" t="n">
        <v>16250.012523</v>
      </c>
      <c r="S130" s="13" t="n">
        <v>16250.04882</v>
      </c>
      <c r="T130" s="13" t="n">
        <v>16249.91872</v>
      </c>
      <c r="U130" s="13" t="n">
        <v>16249.95952</v>
      </c>
      <c r="V130" s="13" t="n">
        <v>16249.983672</v>
      </c>
      <c r="W130" s="13" t="n">
        <v>16250.03416</v>
      </c>
      <c r="X130" s="13" t="n">
        <v>16249.926206</v>
      </c>
      <c r="Y130" s="13" t="n">
        <v>16249.97996</v>
      </c>
      <c r="Z130" s="13" t="n">
        <v>16250.012768</v>
      </c>
      <c r="AA130" s="13" t="n">
        <v>16250.05398</v>
      </c>
      <c r="AB130" s="13" t="n">
        <v>16250.03797</v>
      </c>
      <c r="AC130" s="13" t="n">
        <v>16249.9304</v>
      </c>
      <c r="AD130" s="13" t="n">
        <v>16249.9056</v>
      </c>
      <c r="AE130" s="13" t="n">
        <v>16249.9932</v>
      </c>
      <c r="AF130" s="13" t="n">
        <v>16250.0294</v>
      </c>
      <c r="AG130" s="13" t="n">
        <v>16250.07388</v>
      </c>
      <c r="AH130" s="13" t="n">
        <v>0</v>
      </c>
      <c r="AI130" s="13" t="n">
        <v>16250.0065</v>
      </c>
      <c r="AJ130" s="13" t="n">
        <v>16250.03937</v>
      </c>
      <c r="AK130" s="13" t="n">
        <v>16250.001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</v>
      </c>
      <c r="AR130" s="13" t="n">
        <v>0</v>
      </c>
      <c r="AS130" s="13" t="n">
        <v>0</v>
      </c>
      <c r="AT130" s="13" t="n">
        <v>0</v>
      </c>
    </row>
    <row r="131" customFormat="false" ht="15" hidden="false" customHeight="true" outlineLevel="0" collapsed="false">
      <c r="A131" s="12" t="s">
        <v>446</v>
      </c>
      <c r="B131" s="12" t="s">
        <v>447</v>
      </c>
      <c r="C131" s="12" t="n">
        <v>1</v>
      </c>
      <c r="D131" s="12" t="s">
        <v>448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749.976696</v>
      </c>
      <c r="L131" s="13" t="n">
        <v>750.057819</v>
      </c>
      <c r="M131" s="13" t="n">
        <v>750.007575</v>
      </c>
      <c r="N131" s="13" t="n">
        <v>749.994378</v>
      </c>
      <c r="O131" s="13" t="n">
        <v>749.920282</v>
      </c>
      <c r="P131" s="13" t="n">
        <v>749.988239</v>
      </c>
      <c r="Q131" s="13" t="n">
        <v>787.555791</v>
      </c>
      <c r="R131" s="13" t="n">
        <v>787.534401</v>
      </c>
      <c r="S131" s="13" t="n">
        <v>787.493205</v>
      </c>
      <c r="T131" s="13" t="n">
        <v>787.53024</v>
      </c>
      <c r="U131" s="13" t="n">
        <v>787.573685</v>
      </c>
      <c r="V131" s="13" t="n">
        <v>787.424664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</row>
    <row r="132" customFormat="false" ht="15" hidden="false" customHeight="true" outlineLevel="0" collapsed="false">
      <c r="A132" s="12" t="s">
        <v>449</v>
      </c>
      <c r="B132" s="12" t="s">
        <v>450</v>
      </c>
      <c r="C132" s="12" t="n">
        <v>1</v>
      </c>
      <c r="D132" s="12" t="s">
        <v>451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5489.95667</v>
      </c>
      <c r="AS132" s="13" t="n">
        <v>3842.926497</v>
      </c>
      <c r="AT132" s="13" t="n">
        <v>5123.943432</v>
      </c>
    </row>
    <row r="133" customFormat="false" ht="15" hidden="false" customHeight="true" outlineLevel="0" collapsed="false">
      <c r="A133" s="12" t="s">
        <v>452</v>
      </c>
      <c r="B133" s="12" t="s">
        <v>453</v>
      </c>
      <c r="C133" s="12" t="n">
        <v>1</v>
      </c>
      <c r="D133" s="12" t="s">
        <v>454</v>
      </c>
      <c r="E133" s="13" t="n">
        <v>0</v>
      </c>
      <c r="F133" s="13" t="n">
        <v>0</v>
      </c>
      <c r="G133" s="13" t="n">
        <v>0</v>
      </c>
      <c r="H133" s="13" t="n">
        <v>0</v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0</v>
      </c>
      <c r="X133" s="13" t="n">
        <v>0</v>
      </c>
      <c r="Y133" s="13" t="n">
        <v>0</v>
      </c>
      <c r="Z133" s="13" t="n">
        <v>25039.95824</v>
      </c>
      <c r="AA133" s="13" t="n">
        <v>23559.94551</v>
      </c>
      <c r="AB133" s="13" t="n">
        <v>22479.910568</v>
      </c>
      <c r="AC133" s="13" t="n">
        <v>21240.0144</v>
      </c>
      <c r="AD133" s="13" t="n">
        <v>21440.0949</v>
      </c>
      <c r="AE133" s="13" t="n">
        <v>22000.0536</v>
      </c>
      <c r="AF133" s="13" t="n">
        <v>19479.9462</v>
      </c>
      <c r="AG133" s="13" t="n">
        <v>10956.05354</v>
      </c>
      <c r="AH133" s="13" t="n">
        <v>19382.0532</v>
      </c>
      <c r="AI133" s="13" t="n">
        <v>18696.06011</v>
      </c>
      <c r="AJ133" s="13" t="n">
        <v>18606.00897</v>
      </c>
      <c r="AK133" s="13" t="n">
        <v>19003.9524</v>
      </c>
      <c r="AL133" s="13" t="n">
        <v>18458.067277</v>
      </c>
      <c r="AM133" s="13" t="n">
        <v>17664.047601</v>
      </c>
      <c r="AN133" s="13" t="n">
        <v>17329.966711</v>
      </c>
      <c r="AO133" s="13" t="n">
        <v>17223.994212</v>
      </c>
      <c r="AP133" s="13" t="n">
        <v>15141.96744</v>
      </c>
      <c r="AQ133" s="13" t="n">
        <v>14040.038274</v>
      </c>
      <c r="AR133" s="13" t="n">
        <v>14861.915294</v>
      </c>
      <c r="AS133" s="13" t="n">
        <v>15427.962513</v>
      </c>
      <c r="AT133" s="13" t="n">
        <v>15705.93584</v>
      </c>
    </row>
    <row r="134" customFormat="false" ht="15" hidden="false" customHeight="true" outlineLevel="0" collapsed="false">
      <c r="A134" s="12" t="s">
        <v>455</v>
      </c>
      <c r="B134" s="12" t="s">
        <v>456</v>
      </c>
      <c r="C134" s="12" t="n">
        <v>1</v>
      </c>
      <c r="D134" s="12" t="s">
        <v>457</v>
      </c>
      <c r="E134" s="13" t="n">
        <v>0</v>
      </c>
      <c r="F134" s="13" t="n">
        <v>0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1376.945865</v>
      </c>
      <c r="S134" s="13" t="n">
        <v>1295.948175</v>
      </c>
      <c r="T134" s="13" t="n">
        <v>1296.03712</v>
      </c>
      <c r="U134" s="13" t="n">
        <v>1241.975725</v>
      </c>
      <c r="V134" s="13" t="n">
        <v>1241.934876</v>
      </c>
      <c r="W134" s="13" t="n">
        <v>1269.027072</v>
      </c>
      <c r="X134" s="13" t="n">
        <v>1079.930908</v>
      </c>
      <c r="Y134" s="13" t="n">
        <v>1053.079026</v>
      </c>
      <c r="Z134" s="13" t="n">
        <v>1025.974752</v>
      </c>
      <c r="AA134" s="13" t="n">
        <v>999.02055</v>
      </c>
      <c r="AB134" s="13" t="n">
        <v>999.021698</v>
      </c>
      <c r="AC134" s="13" t="n">
        <v>1041.238</v>
      </c>
      <c r="AD134" s="13" t="n">
        <v>1041.2816</v>
      </c>
      <c r="AE134" s="13" t="n">
        <v>1041.21612</v>
      </c>
      <c r="AF134" s="13" t="n">
        <v>1041.2644</v>
      </c>
      <c r="AG134" s="13" t="n">
        <v>1097.47726</v>
      </c>
      <c r="AH134" s="13" t="n">
        <v>0</v>
      </c>
      <c r="AI134" s="13" t="n">
        <v>0</v>
      </c>
      <c r="AJ134" s="13" t="n">
        <v>0</v>
      </c>
      <c r="AK134" s="13" t="n">
        <v>0</v>
      </c>
      <c r="AL134" s="13" t="n">
        <v>0</v>
      </c>
      <c r="AM134" s="13" t="n">
        <v>0</v>
      </c>
      <c r="AN134" s="13" t="n">
        <v>0</v>
      </c>
      <c r="AO134" s="13" t="n">
        <v>0</v>
      </c>
      <c r="AP134" s="13" t="n">
        <v>0</v>
      </c>
      <c r="AQ134" s="13" t="n">
        <v>0</v>
      </c>
      <c r="AR134" s="13" t="n">
        <v>0</v>
      </c>
      <c r="AS134" s="13" t="n">
        <v>0</v>
      </c>
      <c r="AT134" s="13" t="n">
        <v>0</v>
      </c>
    </row>
    <row r="135" customFormat="false" ht="15" hidden="false" customHeight="true" outlineLevel="0" collapsed="false">
      <c r="A135" s="12" t="s">
        <v>458</v>
      </c>
      <c r="B135" s="12" t="s">
        <v>459</v>
      </c>
      <c r="C135" s="12" t="n">
        <v>1</v>
      </c>
      <c r="D135" s="12" t="s">
        <v>460</v>
      </c>
      <c r="E135" s="13" t="n">
        <v>0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  <c r="N135" s="13" t="n">
        <v>2599.95642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0</v>
      </c>
      <c r="AI135" s="13" t="n">
        <v>0</v>
      </c>
      <c r="AJ135" s="13" t="n">
        <v>0</v>
      </c>
      <c r="AK135" s="13" t="n">
        <v>0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</row>
    <row r="136" customFormat="false" ht="15" hidden="false" customHeight="true" outlineLevel="0" collapsed="false">
      <c r="A136" s="12" t="s">
        <v>461</v>
      </c>
      <c r="B136" s="12" t="s">
        <v>462</v>
      </c>
      <c r="C136" s="12" t="n">
        <v>1</v>
      </c>
      <c r="D136" s="12" t="s">
        <v>463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720.080442</v>
      </c>
      <c r="R136" s="13" t="n">
        <v>600.00993</v>
      </c>
      <c r="S136" s="13" t="n">
        <v>569.98563</v>
      </c>
      <c r="T136" s="13" t="n">
        <v>360.0576</v>
      </c>
      <c r="U136" s="13" t="n">
        <v>449.993662</v>
      </c>
      <c r="V136" s="13" t="n">
        <v>539.995716</v>
      </c>
      <c r="W136" s="13" t="n">
        <v>540.01152</v>
      </c>
      <c r="X136" s="13" t="n">
        <v>390.052166</v>
      </c>
      <c r="Y136" s="13" t="n">
        <v>450.053964</v>
      </c>
      <c r="Z136" s="13" t="n">
        <v>419.97208</v>
      </c>
      <c r="AA136" s="13" t="n">
        <v>480.01968</v>
      </c>
      <c r="AB136" s="13" t="n">
        <v>420.086904</v>
      </c>
      <c r="AC136" s="13" t="n">
        <v>500.2492</v>
      </c>
      <c r="AD136" s="13" t="n">
        <v>437.6996</v>
      </c>
      <c r="AE136" s="13" t="n">
        <v>312.50772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</row>
    <row r="137" customFormat="false" ht="15" hidden="false" customHeight="true" outlineLevel="0" collapsed="false">
      <c r="A137" s="12" t="s">
        <v>464</v>
      </c>
      <c r="B137" s="12" t="s">
        <v>465</v>
      </c>
      <c r="C137" s="12" t="n">
        <v>1</v>
      </c>
      <c r="D137" s="12" t="s">
        <v>466</v>
      </c>
      <c r="E137" s="13" t="n">
        <v>1091.375532</v>
      </c>
      <c r="F137" s="13" t="n">
        <v>1027.233132</v>
      </c>
      <c r="G137" s="13" t="n">
        <v>1027.192025</v>
      </c>
      <c r="H137" s="13" t="n">
        <v>1027.123578</v>
      </c>
      <c r="I137" s="13" t="n">
        <v>1476.687765</v>
      </c>
      <c r="J137" s="13" t="n">
        <v>1027.245325</v>
      </c>
      <c r="K137" s="13" t="n">
        <v>1027.17102</v>
      </c>
      <c r="L137" s="13" t="n">
        <v>963.068211</v>
      </c>
      <c r="M137" s="13" t="n">
        <v>1027.27242</v>
      </c>
      <c r="N137" s="13" t="n">
        <v>1091.475798</v>
      </c>
      <c r="O137" s="13" t="n">
        <v>1091.325018</v>
      </c>
      <c r="P137" s="13" t="n">
        <v>1155.51989</v>
      </c>
      <c r="Q137" s="13" t="n">
        <v>1155.665583</v>
      </c>
      <c r="R137" s="13" t="n">
        <v>1219.849248</v>
      </c>
      <c r="S137" s="13" t="n">
        <v>1155.51933</v>
      </c>
      <c r="T137" s="13" t="n">
        <v>1155.58912</v>
      </c>
      <c r="U137" s="13" t="n">
        <v>1476.637077</v>
      </c>
      <c r="V137" s="13" t="n">
        <v>1605.064032</v>
      </c>
      <c r="W137" s="13" t="n">
        <v>1540.720368</v>
      </c>
      <c r="X137" s="13" t="n">
        <v>1861.819922</v>
      </c>
      <c r="Y137" s="13" t="n">
        <v>2375.481684</v>
      </c>
      <c r="Z137" s="13" t="n">
        <v>2054.355072</v>
      </c>
      <c r="AA137" s="13" t="n">
        <v>1925.99733</v>
      </c>
      <c r="AB137" s="13" t="n">
        <v>1797.510582</v>
      </c>
      <c r="AC137" s="13" t="n">
        <v>1672.5984</v>
      </c>
      <c r="AD137" s="13" t="n">
        <v>1137.362</v>
      </c>
      <c r="AE137" s="13" t="n">
        <v>1137.35664</v>
      </c>
      <c r="AF137" s="13" t="n">
        <v>1137.2064</v>
      </c>
      <c r="AG137" s="13" t="n">
        <v>1070.46006</v>
      </c>
      <c r="AH137" s="13" t="n">
        <v>936.50715</v>
      </c>
      <c r="AI137" s="13" t="n">
        <v>0</v>
      </c>
      <c r="AJ137" s="13" t="n">
        <v>0</v>
      </c>
      <c r="AK137" s="13" t="n">
        <v>0</v>
      </c>
      <c r="AL137" s="13" t="n">
        <v>0</v>
      </c>
      <c r="AM137" s="13" t="n">
        <v>0</v>
      </c>
      <c r="AN137" s="13" t="n">
        <v>0</v>
      </c>
      <c r="AO137" s="13" t="n">
        <v>0</v>
      </c>
      <c r="AP137" s="13" t="n">
        <v>0</v>
      </c>
      <c r="AQ137" s="13" t="n">
        <v>0</v>
      </c>
      <c r="AR137" s="13" t="n">
        <v>0</v>
      </c>
      <c r="AS137" s="13" t="n">
        <v>0</v>
      </c>
      <c r="AT137" s="13" t="n">
        <v>0</v>
      </c>
    </row>
    <row r="138" customFormat="false" ht="15" hidden="false" customHeight="true" outlineLevel="0" collapsed="false">
      <c r="A138" s="12" t="s">
        <v>467</v>
      </c>
      <c r="B138" s="12" t="s">
        <v>468</v>
      </c>
      <c r="C138" s="12" t="n">
        <v>1</v>
      </c>
      <c r="D138" s="12" t="s">
        <v>469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566.91752</v>
      </c>
      <c r="AJ138" s="13" t="n">
        <v>566.99838</v>
      </c>
      <c r="AK138" s="13" t="n">
        <v>567.04395</v>
      </c>
      <c r="AL138" s="13" t="n">
        <v>566.909118</v>
      </c>
      <c r="AM138" s="13" t="n">
        <v>566.991403</v>
      </c>
      <c r="AN138" s="13" t="n">
        <v>567.013449</v>
      </c>
      <c r="AO138" s="13" t="n">
        <v>567.030178</v>
      </c>
      <c r="AP138" s="13" t="n">
        <v>567.03216</v>
      </c>
      <c r="AQ138" s="13" t="n">
        <v>566.939563</v>
      </c>
      <c r="AR138" s="13" t="n">
        <v>566.976832</v>
      </c>
      <c r="AS138" s="13" t="n">
        <v>567.065772</v>
      </c>
      <c r="AT138" s="13" t="n">
        <v>567.05184</v>
      </c>
    </row>
    <row r="139" customFormat="false" ht="15" hidden="false" customHeight="true" outlineLevel="0" collapsed="false">
      <c r="A139" s="12" t="s">
        <v>470</v>
      </c>
      <c r="B139" s="12" t="s">
        <v>471</v>
      </c>
      <c r="C139" s="12" t="n">
        <v>1</v>
      </c>
      <c r="D139" s="12" t="s">
        <v>472</v>
      </c>
      <c r="E139" s="13" t="n">
        <v>0</v>
      </c>
      <c r="F139" s="13" t="n">
        <v>0</v>
      </c>
      <c r="G139" s="13" t="n">
        <v>0</v>
      </c>
      <c r="H139" s="13" t="n">
        <v>0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1012.570516</v>
      </c>
      <c r="V139" s="13" t="n">
        <v>1012.561056</v>
      </c>
      <c r="W139" s="13" t="n">
        <v>1012.5216</v>
      </c>
      <c r="X139" s="13" t="n">
        <v>1012.509588</v>
      </c>
      <c r="Y139" s="13" t="n">
        <v>1012.522982</v>
      </c>
      <c r="Z139" s="13" t="n">
        <v>1012.543664</v>
      </c>
      <c r="AA139" s="13" t="n">
        <v>1012.49049</v>
      </c>
      <c r="AB139" s="13" t="n">
        <v>1012.579416</v>
      </c>
      <c r="AC139" s="13" t="n">
        <v>1012.4928</v>
      </c>
      <c r="AD139" s="13" t="n">
        <v>1012.5396</v>
      </c>
      <c r="AE139" s="13" t="n">
        <v>1012.4352</v>
      </c>
      <c r="AF139" s="13" t="n">
        <v>1012.4818</v>
      </c>
      <c r="AG139" s="13" t="n">
        <v>1469.5427</v>
      </c>
      <c r="AH139" s="13" t="n">
        <v>1469.6307</v>
      </c>
      <c r="AI139" s="13" t="n">
        <v>1469.54946</v>
      </c>
      <c r="AJ139" s="13" t="n">
        <v>1469.49876</v>
      </c>
      <c r="AK139" s="13" t="n">
        <v>1469.61795</v>
      </c>
      <c r="AL139" s="13" t="n">
        <v>1469.580199</v>
      </c>
      <c r="AM139" s="13" t="n">
        <v>1469.481763</v>
      </c>
      <c r="AN139" s="13" t="n">
        <v>1469.595276</v>
      </c>
      <c r="AO139" s="13" t="n">
        <v>1469.554648</v>
      </c>
      <c r="AP139" s="13" t="n">
        <v>1469.52096</v>
      </c>
      <c r="AQ139" s="13" t="n">
        <v>1469.588468</v>
      </c>
      <c r="AR139" s="13" t="n">
        <v>1469.543602</v>
      </c>
      <c r="AS139" s="13" t="n">
        <v>1469.59353</v>
      </c>
      <c r="AT139" s="13" t="n">
        <v>1469.609352</v>
      </c>
    </row>
    <row r="140" customFormat="false" ht="15" hidden="false" customHeight="true" outlineLevel="0" collapsed="false">
      <c r="A140" s="12" t="s">
        <v>473</v>
      </c>
      <c r="B140" s="12" t="s">
        <v>474</v>
      </c>
      <c r="C140" s="12" t="n">
        <v>1</v>
      </c>
      <c r="D140" s="12" t="s">
        <v>475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3499.931292</v>
      </c>
      <c r="W140" s="13" t="n">
        <v>1050.0224</v>
      </c>
      <c r="X140" s="13" t="n">
        <v>3429.960506</v>
      </c>
      <c r="Y140" s="13" t="n">
        <v>4094.9792</v>
      </c>
      <c r="Z140" s="13" t="n">
        <v>7664.941504</v>
      </c>
      <c r="AA140" s="13" t="n">
        <v>21624.15186</v>
      </c>
      <c r="AB140" s="13" t="n">
        <v>12034.194734</v>
      </c>
      <c r="AC140" s="13" t="n">
        <v>0</v>
      </c>
      <c r="AD140" s="13" t="n">
        <v>12034.0701</v>
      </c>
      <c r="AE140" s="13" t="n">
        <v>8460.97812</v>
      </c>
      <c r="AF140" s="13" t="n">
        <v>7731.5546</v>
      </c>
      <c r="AG140" s="13" t="n">
        <v>7294.06506</v>
      </c>
      <c r="AH140" s="13" t="n">
        <v>9846.82785</v>
      </c>
      <c r="AI140" s="13" t="n">
        <v>10102.25968</v>
      </c>
      <c r="AJ140" s="13" t="n">
        <v>8315.23068</v>
      </c>
      <c r="AK140" s="13" t="n">
        <v>7658.6706</v>
      </c>
      <c r="AL140" s="13" t="n">
        <v>11415.170018</v>
      </c>
      <c r="AM140" s="13" t="n">
        <v>10722.209149</v>
      </c>
      <c r="AN140" s="13" t="n">
        <v>9008.014803</v>
      </c>
      <c r="AO140" s="13" t="n">
        <v>5142.234454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</row>
    <row r="141" customFormat="false" ht="15" hidden="false" customHeight="true" outlineLevel="0" collapsed="false">
      <c r="A141" s="12" t="s">
        <v>476</v>
      </c>
      <c r="B141" s="12" t="s">
        <v>477</v>
      </c>
      <c r="C141" s="12" t="n">
        <v>1</v>
      </c>
      <c r="D141" s="12" t="s">
        <v>478</v>
      </c>
      <c r="E141" s="13" t="n">
        <v>0</v>
      </c>
      <c r="F141" s="13" t="n">
        <v>0</v>
      </c>
      <c r="G141" s="13" t="n">
        <v>0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0</v>
      </c>
      <c r="X141" s="13" t="n">
        <v>0</v>
      </c>
      <c r="Y141" s="13" t="n">
        <v>0</v>
      </c>
      <c r="Z141" s="13" t="n">
        <v>0</v>
      </c>
      <c r="AA141" s="13" t="n">
        <v>0</v>
      </c>
      <c r="AB141" s="13" t="n">
        <v>0</v>
      </c>
      <c r="AC141" s="13" t="n">
        <v>0</v>
      </c>
      <c r="AD141" s="13" t="n">
        <v>0</v>
      </c>
      <c r="AE141" s="13" t="n">
        <v>0</v>
      </c>
      <c r="AF141" s="13" t="n">
        <v>0</v>
      </c>
      <c r="AG141" s="13" t="n">
        <v>0</v>
      </c>
      <c r="AH141" s="13" t="n">
        <v>0</v>
      </c>
      <c r="AI141" s="13" t="n">
        <v>0</v>
      </c>
      <c r="AJ141" s="13" t="n">
        <v>0</v>
      </c>
      <c r="AK141" s="13" t="n">
        <v>0</v>
      </c>
      <c r="AL141" s="13" t="n">
        <v>4049.956009</v>
      </c>
      <c r="AM141" s="13" t="n">
        <v>4800.074744</v>
      </c>
      <c r="AN141" s="13" t="n">
        <v>3950.031845</v>
      </c>
      <c r="AO141" s="13" t="n">
        <v>3850.081464</v>
      </c>
      <c r="AP141" s="13" t="n">
        <v>3150.0828</v>
      </c>
      <c r="AQ141" s="13" t="n">
        <v>3250.079277</v>
      </c>
      <c r="AR141" s="13" t="n">
        <v>3499.924126</v>
      </c>
      <c r="AS141" s="13" t="n">
        <v>4850.004843</v>
      </c>
      <c r="AT141" s="13" t="n">
        <v>4949.977528</v>
      </c>
    </row>
    <row r="142" customFormat="false" ht="15" hidden="false" customHeight="true" outlineLevel="0" collapsed="false">
      <c r="A142" s="12" t="s">
        <v>479</v>
      </c>
      <c r="B142" s="12" t="s">
        <v>480</v>
      </c>
      <c r="C142" s="12" t="n">
        <v>1</v>
      </c>
      <c r="D142" s="12" t="s">
        <v>481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9099.97374</v>
      </c>
      <c r="K142" s="13" t="n">
        <v>9100.017636</v>
      </c>
      <c r="L142" s="13" t="n">
        <v>9099.998201</v>
      </c>
      <c r="M142" s="13" t="n">
        <v>9100.033155</v>
      </c>
      <c r="N142" s="13" t="n">
        <v>9100.028148</v>
      </c>
      <c r="O142" s="13" t="n">
        <v>9100.053757</v>
      </c>
      <c r="P142" s="13" t="n">
        <v>9100.015204</v>
      </c>
      <c r="Q142" s="13" t="n">
        <v>9100.072386</v>
      </c>
      <c r="R142" s="13" t="n">
        <v>9099.979662</v>
      </c>
      <c r="S142" s="13" t="n">
        <v>9099.92148</v>
      </c>
      <c r="T142" s="13" t="n">
        <v>9100.00896</v>
      </c>
      <c r="U142" s="13" t="n">
        <v>9100.079063</v>
      </c>
      <c r="V142" s="13" t="n">
        <v>10289.949072</v>
      </c>
      <c r="W142" s="13" t="n">
        <v>10290.032016</v>
      </c>
      <c r="X142" s="13" t="n">
        <v>10290.079816</v>
      </c>
      <c r="Y142" s="13" t="n">
        <v>10290.013358</v>
      </c>
      <c r="Z142" s="13" t="n">
        <v>10290.017584</v>
      </c>
      <c r="AA142" s="13" t="n">
        <v>10290.01371</v>
      </c>
      <c r="AB142" s="13" t="n">
        <v>10289.903254</v>
      </c>
      <c r="AC142" s="13" t="n">
        <v>10289.9544</v>
      </c>
      <c r="AD142" s="13" t="n">
        <v>10290.0466</v>
      </c>
      <c r="AE142" s="13" t="n">
        <v>10290.09744</v>
      </c>
      <c r="AF142" s="13" t="n">
        <v>10290.0732</v>
      </c>
      <c r="AG142" s="13" t="n">
        <v>10290.07956</v>
      </c>
      <c r="AH142" s="13" t="n">
        <v>11375.1909</v>
      </c>
      <c r="AI142" s="13" t="n">
        <v>11375.19252</v>
      </c>
      <c r="AJ142" s="13" t="n">
        <v>11375.00892</v>
      </c>
      <c r="AK142" s="13" t="n">
        <v>11375.18415</v>
      </c>
      <c r="AL142" s="13" t="n">
        <v>11375.01856</v>
      </c>
      <c r="AM142" s="13" t="n">
        <v>11375.047196</v>
      </c>
      <c r="AN142" s="13" t="n">
        <v>11375.156582</v>
      </c>
      <c r="AO142" s="13" t="n">
        <v>11375.08396</v>
      </c>
      <c r="AP142" s="13" t="n">
        <v>11375.1552</v>
      </c>
      <c r="AQ142" s="13" t="n">
        <v>11375.186933</v>
      </c>
      <c r="AR142" s="13" t="n">
        <v>11375.148118</v>
      </c>
      <c r="AS142" s="13" t="n">
        <v>11375.069355</v>
      </c>
      <c r="AT142" s="13" t="n">
        <v>12638.955456</v>
      </c>
    </row>
    <row r="143" customFormat="false" ht="15" hidden="false" customHeight="true" outlineLevel="0" collapsed="false">
      <c r="A143" s="12" t="s">
        <v>482</v>
      </c>
      <c r="B143" s="12" t="s">
        <v>483</v>
      </c>
      <c r="C143" s="12" t="n">
        <v>1</v>
      </c>
      <c r="D143" s="12" t="s">
        <v>484</v>
      </c>
      <c r="E143" s="13" t="n">
        <v>93086.576244</v>
      </c>
      <c r="F143" s="13" t="n">
        <v>94327.12695</v>
      </c>
      <c r="G143" s="13" t="n">
        <v>95447.768981</v>
      </c>
      <c r="H143" s="13" t="n">
        <v>0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0</v>
      </c>
      <c r="X143" s="13" t="n">
        <v>0</v>
      </c>
      <c r="Y143" s="13" t="n">
        <v>0</v>
      </c>
      <c r="Z143" s="13" t="n">
        <v>0</v>
      </c>
      <c r="AA143" s="13" t="n">
        <v>0</v>
      </c>
      <c r="AB143" s="13" t="n">
        <v>0</v>
      </c>
      <c r="AC143" s="13" t="n">
        <v>0</v>
      </c>
      <c r="AD143" s="13" t="n">
        <v>0</v>
      </c>
      <c r="AE143" s="13" t="n">
        <v>0</v>
      </c>
      <c r="AF143" s="13" t="n">
        <v>0</v>
      </c>
      <c r="AG143" s="13" t="n">
        <v>0</v>
      </c>
      <c r="AH143" s="13" t="n">
        <v>0</v>
      </c>
      <c r="AI143" s="13" t="n">
        <v>0</v>
      </c>
      <c r="AJ143" s="13" t="n">
        <v>0</v>
      </c>
      <c r="AK143" s="13" t="n">
        <v>0</v>
      </c>
      <c r="AL143" s="13" t="n">
        <v>0</v>
      </c>
      <c r="AM143" s="13" t="n">
        <v>0</v>
      </c>
      <c r="AN143" s="13" t="n">
        <v>0</v>
      </c>
      <c r="AO143" s="13" t="n">
        <v>0</v>
      </c>
      <c r="AP143" s="13" t="n">
        <v>0</v>
      </c>
      <c r="AQ143" s="13" t="n">
        <v>0</v>
      </c>
      <c r="AR143" s="13" t="n">
        <v>0</v>
      </c>
      <c r="AS143" s="13" t="n">
        <v>0</v>
      </c>
      <c r="AT143" s="13" t="n">
        <v>0</v>
      </c>
    </row>
    <row r="144" customFormat="false" ht="15" hidden="false" customHeight="true" outlineLevel="0" collapsed="false">
      <c r="A144" s="12" t="s">
        <v>485</v>
      </c>
      <c r="B144" s="12" t="s">
        <v>486</v>
      </c>
      <c r="C144" s="12" t="n">
        <v>1</v>
      </c>
      <c r="D144" s="12" t="s">
        <v>487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24061.546532</v>
      </c>
      <c r="Z144" s="13" t="n">
        <v>10606.149312</v>
      </c>
      <c r="AA144" s="13" t="n">
        <v>12885.63033</v>
      </c>
      <c r="AB144" s="13" t="n">
        <v>0</v>
      </c>
      <c r="AC144" s="13" t="n">
        <v>20024.8576</v>
      </c>
      <c r="AD144" s="13" t="n">
        <v>14845.4483</v>
      </c>
      <c r="AE144" s="13" t="n">
        <v>16494.9372</v>
      </c>
      <c r="AF144" s="13" t="n">
        <v>14746.4812</v>
      </c>
      <c r="AG144" s="13" t="n">
        <v>14416.5709</v>
      </c>
      <c r="AH144" s="13" t="n">
        <v>12173.271</v>
      </c>
      <c r="AI144" s="13" t="n">
        <v>16066.17184</v>
      </c>
      <c r="AJ144" s="13" t="n">
        <v>11909.38905</v>
      </c>
      <c r="AK144" s="13" t="n">
        <v>11150.64135</v>
      </c>
      <c r="AL144" s="13" t="n">
        <v>10952.691527</v>
      </c>
      <c r="AM144" s="13" t="n">
        <v>11843.351645</v>
      </c>
      <c r="AN144" s="13" t="n">
        <v>12107.256725</v>
      </c>
      <c r="AO144" s="13" t="n">
        <v>12315.53687</v>
      </c>
      <c r="AP144" s="13" t="n">
        <v>11049.8796</v>
      </c>
      <c r="AQ144" s="13" t="n">
        <v>11152.467143</v>
      </c>
      <c r="AR144" s="13" t="n">
        <v>10776.068328</v>
      </c>
      <c r="AS144" s="13" t="n">
        <v>11836.719054</v>
      </c>
      <c r="AT144" s="13" t="n">
        <v>11597.260224</v>
      </c>
    </row>
    <row r="145" customFormat="false" ht="15" hidden="false" customHeight="true" outlineLevel="0" collapsed="false">
      <c r="A145" s="12" t="s">
        <v>488</v>
      </c>
      <c r="B145" s="12" t="s">
        <v>489</v>
      </c>
      <c r="C145" s="12" t="n">
        <v>1</v>
      </c>
      <c r="D145" s="12" t="s">
        <v>490</v>
      </c>
      <c r="E145" s="13" t="n">
        <v>0</v>
      </c>
      <c r="F145" s="13" t="n">
        <v>0</v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0</v>
      </c>
      <c r="X145" s="13" t="n">
        <v>850.500122</v>
      </c>
      <c r="Y145" s="13" t="n">
        <v>850.49568</v>
      </c>
      <c r="Z145" s="13" t="n">
        <v>850.568752</v>
      </c>
      <c r="AA145" s="13" t="n">
        <v>850.44303</v>
      </c>
      <c r="AB145" s="13" t="n">
        <v>850.493862</v>
      </c>
      <c r="AC145" s="13" t="n">
        <v>850.5684</v>
      </c>
      <c r="AD145" s="13" t="n">
        <v>850.5579</v>
      </c>
      <c r="AE145" s="13" t="n">
        <v>850.56804</v>
      </c>
      <c r="AF145" s="13" t="n">
        <v>850.5552</v>
      </c>
      <c r="AG145" s="13" t="n">
        <v>850.46286</v>
      </c>
      <c r="AH145" s="13" t="n">
        <v>850.5804</v>
      </c>
      <c r="AI145" s="13" t="n">
        <v>850.56425</v>
      </c>
      <c r="AJ145" s="13" t="n">
        <v>0</v>
      </c>
      <c r="AK145" s="13" t="n">
        <v>0</v>
      </c>
      <c r="AL145" s="13" t="n">
        <v>0</v>
      </c>
      <c r="AM145" s="13" t="n">
        <v>0</v>
      </c>
      <c r="AN145" s="13" t="n">
        <v>0</v>
      </c>
      <c r="AO145" s="13" t="n">
        <v>0</v>
      </c>
      <c r="AP145" s="13" t="n">
        <v>0</v>
      </c>
      <c r="AQ145" s="13" t="n">
        <v>0</v>
      </c>
      <c r="AR145" s="13" t="n">
        <v>0</v>
      </c>
      <c r="AS145" s="13" t="n">
        <v>0</v>
      </c>
      <c r="AT145" s="13" t="n">
        <v>0</v>
      </c>
    </row>
    <row r="146" customFormat="false" ht="15" hidden="false" customHeight="true" outlineLevel="0" collapsed="false">
      <c r="A146" s="12" t="s">
        <v>491</v>
      </c>
      <c r="B146" s="12" t="s">
        <v>492</v>
      </c>
      <c r="C146" s="12" t="n">
        <v>1</v>
      </c>
      <c r="D146" s="12" t="s">
        <v>493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12999.99743</v>
      </c>
      <c r="M146" s="13" t="n">
        <v>0</v>
      </c>
      <c r="N146" s="13" t="n">
        <v>13859.990058</v>
      </c>
      <c r="O146" s="13" t="n">
        <v>14420.048121</v>
      </c>
      <c r="P146" s="13" t="n">
        <v>15220.041046</v>
      </c>
      <c r="Q146" s="13" t="n">
        <v>16799.988357</v>
      </c>
      <c r="R146" s="13" t="n">
        <v>16359.074157</v>
      </c>
      <c r="S146" s="13" t="n">
        <v>17177.97087</v>
      </c>
      <c r="T146" s="13" t="n">
        <v>16988.93056</v>
      </c>
      <c r="U146" s="13" t="n">
        <v>25453.635466</v>
      </c>
      <c r="V146" s="13" t="n">
        <v>17135.974596</v>
      </c>
      <c r="W146" s="13" t="n">
        <v>17745.003552</v>
      </c>
      <c r="X146" s="13" t="n">
        <v>17555.916834</v>
      </c>
      <c r="Y146" s="13" t="n">
        <v>17009.9136</v>
      </c>
      <c r="Z146" s="13" t="n">
        <v>17283.00376</v>
      </c>
      <c r="AA146" s="13" t="n">
        <v>16401.08058</v>
      </c>
      <c r="AB146" s="13" t="n">
        <v>14154.055238</v>
      </c>
      <c r="AC146" s="13" t="n">
        <v>11443.278</v>
      </c>
      <c r="AD146" s="13" t="n">
        <v>10830.6015</v>
      </c>
      <c r="AE146" s="13" t="n">
        <v>11093.10552</v>
      </c>
      <c r="AF146" s="13" t="n">
        <v>10764.8882</v>
      </c>
      <c r="AG146" s="13" t="n">
        <v>10327.3247</v>
      </c>
      <c r="AH146" s="13" t="n">
        <v>10283.6379</v>
      </c>
      <c r="AI146" s="13" t="n">
        <v>10305.45525</v>
      </c>
      <c r="AJ146" s="13" t="n">
        <v>10392.92001</v>
      </c>
      <c r="AK146" s="13" t="n">
        <v>10130.4759</v>
      </c>
      <c r="AL146" s="13" t="n">
        <v>9627.14087</v>
      </c>
      <c r="AM146" s="13" t="n">
        <v>8708.298242</v>
      </c>
      <c r="AN146" s="13" t="n">
        <v>7854.925607</v>
      </c>
      <c r="AO146" s="13" t="n">
        <v>7964.11039</v>
      </c>
      <c r="AP146" s="13" t="n">
        <v>7805.40648</v>
      </c>
      <c r="AQ146" s="13" t="n">
        <v>7487.730696</v>
      </c>
      <c r="AR146" s="13" t="n">
        <v>7306.142048</v>
      </c>
      <c r="AS146" s="13" t="n">
        <v>7351.602687</v>
      </c>
      <c r="AT146" s="13" t="n">
        <v>7124.726344</v>
      </c>
    </row>
    <row r="147" customFormat="false" ht="15" hidden="false" customHeight="true" outlineLevel="0" collapsed="false">
      <c r="A147" s="12" t="s">
        <v>494</v>
      </c>
      <c r="B147" s="12" t="s">
        <v>495</v>
      </c>
      <c r="C147" s="12" t="n">
        <v>1</v>
      </c>
      <c r="D147" s="12" t="s">
        <v>496</v>
      </c>
      <c r="E147" s="13" t="n">
        <v>0</v>
      </c>
      <c r="F147" s="13" t="n">
        <v>0</v>
      </c>
      <c r="G147" s="13" t="n">
        <v>0</v>
      </c>
      <c r="H147" s="13" t="n">
        <v>0</v>
      </c>
      <c r="I147" s="13" t="n">
        <v>3120.044179</v>
      </c>
      <c r="J147" s="13" t="n">
        <v>3060.01072</v>
      </c>
      <c r="K147" s="13" t="n">
        <v>4829.956728</v>
      </c>
      <c r="L147" s="13" t="n">
        <v>6090.054187</v>
      </c>
      <c r="M147" s="13" t="n">
        <v>4259.97252</v>
      </c>
      <c r="N147" s="13" t="n">
        <v>4529.958816</v>
      </c>
      <c r="O147" s="13" t="n">
        <v>4230.045978</v>
      </c>
      <c r="P147" s="13" t="n">
        <v>2940.062174</v>
      </c>
      <c r="Q147" s="13" t="n">
        <v>3748.573269</v>
      </c>
      <c r="R147" s="13" t="n">
        <v>3685.53108</v>
      </c>
      <c r="S147" s="13" t="n">
        <v>3590.94255</v>
      </c>
      <c r="T147" s="13" t="n">
        <v>3591.04256</v>
      </c>
      <c r="U147" s="13" t="n">
        <v>2992.440897</v>
      </c>
      <c r="V147" s="13" t="n">
        <v>2772.014856</v>
      </c>
      <c r="W147" s="13" t="n">
        <v>2772.059136</v>
      </c>
      <c r="X147" s="13" t="n">
        <v>3433.52987</v>
      </c>
      <c r="Y147" s="13" t="n">
        <v>3023.98464</v>
      </c>
      <c r="Z147" s="13" t="n">
        <v>2614.451488</v>
      </c>
      <c r="AA147" s="13" t="n">
        <v>3055.43139</v>
      </c>
      <c r="AB147" s="13" t="n">
        <v>1638.05563</v>
      </c>
      <c r="AC147" s="13" t="n">
        <v>1707.134</v>
      </c>
      <c r="AD147" s="13" t="n">
        <v>1707.0695</v>
      </c>
      <c r="AE147" s="13" t="n">
        <v>2363.7096</v>
      </c>
      <c r="AF147" s="13" t="n">
        <v>2987.5164</v>
      </c>
      <c r="AG147" s="13" t="n">
        <v>7682.14784</v>
      </c>
      <c r="AH147" s="13" t="n">
        <v>6533.0769</v>
      </c>
      <c r="AI147" s="13" t="n">
        <v>6007.89714</v>
      </c>
      <c r="AJ147" s="13" t="n">
        <v>8502.92541</v>
      </c>
      <c r="AK147" s="13" t="n">
        <v>7846.33995</v>
      </c>
      <c r="AL147" s="13" t="n">
        <v>9093.936875</v>
      </c>
      <c r="AM147" s="13" t="n">
        <v>9389.384971</v>
      </c>
      <c r="AN147" s="13" t="n">
        <v>8535.773345</v>
      </c>
      <c r="AO147" s="13" t="n">
        <v>7863.25522</v>
      </c>
      <c r="AP147" s="13" t="n">
        <v>7420.77024</v>
      </c>
      <c r="AQ147" s="13" t="n">
        <v>8714.319198</v>
      </c>
      <c r="AR147" s="13" t="n">
        <v>9429.1475</v>
      </c>
      <c r="AS147" s="13" t="n">
        <v>8101.458891</v>
      </c>
      <c r="AT147" s="13" t="n">
        <v>7318.644072</v>
      </c>
    </row>
    <row r="148" customFormat="false" ht="15" hidden="false" customHeight="true" outlineLevel="0" collapsed="false">
      <c r="A148" s="12" t="s">
        <v>497</v>
      </c>
      <c r="B148" s="12" t="s">
        <v>498</v>
      </c>
      <c r="C148" s="12" t="n">
        <v>1</v>
      </c>
      <c r="D148" s="12" t="s">
        <v>499</v>
      </c>
      <c r="E148" s="13" t="n">
        <v>0</v>
      </c>
      <c r="F148" s="13" t="n">
        <v>0</v>
      </c>
      <c r="G148" s="13" t="n">
        <v>0</v>
      </c>
      <c r="H148" s="13" t="n">
        <v>0</v>
      </c>
      <c r="I148" s="13" t="n">
        <v>7350.034398</v>
      </c>
      <c r="J148" s="13" t="n">
        <v>6544.9469</v>
      </c>
      <c r="K148" s="13" t="n">
        <v>6369.96228</v>
      </c>
      <c r="L148" s="13" t="n">
        <v>6230.051583</v>
      </c>
      <c r="M148" s="13" t="n">
        <v>6300.06363</v>
      </c>
      <c r="N148" s="13" t="n">
        <v>5879.984832</v>
      </c>
      <c r="O148" s="13" t="n">
        <v>5040.021831</v>
      </c>
      <c r="P148" s="13" t="n">
        <v>4305.030618</v>
      </c>
      <c r="Q148" s="13" t="n">
        <v>0</v>
      </c>
      <c r="R148" s="13" t="n">
        <v>0</v>
      </c>
      <c r="S148" s="13" t="n">
        <v>0</v>
      </c>
      <c r="T148" s="13" t="n">
        <v>0</v>
      </c>
      <c r="U148" s="13" t="n">
        <v>0</v>
      </c>
      <c r="V148" s="13" t="n">
        <v>0</v>
      </c>
      <c r="W148" s="13" t="n">
        <v>0</v>
      </c>
      <c r="X148" s="13" t="n">
        <v>0</v>
      </c>
      <c r="Y148" s="13" t="n">
        <v>0</v>
      </c>
      <c r="Z148" s="13" t="n">
        <v>0</v>
      </c>
      <c r="AA148" s="13" t="n">
        <v>0</v>
      </c>
      <c r="AB148" s="13" t="n">
        <v>0</v>
      </c>
      <c r="AC148" s="13" t="n">
        <v>0</v>
      </c>
      <c r="AD148" s="13" t="n">
        <v>0</v>
      </c>
      <c r="AE148" s="13" t="n">
        <v>0</v>
      </c>
      <c r="AF148" s="13" t="n">
        <v>0</v>
      </c>
      <c r="AG148" s="13" t="n">
        <v>0</v>
      </c>
      <c r="AH148" s="13" t="n">
        <v>0</v>
      </c>
      <c r="AI148" s="13" t="n">
        <v>0</v>
      </c>
      <c r="AJ148" s="13" t="n">
        <v>0</v>
      </c>
      <c r="AK148" s="13" t="n">
        <v>0</v>
      </c>
      <c r="AL148" s="13" t="n">
        <v>0</v>
      </c>
      <c r="AM148" s="13" t="n">
        <v>0</v>
      </c>
      <c r="AN148" s="13" t="n">
        <v>0</v>
      </c>
      <c r="AO148" s="13" t="n">
        <v>0</v>
      </c>
      <c r="AP148" s="13" t="n">
        <v>0</v>
      </c>
      <c r="AQ148" s="13" t="n">
        <v>0</v>
      </c>
      <c r="AR148" s="13" t="n">
        <v>0</v>
      </c>
      <c r="AS148" s="13" t="n">
        <v>0</v>
      </c>
      <c r="AT148" s="13" t="n">
        <v>0</v>
      </c>
    </row>
    <row r="149" customFormat="false" ht="15" hidden="false" customHeight="true" outlineLevel="0" collapsed="false">
      <c r="A149" s="12" t="s">
        <v>500</v>
      </c>
      <c r="B149" s="12" t="s">
        <v>501</v>
      </c>
      <c r="C149" s="12" t="n">
        <v>1</v>
      </c>
      <c r="D149" s="12" t="s">
        <v>502</v>
      </c>
      <c r="E149" s="13" t="n">
        <v>0</v>
      </c>
      <c r="F149" s="13" t="n">
        <v>0</v>
      </c>
      <c r="G149" s="13" t="n">
        <v>0</v>
      </c>
      <c r="H149" s="13" t="n">
        <v>0</v>
      </c>
      <c r="I149" s="13" t="n">
        <v>0</v>
      </c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  <c r="V149" s="13" t="n">
        <v>0</v>
      </c>
      <c r="W149" s="13" t="n">
        <v>0</v>
      </c>
      <c r="X149" s="13" t="n">
        <v>0</v>
      </c>
      <c r="Y149" s="13" t="n">
        <v>0</v>
      </c>
      <c r="Z149" s="13" t="n">
        <v>0</v>
      </c>
      <c r="AA149" s="13" t="n">
        <v>0</v>
      </c>
      <c r="AB149" s="13" t="n">
        <v>0</v>
      </c>
      <c r="AC149" s="13" t="n">
        <v>0</v>
      </c>
      <c r="AD149" s="13" t="n">
        <v>0</v>
      </c>
      <c r="AE149" s="13" t="n">
        <v>0</v>
      </c>
      <c r="AF149" s="13" t="n">
        <v>0</v>
      </c>
      <c r="AG149" s="13" t="n">
        <v>0</v>
      </c>
      <c r="AH149" s="13" t="n">
        <v>0</v>
      </c>
      <c r="AI149" s="13" t="n">
        <v>4590.03943</v>
      </c>
      <c r="AJ149" s="13" t="n">
        <v>4590.04014</v>
      </c>
      <c r="AK149" s="13" t="n">
        <v>4589.919</v>
      </c>
      <c r="AL149" s="13" t="n">
        <v>6578.94532</v>
      </c>
      <c r="AM149" s="13" t="n">
        <v>4743.027081</v>
      </c>
      <c r="AN149" s="13" t="n">
        <v>4742.915542</v>
      </c>
      <c r="AO149" s="13" t="n">
        <v>4970.694464</v>
      </c>
      <c r="AP149" s="13" t="n">
        <v>6081.18696</v>
      </c>
      <c r="AQ149" s="13" t="n">
        <v>6504.323233</v>
      </c>
      <c r="AR149" s="13" t="n">
        <v>4124.616112</v>
      </c>
      <c r="AS149" s="13" t="n">
        <v>5975.481537</v>
      </c>
      <c r="AT149" s="13" t="n">
        <v>6557.149456</v>
      </c>
    </row>
    <row r="150" customFormat="false" ht="15" hidden="false" customHeight="true" outlineLevel="0" collapsed="false">
      <c r="A150" s="12" t="s">
        <v>503</v>
      </c>
      <c r="B150" s="12" t="s">
        <v>504</v>
      </c>
      <c r="C150" s="12" t="n">
        <v>1</v>
      </c>
      <c r="D150" s="12" t="s">
        <v>505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6649.949655</v>
      </c>
      <c r="N150" s="13" t="n">
        <v>6160.035732</v>
      </c>
      <c r="O150" s="13" t="n">
        <v>6474.988612</v>
      </c>
      <c r="P150" s="13" t="n">
        <v>6335.057435</v>
      </c>
      <c r="Q150" s="13" t="n">
        <v>6504.760998</v>
      </c>
      <c r="R150" s="13" t="n">
        <v>6688.486761</v>
      </c>
      <c r="S150" s="13" t="n">
        <v>6394.5573</v>
      </c>
      <c r="T150" s="13" t="n">
        <v>6357.78304</v>
      </c>
      <c r="U150" s="13" t="n">
        <v>6210.72639</v>
      </c>
      <c r="V150" s="13" t="n">
        <v>6210.779796</v>
      </c>
      <c r="W150" s="13" t="n">
        <v>6357.698128</v>
      </c>
      <c r="X150" s="13" t="n">
        <v>6431.200736</v>
      </c>
      <c r="Y150" s="13" t="n">
        <v>6210.784078</v>
      </c>
      <c r="Z150" s="13" t="n">
        <v>6174.090736</v>
      </c>
      <c r="AA150" s="13" t="n">
        <v>6247.39899</v>
      </c>
      <c r="AB150" s="13" t="n">
        <v>6137.194466</v>
      </c>
      <c r="AC150" s="13" t="n">
        <v>6357.8592</v>
      </c>
      <c r="AD150" s="13" t="n">
        <v>6587.6664</v>
      </c>
      <c r="AE150" s="13" t="n">
        <v>6472.6452</v>
      </c>
      <c r="AF150" s="13" t="n">
        <v>6740.8066</v>
      </c>
      <c r="AG150" s="13" t="n">
        <v>6434.33916</v>
      </c>
      <c r="AH150" s="13" t="n">
        <v>6510.98145</v>
      </c>
      <c r="AI150" s="13" t="n">
        <v>6472.74695</v>
      </c>
      <c r="AJ150" s="13" t="n">
        <v>6472.76553</v>
      </c>
      <c r="AK150" s="13" t="n">
        <v>6549.34845</v>
      </c>
      <c r="AL150" s="13" t="n">
        <v>6396.053587</v>
      </c>
      <c r="AM150" s="13" t="n">
        <v>6396.125277</v>
      </c>
      <c r="AN150" s="13" t="n">
        <v>6511.033598</v>
      </c>
      <c r="AO150" s="13" t="n">
        <v>6909.527356</v>
      </c>
      <c r="AP150" s="13" t="n">
        <v>6909.47496</v>
      </c>
      <c r="AQ150" s="13" t="n">
        <v>7068.365628</v>
      </c>
      <c r="AR150" s="13" t="n">
        <v>7068.439818</v>
      </c>
      <c r="AS150" s="13" t="n">
        <v>6988.964472</v>
      </c>
      <c r="AT150" s="13" t="n">
        <v>6909.456664</v>
      </c>
    </row>
    <row r="151" customFormat="false" ht="15" hidden="false" customHeight="true" outlineLevel="0" collapsed="false">
      <c r="A151" s="12" t="s">
        <v>506</v>
      </c>
      <c r="B151" s="12" t="s">
        <v>507</v>
      </c>
      <c r="C151" s="12" t="n">
        <v>1</v>
      </c>
      <c r="D151" s="12" t="s">
        <v>508</v>
      </c>
      <c r="E151" s="13" t="n">
        <v>0</v>
      </c>
      <c r="F151" s="13" t="n">
        <v>0</v>
      </c>
      <c r="G151" s="13" t="n">
        <v>0</v>
      </c>
      <c r="H151" s="13" t="n">
        <v>0</v>
      </c>
      <c r="I151" s="13" t="n">
        <v>0</v>
      </c>
      <c r="J151" s="13" t="n">
        <v>0</v>
      </c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20000.002491</v>
      </c>
      <c r="R151" s="13" t="n">
        <v>19999.989114</v>
      </c>
      <c r="S151" s="13" t="n">
        <v>19920.05496</v>
      </c>
      <c r="T151" s="13" t="n">
        <v>17927.9744</v>
      </c>
      <c r="U151" s="13" t="n">
        <v>17928.025561</v>
      </c>
      <c r="V151" s="13" t="n">
        <v>19840.006368</v>
      </c>
      <c r="W151" s="13" t="n">
        <v>19800.047392</v>
      </c>
      <c r="X151" s="13" t="n">
        <v>19960.081786</v>
      </c>
      <c r="Y151" s="13" t="n">
        <v>19800.011928</v>
      </c>
      <c r="Z151" s="13" t="n">
        <v>19599.966672</v>
      </c>
      <c r="AA151" s="13" t="n">
        <v>39039.96792</v>
      </c>
      <c r="AB151" s="13" t="n">
        <v>19640.074532</v>
      </c>
      <c r="AC151" s="13" t="n">
        <v>19679.9152</v>
      </c>
      <c r="AD151" s="13" t="n">
        <v>19640.0245</v>
      </c>
      <c r="AE151" s="13" t="n">
        <v>20119.90428</v>
      </c>
      <c r="AF151" s="13" t="n">
        <v>20120.0164</v>
      </c>
      <c r="AG151" s="13" t="n">
        <v>21160.06402</v>
      </c>
      <c r="AH151" s="13" t="n">
        <v>21160.07595</v>
      </c>
      <c r="AI151" s="13" t="n">
        <v>20959.97079</v>
      </c>
      <c r="AJ151" s="13" t="n">
        <v>20959.92828</v>
      </c>
      <c r="AK151" s="13" t="n">
        <v>20920.08765</v>
      </c>
      <c r="AL151" s="13" t="n">
        <v>21080.067993</v>
      </c>
      <c r="AM151" s="13" t="n">
        <v>21400.027512</v>
      </c>
      <c r="AN151" s="13" t="n">
        <v>21319.921482</v>
      </c>
      <c r="AO151" s="13" t="n">
        <v>21520.07965</v>
      </c>
      <c r="AP151" s="13" t="n">
        <v>21440.06232</v>
      </c>
      <c r="AQ151" s="13" t="n">
        <v>21559.999964</v>
      </c>
      <c r="AR151" s="13" t="n">
        <v>21520.033698</v>
      </c>
      <c r="AS151" s="13" t="n">
        <v>21359.996703</v>
      </c>
      <c r="AT151" s="13" t="n">
        <v>21560.046024</v>
      </c>
    </row>
    <row r="152" customFormat="false" ht="15" hidden="false" customHeight="true" outlineLevel="0" collapsed="false">
      <c r="A152" s="12" t="s">
        <v>509</v>
      </c>
      <c r="B152" s="12" t="s">
        <v>510</v>
      </c>
      <c r="C152" s="12" t="n">
        <v>1</v>
      </c>
      <c r="D152" s="12" t="s">
        <v>511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</row>
    <row r="153" customFormat="false" ht="15" hidden="false" customHeight="true" outlineLevel="0" collapsed="false">
      <c r="A153" s="12" t="s">
        <v>512</v>
      </c>
      <c r="B153" s="12" t="s">
        <v>513</v>
      </c>
      <c r="C153" s="12" t="n">
        <v>1</v>
      </c>
      <c r="D153" s="12" t="s">
        <v>514</v>
      </c>
      <c r="E153" s="13" t="n">
        <v>22103.406468</v>
      </c>
      <c r="F153" s="13" t="n">
        <v>38905.304712</v>
      </c>
      <c r="G153" s="13" t="n">
        <v>19936.394432</v>
      </c>
      <c r="H153" s="13" t="n">
        <v>20933.189802</v>
      </c>
      <c r="I153" s="13" t="n">
        <v>20846.483364</v>
      </c>
      <c r="J153" s="13" t="n">
        <v>19502.949585</v>
      </c>
      <c r="K153" s="13" t="n">
        <v>0</v>
      </c>
      <c r="L153" s="13" t="n">
        <v>0</v>
      </c>
      <c r="M153" s="13" t="n">
        <v>1516.93659</v>
      </c>
      <c r="N153" s="13" t="n">
        <v>3570.016602</v>
      </c>
      <c r="O153" s="13" t="n">
        <v>3780.059393</v>
      </c>
      <c r="P153" s="13" t="n">
        <v>3710.014007</v>
      </c>
      <c r="Q153" s="13" t="n">
        <v>4899.946527</v>
      </c>
      <c r="R153" s="13" t="n">
        <v>4760.078778</v>
      </c>
      <c r="S153" s="13" t="n">
        <v>5004.989895</v>
      </c>
      <c r="T153" s="13" t="n">
        <v>4585.07392</v>
      </c>
      <c r="U153" s="13" t="n">
        <v>4199.997363</v>
      </c>
      <c r="V153" s="13" t="n">
        <v>3325.091328</v>
      </c>
      <c r="W153" s="13" t="n">
        <v>3430.010672</v>
      </c>
      <c r="X153" s="13" t="n">
        <v>3255.06167</v>
      </c>
      <c r="Y153" s="13" t="n">
        <v>2870.029172</v>
      </c>
      <c r="Z153" s="13" t="n">
        <v>2870.043088</v>
      </c>
      <c r="AA153" s="13" t="n">
        <v>2905.01706</v>
      </c>
      <c r="AB153" s="13" t="n">
        <v>2834.97954</v>
      </c>
      <c r="AC153" s="13" t="n">
        <v>2954.138</v>
      </c>
      <c r="AD153" s="13" t="n">
        <v>2990.6051</v>
      </c>
      <c r="AE153" s="13" t="n">
        <v>6491.62836</v>
      </c>
      <c r="AF153" s="13" t="n">
        <v>2771.7448</v>
      </c>
      <c r="AG153" s="13" t="n">
        <v>2771.77174</v>
      </c>
      <c r="AH153" s="13" t="n">
        <v>2771.75145</v>
      </c>
      <c r="AI153" s="13" t="n">
        <v>3501.12922</v>
      </c>
      <c r="AJ153" s="13" t="n">
        <v>2808.15174</v>
      </c>
      <c r="AK153" s="13" t="n">
        <v>2808.2526</v>
      </c>
      <c r="AL153" s="13" t="n">
        <v>2808.207707</v>
      </c>
      <c r="AM153" s="13" t="n">
        <v>3245.846935</v>
      </c>
      <c r="AN153" s="13" t="n">
        <v>3136.467353</v>
      </c>
      <c r="AO153" s="13" t="n">
        <v>3706.298196</v>
      </c>
      <c r="AP153" s="13" t="n">
        <v>3971.12328</v>
      </c>
      <c r="AQ153" s="13" t="n">
        <v>4046.800477</v>
      </c>
      <c r="AR153" s="13" t="n">
        <v>4387.053408</v>
      </c>
      <c r="AS153" s="13" t="n">
        <v>2496.05874</v>
      </c>
      <c r="AT153" s="13" t="n">
        <v>2685.270488</v>
      </c>
    </row>
    <row r="154" customFormat="false" ht="15" hidden="false" customHeight="true" outlineLevel="0" collapsed="false">
      <c r="A154" s="12" t="s">
        <v>515</v>
      </c>
      <c r="B154" s="12" t="s">
        <v>516</v>
      </c>
      <c r="C154" s="12" t="n">
        <v>1</v>
      </c>
      <c r="D154" s="12" t="s">
        <v>517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1219.04874</v>
      </c>
      <c r="N154" s="13" t="n">
        <v>1264.926678</v>
      </c>
      <c r="O154" s="13" t="n">
        <v>1126.945371</v>
      </c>
      <c r="P154" s="13" t="n">
        <v>943.026042</v>
      </c>
      <c r="Q154" s="13" t="n">
        <v>1057.972266</v>
      </c>
      <c r="R154" s="13" t="n">
        <v>505.99128</v>
      </c>
      <c r="S154" s="13" t="n">
        <v>223.95837</v>
      </c>
      <c r="T154" s="13" t="n">
        <v>321.92384</v>
      </c>
      <c r="U154" s="13" t="n">
        <v>276.032284</v>
      </c>
      <c r="V154" s="13" t="n">
        <v>275.985528</v>
      </c>
      <c r="W154" s="13" t="n">
        <v>252.942896</v>
      </c>
      <c r="X154" s="13" t="n">
        <v>161.017976</v>
      </c>
      <c r="Y154" s="13" t="n">
        <v>206.914574</v>
      </c>
      <c r="Z154" s="13" t="n">
        <v>989.089376</v>
      </c>
      <c r="AA154" s="13" t="n">
        <v>2898.078</v>
      </c>
      <c r="AB154" s="13" t="n">
        <v>2644.969134</v>
      </c>
      <c r="AC154" s="13" t="n">
        <v>2756.644</v>
      </c>
      <c r="AD154" s="13" t="n">
        <v>5333.2834</v>
      </c>
      <c r="AE154" s="13" t="n">
        <v>5944.79088</v>
      </c>
      <c r="AF154" s="13" t="n">
        <v>5571.0974</v>
      </c>
      <c r="AG154" s="13" t="n">
        <v>2564.7042</v>
      </c>
      <c r="AH154" s="13" t="n">
        <v>4755.80955</v>
      </c>
      <c r="AI154" s="13" t="n">
        <v>3907.14442</v>
      </c>
      <c r="AJ154" s="13" t="n">
        <v>3427.7121</v>
      </c>
      <c r="AK154" s="13" t="n">
        <v>3212.02605</v>
      </c>
      <c r="AL154" s="13" t="n">
        <v>4110.367377</v>
      </c>
      <c r="AM154" s="13" t="n">
        <v>2900.442596</v>
      </c>
      <c r="AN154" s="13" t="n">
        <v>4075.735112</v>
      </c>
      <c r="AO154" s="13" t="n">
        <v>4054.205432</v>
      </c>
      <c r="AP154" s="13" t="n">
        <v>3631.69776</v>
      </c>
      <c r="AQ154" s="13" t="n">
        <v>3631.781161</v>
      </c>
      <c r="AR154" s="13" t="n">
        <v>3383.265836</v>
      </c>
      <c r="AS154" s="13" t="n">
        <v>3631.748157</v>
      </c>
      <c r="AT154" s="13" t="n">
        <v>2160.047472</v>
      </c>
    </row>
    <row r="155" customFormat="false" ht="15" hidden="false" customHeight="true" outlineLevel="0" collapsed="false">
      <c r="A155" s="12" t="s">
        <v>518</v>
      </c>
      <c r="B155" s="12" t="s">
        <v>519</v>
      </c>
      <c r="C155" s="12" t="n">
        <v>1</v>
      </c>
      <c r="D155" s="12" t="s">
        <v>520</v>
      </c>
      <c r="E155" s="13" t="n">
        <v>0</v>
      </c>
      <c r="F155" s="13" t="n">
        <v>0</v>
      </c>
      <c r="G155" s="13" t="n">
        <v>0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2719.960506</v>
      </c>
      <c r="R155" s="13" t="n">
        <v>2640.043692</v>
      </c>
      <c r="S155" s="13" t="n">
        <v>2640.029205</v>
      </c>
      <c r="T155" s="13" t="n">
        <v>2411.96032</v>
      </c>
      <c r="U155" s="13" t="n">
        <v>2759.983734</v>
      </c>
      <c r="V155" s="13" t="n">
        <v>2839.99794</v>
      </c>
      <c r="W155" s="13" t="n">
        <v>2880.06144</v>
      </c>
      <c r="X155" s="13" t="n">
        <v>2959.994246</v>
      </c>
      <c r="Y155" s="13" t="n">
        <v>2920.035168</v>
      </c>
      <c r="Z155" s="13" t="n">
        <v>2800.081152</v>
      </c>
      <c r="AA155" s="13" t="n">
        <v>2839.91235</v>
      </c>
      <c r="AB155" s="13" t="n">
        <v>2879.902128</v>
      </c>
      <c r="AC155" s="13" t="n">
        <v>3000.0476</v>
      </c>
      <c r="AD155" s="13" t="n">
        <v>3000.0489</v>
      </c>
      <c r="AE155" s="13" t="n">
        <v>3079.96668</v>
      </c>
      <c r="AF155" s="13" t="n">
        <v>3079.934</v>
      </c>
      <c r="AG155" s="13" t="n">
        <v>3040.01394</v>
      </c>
      <c r="AH155" s="13" t="n">
        <v>3160.02705</v>
      </c>
      <c r="AI155" s="13" t="n">
        <v>3000.0012</v>
      </c>
      <c r="AJ155" s="13" t="n">
        <v>2999.94705</v>
      </c>
      <c r="AK155" s="13" t="n">
        <v>2919.97365</v>
      </c>
      <c r="AL155" s="13" t="n">
        <v>2880.038297</v>
      </c>
      <c r="AM155" s="13" t="n">
        <v>2880.081533</v>
      </c>
      <c r="AN155" s="13" t="n">
        <v>2880.025495</v>
      </c>
      <c r="AO155" s="13" t="n">
        <v>2919.972674</v>
      </c>
      <c r="AP155" s="13" t="n">
        <v>2959.92168</v>
      </c>
      <c r="AQ155" s="13" t="n">
        <v>3040.034597</v>
      </c>
      <c r="AR155" s="13" t="n">
        <v>2959.962898</v>
      </c>
      <c r="AS155" s="13" t="n">
        <v>2999.944107</v>
      </c>
      <c r="AT155" s="13" t="n">
        <v>2999.949256</v>
      </c>
    </row>
    <row r="156" customFormat="false" ht="15" hidden="false" customHeight="true" outlineLevel="0" collapsed="false">
      <c r="A156" s="12" t="s">
        <v>521</v>
      </c>
      <c r="B156" s="12" t="s">
        <v>522</v>
      </c>
      <c r="C156" s="12" t="n">
        <v>1</v>
      </c>
      <c r="D156" s="12" t="s">
        <v>523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63.058764</v>
      </c>
      <c r="Y156" s="13" t="n">
        <v>62.99968</v>
      </c>
      <c r="Z156" s="13" t="n">
        <v>62.945696</v>
      </c>
      <c r="AA156" s="13" t="n">
        <v>63.06381</v>
      </c>
      <c r="AB156" s="13" t="n">
        <v>62.932094</v>
      </c>
      <c r="AC156" s="13" t="n">
        <v>63.074</v>
      </c>
      <c r="AD156" s="13" t="n">
        <v>63.0271</v>
      </c>
      <c r="AE156" s="13" t="n">
        <v>63.07308</v>
      </c>
      <c r="AF156" s="13" t="n">
        <v>63.0476</v>
      </c>
      <c r="AG156" s="13" t="n">
        <v>62.91148</v>
      </c>
      <c r="AH156" s="13" t="n">
        <v>63.0759</v>
      </c>
      <c r="AI156" s="13" t="n">
        <v>62.96995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</row>
    <row r="157" customFormat="false" ht="15" hidden="false" customHeight="true" outlineLevel="0" collapsed="false">
      <c r="A157" s="12" t="s">
        <v>524</v>
      </c>
      <c r="B157" s="12" t="s">
        <v>525</v>
      </c>
      <c r="C157" s="12" t="n">
        <v>1</v>
      </c>
      <c r="D157" s="12" t="s">
        <v>526</v>
      </c>
      <c r="E157" s="13" t="n">
        <v>0</v>
      </c>
      <c r="F157" s="13" t="n">
        <v>0</v>
      </c>
      <c r="G157" s="13" t="n">
        <v>0</v>
      </c>
      <c r="H157" s="13" t="n">
        <v>0</v>
      </c>
      <c r="I157" s="13" t="n">
        <v>0</v>
      </c>
      <c r="J157" s="13" t="n">
        <v>0</v>
      </c>
      <c r="K157" s="13" t="n">
        <v>0</v>
      </c>
      <c r="L157" s="13" t="n">
        <v>0</v>
      </c>
      <c r="M157" s="13" t="n">
        <v>0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  <c r="V157" s="13" t="n">
        <v>0</v>
      </c>
      <c r="W157" s="13" t="n">
        <v>0</v>
      </c>
      <c r="X157" s="13" t="n">
        <v>0</v>
      </c>
      <c r="Y157" s="13" t="n">
        <v>0</v>
      </c>
      <c r="Z157" s="13" t="n">
        <v>0</v>
      </c>
      <c r="AA157" s="13" t="n">
        <v>0</v>
      </c>
      <c r="AB157" s="13" t="n">
        <v>0</v>
      </c>
      <c r="AC157" s="13" t="n">
        <v>0</v>
      </c>
      <c r="AD157" s="13" t="n">
        <v>0</v>
      </c>
      <c r="AE157" s="13" t="n">
        <v>0</v>
      </c>
      <c r="AF157" s="13" t="n">
        <v>0</v>
      </c>
      <c r="AG157" s="13" t="n">
        <v>0</v>
      </c>
      <c r="AH157" s="13" t="n">
        <v>0</v>
      </c>
      <c r="AI157" s="13" t="n">
        <v>0</v>
      </c>
      <c r="AJ157" s="13" t="n">
        <v>0</v>
      </c>
      <c r="AK157" s="13" t="n">
        <v>0</v>
      </c>
      <c r="AL157" s="13" t="n">
        <v>0</v>
      </c>
      <c r="AM157" s="13" t="n">
        <v>0</v>
      </c>
      <c r="AN157" s="13" t="n">
        <v>0</v>
      </c>
      <c r="AO157" s="13" t="n">
        <v>0</v>
      </c>
      <c r="AP157" s="13" t="n">
        <v>0</v>
      </c>
      <c r="AQ157" s="13" t="n">
        <v>0</v>
      </c>
      <c r="AR157" s="13" t="n">
        <v>0</v>
      </c>
      <c r="AS157" s="13" t="n">
        <v>5000.079942</v>
      </c>
      <c r="AT157" s="13" t="n">
        <v>5300.009528</v>
      </c>
    </row>
    <row r="158" customFormat="false" ht="15" hidden="false" customHeight="true" outlineLevel="0" collapsed="false">
      <c r="A158" s="12" t="s">
        <v>527</v>
      </c>
      <c r="B158" s="12" t="s">
        <v>528</v>
      </c>
      <c r="C158" s="12" t="n">
        <v>1</v>
      </c>
      <c r="D158" s="12" t="s">
        <v>529</v>
      </c>
      <c r="E158" s="13" t="n">
        <v>0</v>
      </c>
      <c r="F158" s="13" t="n">
        <v>0</v>
      </c>
      <c r="G158" s="13" t="n">
        <v>0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n">
        <v>0</v>
      </c>
      <c r="R158" s="13" t="n">
        <v>0</v>
      </c>
      <c r="S158" s="13" t="n">
        <v>2900.045865</v>
      </c>
      <c r="T158" s="13" t="n">
        <v>2900.0384</v>
      </c>
      <c r="U158" s="13" t="n">
        <v>3016.008764</v>
      </c>
      <c r="V158" s="13" t="n">
        <v>3015.94332</v>
      </c>
      <c r="W158" s="13" t="n">
        <v>0</v>
      </c>
      <c r="X158" s="13" t="n">
        <v>0</v>
      </c>
      <c r="Y158" s="13" t="n">
        <v>0</v>
      </c>
      <c r="Z158" s="13" t="n">
        <v>0</v>
      </c>
      <c r="AA158" s="13" t="n">
        <v>0</v>
      </c>
      <c r="AB158" s="13" t="n">
        <v>0</v>
      </c>
      <c r="AC158" s="13" t="n">
        <v>0</v>
      </c>
      <c r="AD158" s="13" t="n">
        <v>0</v>
      </c>
      <c r="AE158" s="13" t="n">
        <v>0</v>
      </c>
      <c r="AF158" s="13" t="n">
        <v>0</v>
      </c>
      <c r="AG158" s="13" t="n">
        <v>0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</v>
      </c>
      <c r="AM158" s="13" t="n">
        <v>0</v>
      </c>
      <c r="AN158" s="13" t="n">
        <v>0</v>
      </c>
      <c r="AO158" s="13" t="n">
        <v>0</v>
      </c>
      <c r="AP158" s="13" t="n">
        <v>0</v>
      </c>
      <c r="AQ158" s="13" t="n">
        <v>0</v>
      </c>
      <c r="AR158" s="13" t="n">
        <v>0</v>
      </c>
      <c r="AS158" s="13" t="n">
        <v>0</v>
      </c>
      <c r="AT158" s="13" t="n">
        <v>0</v>
      </c>
    </row>
    <row r="159" customFormat="false" ht="15" hidden="false" customHeight="true" outlineLevel="0" collapsed="false">
      <c r="A159" s="12" t="s">
        <v>530</v>
      </c>
      <c r="B159" s="12" t="s">
        <v>531</v>
      </c>
      <c r="C159" s="12" t="n">
        <v>1</v>
      </c>
      <c r="D159" s="12" t="s">
        <v>532</v>
      </c>
      <c r="E159" s="13" t="n">
        <v>3149.982864</v>
      </c>
      <c r="F159" s="13" t="n">
        <v>2134.149522</v>
      </c>
      <c r="G159" s="13" t="n">
        <v>2134.02537</v>
      </c>
      <c r="H159" s="13" t="n">
        <v>2133.97821</v>
      </c>
      <c r="I159" s="13" t="n">
        <v>2133.994982</v>
      </c>
      <c r="J159" s="13" t="n">
        <v>2134.035875</v>
      </c>
      <c r="K159" s="13" t="n">
        <v>2133.945708</v>
      </c>
      <c r="L159" s="13" t="n">
        <v>2133.955523</v>
      </c>
      <c r="M159" s="13" t="n">
        <v>2134.040355</v>
      </c>
      <c r="N159" s="13" t="n">
        <v>2133.987858</v>
      </c>
      <c r="O159" s="13" t="n">
        <v>2133.951679</v>
      </c>
      <c r="P159" s="13" t="n">
        <v>2134.074362</v>
      </c>
      <c r="Q159" s="13" t="n">
        <v>2133.972297</v>
      </c>
      <c r="R159" s="13" t="n">
        <v>2275.25133</v>
      </c>
      <c r="S159" s="13" t="n">
        <v>2275.145775</v>
      </c>
      <c r="T159" s="13" t="n">
        <v>2275.2576</v>
      </c>
      <c r="U159" s="13" t="n">
        <v>2275.231707</v>
      </c>
      <c r="V159" s="13" t="n">
        <v>2275.130364</v>
      </c>
      <c r="W159" s="13" t="n">
        <v>2275.173536</v>
      </c>
      <c r="X159" s="13" t="n">
        <v>2275.271252</v>
      </c>
      <c r="Y159" s="13" t="n">
        <v>2275.272818</v>
      </c>
      <c r="Z159" s="13" t="n">
        <v>2275.2664</v>
      </c>
      <c r="AA159" s="13" t="n">
        <v>2275.19532</v>
      </c>
      <c r="AB159" s="13" t="n">
        <v>2275.268376</v>
      </c>
      <c r="AC159" s="13" t="n">
        <v>2275.2136</v>
      </c>
      <c r="AD159" s="13" t="n">
        <v>0</v>
      </c>
      <c r="AE159" s="13" t="n">
        <v>0</v>
      </c>
      <c r="AF159" s="13" t="n">
        <v>0</v>
      </c>
      <c r="AG159" s="13" t="n">
        <v>0</v>
      </c>
      <c r="AH159" s="13" t="n">
        <v>0</v>
      </c>
      <c r="AI159" s="13" t="n">
        <v>0</v>
      </c>
      <c r="AJ159" s="13" t="n">
        <v>0</v>
      </c>
      <c r="AK159" s="13" t="n">
        <v>0</v>
      </c>
      <c r="AL159" s="13" t="n">
        <v>0</v>
      </c>
      <c r="AM159" s="13" t="n">
        <v>0</v>
      </c>
      <c r="AN159" s="13" t="n">
        <v>0</v>
      </c>
      <c r="AO159" s="13" t="n">
        <v>2553.963228</v>
      </c>
      <c r="AP159" s="13" t="n">
        <v>2553.888</v>
      </c>
      <c r="AQ159" s="13" t="n">
        <v>2554.034665</v>
      </c>
      <c r="AR159" s="13" t="n">
        <v>2554.027134</v>
      </c>
      <c r="AS159" s="13" t="n">
        <v>2553.873138</v>
      </c>
      <c r="AT159" s="13" t="n">
        <v>2554.008488</v>
      </c>
    </row>
    <row r="160" customFormat="false" ht="15" hidden="false" customHeight="true" outlineLevel="0" collapsed="false">
      <c r="A160" s="12" t="s">
        <v>533</v>
      </c>
      <c r="B160" s="12" t="s">
        <v>534</v>
      </c>
      <c r="C160" s="12" t="n">
        <v>1</v>
      </c>
      <c r="D160" s="12" t="s">
        <v>535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4483.731591</v>
      </c>
      <c r="AT160" s="13" t="n">
        <v>3811.148416</v>
      </c>
    </row>
    <row r="161" customFormat="false" ht="15" hidden="false" customHeight="true" outlineLevel="0" collapsed="false">
      <c r="A161" s="12" t="s">
        <v>536</v>
      </c>
      <c r="B161" s="12" t="s">
        <v>537</v>
      </c>
      <c r="C161" s="12" t="n">
        <v>1</v>
      </c>
      <c r="D161" s="12" t="s">
        <v>538</v>
      </c>
      <c r="E161" s="13" t="n">
        <v>0</v>
      </c>
      <c r="F161" s="13" t="n">
        <v>0</v>
      </c>
      <c r="G161" s="13" t="n">
        <v>0</v>
      </c>
      <c r="H161" s="13" t="n">
        <v>0</v>
      </c>
      <c r="I161" s="13" t="n">
        <v>0</v>
      </c>
      <c r="J161" s="13" t="n">
        <v>0</v>
      </c>
      <c r="K161" s="13" t="n">
        <v>0</v>
      </c>
      <c r="L161" s="13" t="n">
        <v>0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0</v>
      </c>
      <c r="X161" s="13" t="n">
        <v>0</v>
      </c>
      <c r="Y161" s="13" t="n">
        <v>0</v>
      </c>
      <c r="Z161" s="13" t="n">
        <v>0</v>
      </c>
      <c r="AA161" s="13" t="n">
        <v>0</v>
      </c>
      <c r="AB161" s="13" t="n">
        <v>0</v>
      </c>
      <c r="AC161" s="13" t="n">
        <v>0</v>
      </c>
      <c r="AD161" s="13" t="n">
        <v>0</v>
      </c>
      <c r="AE161" s="13" t="n">
        <v>0</v>
      </c>
      <c r="AF161" s="13" t="n">
        <v>0</v>
      </c>
      <c r="AG161" s="13" t="n">
        <v>0</v>
      </c>
      <c r="AH161" s="13" t="n">
        <v>0</v>
      </c>
      <c r="AI161" s="13" t="n">
        <v>0</v>
      </c>
      <c r="AJ161" s="13" t="n">
        <v>0</v>
      </c>
      <c r="AK161" s="13" t="n">
        <v>0</v>
      </c>
      <c r="AL161" s="13" t="n">
        <v>0</v>
      </c>
      <c r="AM161" s="13" t="n">
        <v>0</v>
      </c>
      <c r="AN161" s="13" t="n">
        <v>0</v>
      </c>
      <c r="AO161" s="13" t="n">
        <v>0</v>
      </c>
      <c r="AP161" s="13" t="n">
        <v>0</v>
      </c>
      <c r="AQ161" s="13" t="n">
        <v>0</v>
      </c>
      <c r="AR161" s="13" t="n">
        <v>0</v>
      </c>
      <c r="AS161" s="13" t="n">
        <v>0</v>
      </c>
      <c r="AT161" s="13" t="n">
        <v>0</v>
      </c>
    </row>
    <row r="162" customFormat="false" ht="15" hidden="false" customHeight="true" outlineLevel="0" collapsed="false">
      <c r="A162" s="12" t="s">
        <v>539</v>
      </c>
      <c r="B162" s="12" t="s">
        <v>540</v>
      </c>
      <c r="C162" s="12" t="n">
        <v>1</v>
      </c>
      <c r="D162" s="12" t="s">
        <v>541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2450.048984</v>
      </c>
    </row>
    <row r="163" customFormat="false" ht="15" hidden="false" customHeight="true" outlineLevel="0" collapsed="false">
      <c r="A163" s="12" t="s">
        <v>542</v>
      </c>
      <c r="B163" s="12" t="s">
        <v>543</v>
      </c>
      <c r="C163" s="12" t="n">
        <v>1</v>
      </c>
      <c r="D163" s="12" t="s">
        <v>544</v>
      </c>
      <c r="E163" s="13" t="n">
        <v>0</v>
      </c>
      <c r="F163" s="13" t="n">
        <v>0</v>
      </c>
      <c r="G163" s="13" t="n">
        <v>0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 t="n">
        <v>0</v>
      </c>
      <c r="M163" s="13" t="n">
        <v>0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0</v>
      </c>
      <c r="W163" s="13" t="n">
        <v>0</v>
      </c>
      <c r="X163" s="13" t="n">
        <v>0</v>
      </c>
      <c r="Y163" s="13" t="n">
        <v>0</v>
      </c>
      <c r="Z163" s="13" t="n">
        <v>0</v>
      </c>
      <c r="AA163" s="13" t="n">
        <v>0</v>
      </c>
      <c r="AB163" s="13" t="n">
        <v>0</v>
      </c>
      <c r="AC163" s="13" t="n">
        <v>0</v>
      </c>
      <c r="AD163" s="13" t="n">
        <v>0</v>
      </c>
      <c r="AE163" s="13" t="n">
        <v>0</v>
      </c>
      <c r="AF163" s="13" t="n">
        <v>0</v>
      </c>
      <c r="AG163" s="13" t="n">
        <v>0</v>
      </c>
      <c r="AH163" s="13" t="n">
        <v>0</v>
      </c>
      <c r="AI163" s="13" t="n">
        <v>0</v>
      </c>
      <c r="AJ163" s="13" t="n">
        <v>0</v>
      </c>
      <c r="AK163" s="13" t="n">
        <v>0</v>
      </c>
      <c r="AL163" s="13" t="n">
        <v>0</v>
      </c>
      <c r="AM163" s="13" t="n">
        <v>0</v>
      </c>
      <c r="AN163" s="13" t="n">
        <v>0</v>
      </c>
      <c r="AO163" s="13" t="n">
        <v>0</v>
      </c>
      <c r="AP163" s="13" t="n">
        <v>0</v>
      </c>
      <c r="AQ163" s="13" t="n">
        <v>629.952967</v>
      </c>
      <c r="AR163" s="13" t="n">
        <v>629.954766</v>
      </c>
      <c r="AS163" s="13" t="n">
        <v>585.06786</v>
      </c>
      <c r="AT163" s="13" t="n">
        <v>585.078488</v>
      </c>
    </row>
    <row r="164" customFormat="false" ht="15" hidden="false" customHeight="true" outlineLevel="0" collapsed="false">
      <c r="A164" s="12" t="s">
        <v>545</v>
      </c>
      <c r="B164" s="12" t="s">
        <v>546</v>
      </c>
      <c r="C164" s="12" t="n">
        <v>1</v>
      </c>
      <c r="D164" s="12" t="s">
        <v>547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1199.94645</v>
      </c>
      <c r="AL164" s="13" t="n">
        <v>1320.025227</v>
      </c>
      <c r="AM164" s="13" t="n">
        <v>1200.018686</v>
      </c>
      <c r="AN164" s="13" t="n">
        <v>1200.025609</v>
      </c>
      <c r="AO164" s="13" t="n">
        <v>1368.699478</v>
      </c>
      <c r="AP164" s="13" t="n">
        <v>1182.036</v>
      </c>
      <c r="AQ164" s="13" t="n">
        <v>1057.647393</v>
      </c>
      <c r="AR164" s="13" t="n">
        <v>0</v>
      </c>
      <c r="AS164" s="13" t="n">
        <v>0</v>
      </c>
      <c r="AT164" s="13" t="n">
        <v>0</v>
      </c>
    </row>
    <row r="165" customFormat="false" ht="15" hidden="false" customHeight="true" outlineLevel="0" collapsed="false">
      <c r="A165" s="12" t="s">
        <v>548</v>
      </c>
      <c r="B165" s="12" t="s">
        <v>549</v>
      </c>
      <c r="C165" s="12" t="n">
        <v>1</v>
      </c>
      <c r="D165" s="12" t="s">
        <v>550</v>
      </c>
      <c r="E165" s="13" t="n">
        <v>0</v>
      </c>
      <c r="F165" s="13" t="n">
        <v>0</v>
      </c>
      <c r="G165" s="13" t="n">
        <v>0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0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  <c r="X165" s="13" t="n">
        <v>0</v>
      </c>
      <c r="Y165" s="13" t="n">
        <v>0</v>
      </c>
      <c r="Z165" s="13" t="n">
        <v>0</v>
      </c>
      <c r="AA165" s="13" t="n">
        <v>0</v>
      </c>
      <c r="AB165" s="13" t="n">
        <v>0</v>
      </c>
      <c r="AC165" s="13" t="n">
        <v>0</v>
      </c>
      <c r="AD165" s="13" t="n">
        <v>0</v>
      </c>
      <c r="AE165" s="13" t="n">
        <v>0</v>
      </c>
      <c r="AF165" s="13" t="n">
        <v>0</v>
      </c>
      <c r="AG165" s="13" t="n">
        <v>0</v>
      </c>
      <c r="AH165" s="13" t="n">
        <v>0</v>
      </c>
      <c r="AI165" s="13" t="n">
        <v>0</v>
      </c>
      <c r="AJ165" s="13" t="n">
        <v>0</v>
      </c>
      <c r="AK165" s="13" t="n">
        <v>0</v>
      </c>
      <c r="AL165" s="13" t="n">
        <v>0</v>
      </c>
      <c r="AM165" s="13" t="n">
        <v>500.955523</v>
      </c>
      <c r="AN165" s="13" t="n">
        <v>501.014738</v>
      </c>
      <c r="AO165" s="13" t="n">
        <v>501.000212</v>
      </c>
      <c r="AP165" s="13" t="n">
        <v>500.94168</v>
      </c>
      <c r="AQ165" s="13" t="n">
        <v>501.028991</v>
      </c>
      <c r="AR165" s="13" t="n">
        <v>558.030106</v>
      </c>
      <c r="AS165" s="13" t="n">
        <v>500.942718</v>
      </c>
      <c r="AT165" s="13" t="n">
        <v>501.070808</v>
      </c>
    </row>
    <row r="166" customFormat="false" ht="15" hidden="false" customHeight="true" outlineLevel="0" collapsed="false">
      <c r="A166" s="12" t="s">
        <v>551</v>
      </c>
      <c r="B166" s="12" t="s">
        <v>552</v>
      </c>
      <c r="C166" s="12" t="n">
        <v>1</v>
      </c>
      <c r="D166" s="12" t="s">
        <v>553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500.955523</v>
      </c>
      <c r="AN166" s="13" t="n">
        <v>501.014738</v>
      </c>
      <c r="AO166" s="13" t="n">
        <v>501.000212</v>
      </c>
      <c r="AP166" s="13" t="n">
        <v>500.94168</v>
      </c>
      <c r="AQ166" s="13" t="n">
        <v>501.028991</v>
      </c>
      <c r="AR166" s="13" t="n">
        <v>558.030106</v>
      </c>
      <c r="AS166" s="13" t="n">
        <v>558.064728</v>
      </c>
      <c r="AT166" s="13" t="n">
        <v>501.070808</v>
      </c>
    </row>
    <row r="167" customFormat="false" ht="15" hidden="false" customHeight="true" outlineLevel="0" collapsed="false">
      <c r="A167" s="12" t="s">
        <v>554</v>
      </c>
      <c r="B167" s="12" t="s">
        <v>555</v>
      </c>
      <c r="C167" s="12" t="n">
        <v>1</v>
      </c>
      <c r="D167" s="12" t="s">
        <v>556</v>
      </c>
      <c r="E167" s="13" t="n">
        <v>0</v>
      </c>
      <c r="F167" s="13" t="n">
        <v>0</v>
      </c>
      <c r="G167" s="13" t="n">
        <v>0</v>
      </c>
      <c r="H167" s="13" t="n">
        <v>0</v>
      </c>
      <c r="I167" s="13" t="n">
        <v>0</v>
      </c>
      <c r="J167" s="13" t="n">
        <v>0</v>
      </c>
      <c r="K167" s="13" t="n">
        <v>0</v>
      </c>
      <c r="L167" s="13" t="n">
        <v>0</v>
      </c>
      <c r="M167" s="13" t="n">
        <v>0</v>
      </c>
      <c r="N167" s="13" t="n">
        <v>1242.522606</v>
      </c>
      <c r="O167" s="13" t="n">
        <v>1802.527525</v>
      </c>
      <c r="P167" s="13" t="n">
        <v>1729.05026</v>
      </c>
      <c r="Q167" s="13" t="n">
        <v>1907.50923</v>
      </c>
      <c r="R167" s="13" t="n">
        <v>1977.468624</v>
      </c>
      <c r="S167" s="13" t="n">
        <v>1870.565145</v>
      </c>
      <c r="T167" s="13" t="n">
        <v>1871.95904</v>
      </c>
      <c r="U167" s="13" t="n">
        <v>2106.017813</v>
      </c>
      <c r="V167" s="13" t="n">
        <v>1969.48284</v>
      </c>
      <c r="W167" s="13" t="n">
        <v>2581.555072</v>
      </c>
      <c r="X167" s="13" t="n">
        <v>2581.046768</v>
      </c>
      <c r="Y167" s="13" t="n">
        <v>2600.508666</v>
      </c>
      <c r="Z167" s="13" t="n">
        <v>2610.04128</v>
      </c>
      <c r="AA167" s="13" t="n">
        <v>1930.48731</v>
      </c>
      <c r="AB167" s="13" t="n">
        <v>2571.514632</v>
      </c>
      <c r="AC167" s="13" t="n">
        <v>2772.3608</v>
      </c>
      <c r="AD167" s="13" t="n">
        <v>2665.6152</v>
      </c>
      <c r="AE167" s="13" t="n">
        <v>2666.01132</v>
      </c>
      <c r="AF167" s="13" t="n">
        <v>2522.6872</v>
      </c>
      <c r="AG167" s="13" t="n">
        <v>2585.73902</v>
      </c>
      <c r="AH167" s="13" t="n">
        <v>2563.4499</v>
      </c>
      <c r="AI167" s="13" t="n">
        <v>2594.17397</v>
      </c>
      <c r="AJ167" s="13" t="n">
        <v>2563.42167</v>
      </c>
      <c r="AK167" s="13" t="n">
        <v>2450.34165</v>
      </c>
      <c r="AL167" s="13" t="n">
        <v>2594.741928</v>
      </c>
      <c r="AM167" s="13" t="n">
        <v>3233.92379</v>
      </c>
      <c r="AN167" s="13" t="n">
        <v>2449.864959</v>
      </c>
      <c r="AO167" s="13" t="n">
        <v>2581.71995</v>
      </c>
      <c r="AP167" s="13" t="n">
        <v>2570.79888</v>
      </c>
      <c r="AQ167" s="13" t="n">
        <v>2645.47653</v>
      </c>
      <c r="AR167" s="13" t="n">
        <v>2539.993054</v>
      </c>
      <c r="AS167" s="13" t="n">
        <v>2530.331946</v>
      </c>
      <c r="AT167" s="13" t="n">
        <v>2530.906376</v>
      </c>
    </row>
    <row r="168" customFormat="false" ht="15" hidden="false" customHeight="true" outlineLevel="0" collapsed="false">
      <c r="A168" s="12" t="s">
        <v>557</v>
      </c>
      <c r="B168" s="12" t="s">
        <v>558</v>
      </c>
      <c r="C168" s="12" t="n">
        <v>1</v>
      </c>
      <c r="D168" s="12" t="s">
        <v>559</v>
      </c>
      <c r="E168" s="13" t="n">
        <v>8160.055776</v>
      </c>
      <c r="F168" s="13" t="n">
        <v>7529.975868</v>
      </c>
      <c r="G168" s="13" t="n">
        <v>8129.930748</v>
      </c>
      <c r="H168" s="13" t="n">
        <v>7530.074928</v>
      </c>
      <c r="I168" s="13" t="n">
        <v>7739.929456</v>
      </c>
      <c r="J168" s="13" t="n">
        <v>7710.070615</v>
      </c>
      <c r="K168" s="13" t="n">
        <v>6840.074508</v>
      </c>
      <c r="L168" s="13" t="n">
        <v>11680.069828</v>
      </c>
      <c r="M168" s="13" t="n">
        <v>12519.926685</v>
      </c>
      <c r="N168" s="13" t="n">
        <v>14119.9857</v>
      </c>
      <c r="O168" s="13" t="n">
        <v>14481.996561</v>
      </c>
      <c r="P168" s="13" t="n">
        <v>10950.031309</v>
      </c>
      <c r="Q168" s="13" t="n">
        <v>10268.95833</v>
      </c>
      <c r="R168" s="13" t="n">
        <v>9355.539447</v>
      </c>
      <c r="S168" s="13" t="n">
        <v>8883.075525</v>
      </c>
      <c r="T168" s="13" t="n">
        <v>8599.50336</v>
      </c>
      <c r="U168" s="13" t="n">
        <v>8189.918559</v>
      </c>
      <c r="V168" s="13" t="n">
        <v>7906.48794</v>
      </c>
      <c r="W168" s="13" t="n">
        <v>6646.454288</v>
      </c>
      <c r="X168" s="13" t="n">
        <v>7780.420328</v>
      </c>
      <c r="Y168" s="13" t="n">
        <v>8504.9568</v>
      </c>
      <c r="Z168" s="13" t="n">
        <v>7937.973472</v>
      </c>
      <c r="AA168" s="13" t="n">
        <v>7308.05472</v>
      </c>
      <c r="AB168" s="13" t="n">
        <v>6803.950896</v>
      </c>
      <c r="AC168" s="13" t="n">
        <v>6861.4172</v>
      </c>
      <c r="AD168" s="13" t="n">
        <v>6697.2966</v>
      </c>
      <c r="AE168" s="13" t="n">
        <v>6565.92804</v>
      </c>
      <c r="AF168" s="13" t="n">
        <v>6533.2586</v>
      </c>
      <c r="AG168" s="13" t="n">
        <v>6927.21008</v>
      </c>
      <c r="AH168" s="13" t="n">
        <v>6795.76725</v>
      </c>
      <c r="AI168" s="13" t="n">
        <v>6927.07044</v>
      </c>
      <c r="AJ168" s="13" t="n">
        <v>6730.17012</v>
      </c>
      <c r="AK168" s="13" t="n">
        <v>6959.90955</v>
      </c>
      <c r="AL168" s="13" t="n">
        <v>6762.942139</v>
      </c>
      <c r="AM168" s="13" t="n">
        <v>6894.329305</v>
      </c>
      <c r="AN168" s="13" t="n">
        <v>6795.88907</v>
      </c>
      <c r="AO168" s="13" t="n">
        <v>7386.736092</v>
      </c>
      <c r="AP168" s="13" t="n">
        <v>7488.75888</v>
      </c>
      <c r="AQ168" s="13" t="n">
        <v>7965.40127</v>
      </c>
      <c r="AR168" s="13" t="n">
        <v>7795.229736</v>
      </c>
      <c r="AS168" s="13" t="n">
        <v>7624.92285</v>
      </c>
      <c r="AT168" s="13" t="n">
        <v>7216.434728</v>
      </c>
    </row>
    <row r="169" customFormat="false" ht="15" hidden="false" customHeight="true" outlineLevel="0" collapsed="false">
      <c r="A169" s="12" t="s">
        <v>560</v>
      </c>
      <c r="B169" s="12" t="s">
        <v>561</v>
      </c>
      <c r="C169" s="12" t="n">
        <v>1</v>
      </c>
      <c r="D169" s="12" t="s">
        <v>562</v>
      </c>
      <c r="E169" s="13" t="n">
        <v>0</v>
      </c>
      <c r="F169" s="13" t="n">
        <v>0</v>
      </c>
      <c r="G169" s="13" t="n">
        <v>0</v>
      </c>
      <c r="H169" s="13" t="n">
        <v>0</v>
      </c>
      <c r="I169" s="13" t="n">
        <v>0</v>
      </c>
      <c r="J169" s="13" t="n">
        <v>2624.992425</v>
      </c>
      <c r="K169" s="13" t="n">
        <v>3324.996816</v>
      </c>
      <c r="L169" s="13" t="n">
        <v>3849.92839</v>
      </c>
      <c r="M169" s="13" t="n">
        <v>4304.920095</v>
      </c>
      <c r="N169" s="13" t="n">
        <v>2730.04458</v>
      </c>
      <c r="O169" s="13" t="n">
        <v>2869.933562</v>
      </c>
      <c r="P169" s="13" t="n">
        <v>2799.97865</v>
      </c>
      <c r="Q169" s="13" t="n">
        <v>3380.978556</v>
      </c>
      <c r="R169" s="13" t="n">
        <v>3638.179869</v>
      </c>
      <c r="S169" s="13" t="n">
        <v>3601.52847</v>
      </c>
      <c r="T169" s="13" t="n">
        <v>3932.20352</v>
      </c>
      <c r="U169" s="13" t="n">
        <v>3785.270725</v>
      </c>
      <c r="V169" s="13" t="n">
        <v>3601.445328</v>
      </c>
      <c r="W169" s="13" t="n">
        <v>3822.081536</v>
      </c>
      <c r="X169" s="13" t="n">
        <v>3858.680782</v>
      </c>
      <c r="Y169" s="13" t="n">
        <v>3858.7304</v>
      </c>
      <c r="Z169" s="13" t="n">
        <v>4410.007536</v>
      </c>
      <c r="AA169" s="13" t="n">
        <v>4556.92152</v>
      </c>
      <c r="AB169" s="13" t="n">
        <v>4446.72915</v>
      </c>
      <c r="AC169" s="13" t="n">
        <v>4226.1648</v>
      </c>
      <c r="AD169" s="13" t="n">
        <v>3785.3214</v>
      </c>
      <c r="AE169" s="13" t="n">
        <v>3858.68448</v>
      </c>
      <c r="AF169" s="13" t="n">
        <v>3969.0618</v>
      </c>
      <c r="AG169" s="13" t="n">
        <v>4336.45358</v>
      </c>
      <c r="AH169" s="13" t="n">
        <v>4410.0252</v>
      </c>
      <c r="AI169" s="13" t="n">
        <v>5181.76899</v>
      </c>
      <c r="AJ169" s="13" t="n">
        <v>4336.54974</v>
      </c>
      <c r="AK169" s="13" t="n">
        <v>5181.7287</v>
      </c>
      <c r="AL169" s="13" t="n">
        <v>5659.513768</v>
      </c>
      <c r="AM169" s="13" t="n">
        <v>5549.215116</v>
      </c>
      <c r="AN169" s="13" t="n">
        <v>5990.23723</v>
      </c>
      <c r="AO169" s="13" t="n">
        <v>6364.392232</v>
      </c>
      <c r="AP169" s="13" t="n">
        <v>7088.41968</v>
      </c>
      <c r="AQ169" s="13" t="n">
        <v>7050.439401</v>
      </c>
      <c r="AR169" s="13" t="n">
        <v>7164.748692</v>
      </c>
      <c r="AS169" s="13" t="n">
        <v>7088.495247</v>
      </c>
      <c r="AT169" s="13" t="n">
        <v>7583.968328</v>
      </c>
    </row>
    <row r="170" customFormat="false" ht="15" hidden="false" customHeight="true" outlineLevel="0" collapsed="false">
      <c r="A170" s="12" t="s">
        <v>563</v>
      </c>
      <c r="B170" s="12" t="s">
        <v>564</v>
      </c>
      <c r="C170" s="12" t="n">
        <v>1</v>
      </c>
      <c r="D170" s="12" t="s">
        <v>565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749.926941</v>
      </c>
      <c r="S170" s="13" t="n">
        <v>749.94627</v>
      </c>
      <c r="T170" s="13" t="n">
        <v>750.07744</v>
      </c>
      <c r="U170" s="13" t="n">
        <v>749.932919</v>
      </c>
      <c r="V170" s="13" t="n">
        <v>750.024756</v>
      </c>
      <c r="W170" s="13" t="n">
        <v>750.016</v>
      </c>
      <c r="X170" s="13" t="n">
        <v>749.963036</v>
      </c>
      <c r="Y170" s="13" t="n">
        <v>750.08994</v>
      </c>
      <c r="Z170" s="13" t="n">
        <v>749.935824</v>
      </c>
      <c r="AA170" s="13" t="n">
        <v>750.03075</v>
      </c>
      <c r="AB170" s="13" t="n">
        <v>749.923924</v>
      </c>
      <c r="AC170" s="13" t="n">
        <v>781.4972</v>
      </c>
      <c r="AD170" s="13" t="n">
        <v>781.5771</v>
      </c>
      <c r="AE170" s="13" t="n">
        <v>781.57548</v>
      </c>
      <c r="AF170" s="13" t="n">
        <v>781.6336</v>
      </c>
      <c r="AG170" s="13" t="n">
        <v>781.569</v>
      </c>
      <c r="AH170" s="13" t="n">
        <v>781.65015</v>
      </c>
      <c r="AI170" s="13" t="n">
        <v>781.57926</v>
      </c>
      <c r="AJ170" s="13" t="n">
        <v>781.53327</v>
      </c>
      <c r="AK170" s="13" t="n">
        <v>781.497</v>
      </c>
      <c r="AL170" s="13" t="n">
        <v>781.664164</v>
      </c>
      <c r="AM170" s="13" t="n">
        <v>781.608013</v>
      </c>
      <c r="AN170" s="13" t="n">
        <v>781.554218</v>
      </c>
      <c r="AO170" s="13" t="n">
        <v>810.461802</v>
      </c>
      <c r="AP170" s="13" t="n">
        <v>810.34176</v>
      </c>
      <c r="AQ170" s="13" t="n">
        <v>810.482748</v>
      </c>
      <c r="AR170" s="13" t="n">
        <v>810.46812</v>
      </c>
      <c r="AS170" s="13" t="n">
        <v>810.440154</v>
      </c>
      <c r="AT170" s="13" t="n">
        <v>810.499096</v>
      </c>
    </row>
    <row r="171" customFormat="false" ht="15" hidden="false" customHeight="true" outlineLevel="0" collapsed="false">
      <c r="A171" s="12" t="s">
        <v>566</v>
      </c>
      <c r="B171" s="12" t="s">
        <v>567</v>
      </c>
      <c r="C171" s="12" t="n">
        <v>1</v>
      </c>
      <c r="D171" s="12" t="s">
        <v>568</v>
      </c>
      <c r="E171" s="13" t="n">
        <v>6984.916092</v>
      </c>
      <c r="F171" s="13" t="n">
        <v>6002.744094</v>
      </c>
      <c r="G171" s="13" t="n">
        <v>9440.573471</v>
      </c>
      <c r="H171" s="13" t="n">
        <v>9495.210906</v>
      </c>
      <c r="I171" s="13" t="n">
        <v>12169.109036</v>
      </c>
      <c r="J171" s="13" t="n">
        <v>11787.06276</v>
      </c>
      <c r="K171" s="13" t="n">
        <v>13151.29362</v>
      </c>
      <c r="L171" s="13" t="n">
        <v>12005.446551</v>
      </c>
      <c r="M171" s="13" t="n">
        <v>14952.20742</v>
      </c>
      <c r="N171" s="13" t="n">
        <v>13315.06521</v>
      </c>
      <c r="O171" s="13" t="n">
        <v>13205.858697</v>
      </c>
      <c r="P171" s="13" t="n">
        <v>12933.025252</v>
      </c>
      <c r="Q171" s="13" t="n">
        <v>13178.639601</v>
      </c>
      <c r="R171" s="13" t="n">
        <v>16559.24841</v>
      </c>
      <c r="S171" s="13" t="n">
        <v>16731.211965</v>
      </c>
      <c r="T171" s="13" t="n">
        <v>17246.84416</v>
      </c>
      <c r="U171" s="13" t="n">
        <v>17705.232919</v>
      </c>
      <c r="V171" s="13" t="n">
        <v>17877.156024</v>
      </c>
      <c r="W171" s="13" t="n">
        <v>17762.628928</v>
      </c>
      <c r="X171" s="13" t="n">
        <v>18163.700204</v>
      </c>
      <c r="Y171" s="13" t="n">
        <v>17762.562902</v>
      </c>
      <c r="Z171" s="13" t="n">
        <v>17992.245392</v>
      </c>
      <c r="AA171" s="13" t="n">
        <v>18450.55236</v>
      </c>
      <c r="AB171" s="13" t="n">
        <v>17476.505564</v>
      </c>
      <c r="AC171" s="13" t="n">
        <v>16061.9492</v>
      </c>
      <c r="AD171" s="13" t="n">
        <v>15942.5715</v>
      </c>
      <c r="AE171" s="13" t="n">
        <v>15524.55072</v>
      </c>
      <c r="AF171" s="13" t="n">
        <v>15345.4334</v>
      </c>
      <c r="AG171" s="13" t="n">
        <v>15703.7475</v>
      </c>
      <c r="AH171" s="13" t="n">
        <v>20182.0218</v>
      </c>
      <c r="AI171" s="13" t="n">
        <v>21256.77542</v>
      </c>
      <c r="AJ171" s="13" t="n">
        <v>20301.41241</v>
      </c>
      <c r="AK171" s="13" t="n">
        <v>20480.54145</v>
      </c>
      <c r="AL171" s="13" t="n">
        <v>21077.67364</v>
      </c>
      <c r="AM171" s="13" t="n">
        <v>22450.915169</v>
      </c>
      <c r="AN171" s="13" t="n">
        <v>22928.7075</v>
      </c>
      <c r="AO171" s="13" t="n">
        <v>22411.39799</v>
      </c>
      <c r="AP171" s="13" t="n">
        <v>20987.43744</v>
      </c>
      <c r="AQ171" s="13" t="n">
        <v>21235.155002</v>
      </c>
      <c r="AR171" s="13" t="n">
        <v>21111.291118</v>
      </c>
      <c r="AS171" s="13" t="n">
        <v>20492.261442</v>
      </c>
      <c r="AT171" s="13" t="n">
        <v>20554.054056</v>
      </c>
    </row>
    <row r="172" customFormat="false" ht="15" hidden="false" customHeight="true" outlineLevel="0" collapsed="false">
      <c r="A172" s="12" t="s">
        <v>569</v>
      </c>
      <c r="B172" s="12" t="s">
        <v>570</v>
      </c>
      <c r="C172" s="12" t="n">
        <v>1</v>
      </c>
      <c r="D172" s="12" t="s">
        <v>571</v>
      </c>
      <c r="E172" s="13" t="n">
        <v>0</v>
      </c>
      <c r="F172" s="13" t="n">
        <v>0</v>
      </c>
      <c r="G172" s="13" t="n">
        <v>0</v>
      </c>
      <c r="H172" s="13" t="n">
        <v>95767.819074</v>
      </c>
      <c r="I172" s="13" t="n">
        <v>87843.922145</v>
      </c>
      <c r="J172" s="13" t="n">
        <v>90004.994425</v>
      </c>
      <c r="K172" s="13" t="n">
        <v>94487.21754</v>
      </c>
      <c r="L172" s="13" t="n">
        <v>96127.972752</v>
      </c>
      <c r="M172" s="13" t="n">
        <v>94927.51575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</row>
    <row r="173" customFormat="false" ht="15" hidden="false" customHeight="true" outlineLevel="0" collapsed="false">
      <c r="A173" s="12" t="s">
        <v>572</v>
      </c>
      <c r="B173" s="12" t="s">
        <v>573</v>
      </c>
      <c r="C173" s="12" t="n">
        <v>1</v>
      </c>
      <c r="D173" s="12" t="s">
        <v>574</v>
      </c>
      <c r="E173" s="13" t="n">
        <v>0</v>
      </c>
      <c r="F173" s="13" t="n">
        <v>0</v>
      </c>
      <c r="G173" s="13" t="n">
        <v>0</v>
      </c>
      <c r="H173" s="13" t="n">
        <v>0</v>
      </c>
      <c r="I173" s="13" t="n">
        <v>0</v>
      </c>
      <c r="J173" s="13" t="n">
        <v>0</v>
      </c>
      <c r="K173" s="13" t="n">
        <v>0</v>
      </c>
      <c r="L173" s="13" t="n">
        <v>0</v>
      </c>
      <c r="M173" s="13" t="n">
        <v>0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19999.945575</v>
      </c>
      <c r="T173" s="13" t="n">
        <v>19999.96544</v>
      </c>
      <c r="U173" s="13" t="n">
        <v>19999.963221</v>
      </c>
      <c r="V173" s="13" t="n">
        <v>19999.923216</v>
      </c>
      <c r="W173" s="13" t="n">
        <v>19999.926656</v>
      </c>
      <c r="X173" s="13" t="n">
        <v>19999.939684</v>
      </c>
      <c r="Y173" s="13" t="n">
        <v>20000.035912</v>
      </c>
      <c r="Z173" s="13" t="n">
        <v>20000.092816</v>
      </c>
      <c r="AA173" s="13" t="n">
        <v>20000.00364</v>
      </c>
      <c r="AB173" s="13" t="n">
        <v>20000.062298</v>
      </c>
      <c r="AC173" s="13" t="n">
        <v>20000.0416</v>
      </c>
      <c r="AD173" s="13" t="n">
        <v>19999.9154</v>
      </c>
      <c r="AE173" s="13" t="n">
        <v>26035.09776</v>
      </c>
      <c r="AF173" s="13" t="n">
        <v>19693.7598</v>
      </c>
      <c r="AG173" s="13" t="n">
        <v>20194.00614</v>
      </c>
      <c r="AH173" s="13" t="n">
        <v>20100.24975</v>
      </c>
      <c r="AI173" s="13" t="n">
        <v>19975.19596</v>
      </c>
      <c r="AJ173" s="13" t="n">
        <v>20037.67056</v>
      </c>
      <c r="AK173" s="13" t="n">
        <v>20537.77785</v>
      </c>
      <c r="AL173" s="13" t="n">
        <v>21256.881753</v>
      </c>
      <c r="AM173" s="13" t="n">
        <v>22100.741572</v>
      </c>
      <c r="AN173" s="13" t="n">
        <v>22350.904071</v>
      </c>
      <c r="AO173" s="13" t="n">
        <v>23497.185786</v>
      </c>
      <c r="AP173" s="13" t="n">
        <v>23367.55752</v>
      </c>
      <c r="AQ173" s="13" t="n">
        <v>22719.410383</v>
      </c>
      <c r="AR173" s="13" t="n">
        <v>17695.922324</v>
      </c>
      <c r="AS173" s="13" t="n">
        <v>17695.879407</v>
      </c>
      <c r="AT173" s="13" t="n">
        <v>18019.997392</v>
      </c>
    </row>
    <row r="174" customFormat="false" ht="15" hidden="false" customHeight="true" outlineLevel="0" collapsed="false">
      <c r="A174" s="12" t="s">
        <v>575</v>
      </c>
      <c r="B174" s="12" t="s">
        <v>576</v>
      </c>
      <c r="C174" s="12" t="n">
        <v>1</v>
      </c>
      <c r="D174" s="12" t="s">
        <v>577</v>
      </c>
      <c r="E174" s="13" t="n">
        <v>0</v>
      </c>
      <c r="F174" s="13" t="n">
        <v>0</v>
      </c>
      <c r="G174" s="13" t="n">
        <v>0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1482.07581</v>
      </c>
      <c r="S174" s="13" t="n">
        <v>1429.926225</v>
      </c>
      <c r="T174" s="13" t="n">
        <v>0</v>
      </c>
      <c r="U174" s="13" t="n">
        <v>0</v>
      </c>
      <c r="V174" s="13" t="n">
        <v>0</v>
      </c>
      <c r="W174" s="13" t="n">
        <v>0</v>
      </c>
      <c r="X174" s="13" t="n">
        <v>0</v>
      </c>
      <c r="Y174" s="13" t="n">
        <v>0</v>
      </c>
      <c r="Z174" s="13" t="n">
        <v>0</v>
      </c>
      <c r="AA174" s="13" t="n">
        <v>0</v>
      </c>
      <c r="AB174" s="13" t="n">
        <v>0</v>
      </c>
      <c r="AC174" s="13" t="n">
        <v>0</v>
      </c>
      <c r="AD174" s="13" t="n">
        <v>0</v>
      </c>
      <c r="AE174" s="13" t="n">
        <v>0</v>
      </c>
      <c r="AF174" s="13" t="n">
        <v>0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</v>
      </c>
      <c r="AM174" s="13" t="n">
        <v>0</v>
      </c>
      <c r="AN174" s="13" t="n">
        <v>0</v>
      </c>
      <c r="AO174" s="13" t="n">
        <v>0</v>
      </c>
      <c r="AP174" s="13" t="n">
        <v>0</v>
      </c>
      <c r="AQ174" s="13" t="n">
        <v>0</v>
      </c>
      <c r="AR174" s="13" t="n">
        <v>0</v>
      </c>
      <c r="AS174" s="13" t="n">
        <v>0</v>
      </c>
      <c r="AT174" s="13" t="n">
        <v>0</v>
      </c>
    </row>
    <row r="175" customFormat="false" ht="15" hidden="false" customHeight="true" outlineLevel="0" collapsed="false">
      <c r="A175" s="12" t="s">
        <v>578</v>
      </c>
      <c r="B175" s="12" t="s">
        <v>579</v>
      </c>
      <c r="C175" s="12" t="n">
        <v>1</v>
      </c>
      <c r="D175" s="12" t="s">
        <v>580</v>
      </c>
      <c r="E175" s="13" t="n">
        <v>1476.577944</v>
      </c>
      <c r="F175" s="13" t="n">
        <v>1155.68328</v>
      </c>
      <c r="G175" s="13" t="n">
        <v>1219.779217</v>
      </c>
      <c r="H175" s="13" t="n">
        <v>963.086193</v>
      </c>
      <c r="I175" s="13" t="n">
        <v>1091.388025</v>
      </c>
      <c r="J175" s="13" t="n">
        <v>1155.544075</v>
      </c>
      <c r="K175" s="13" t="n">
        <v>1091.42136</v>
      </c>
      <c r="L175" s="13" t="n">
        <v>1091.343337</v>
      </c>
      <c r="M175" s="13" t="n">
        <v>1540.732365</v>
      </c>
      <c r="N175" s="13" t="n">
        <v>1861.88679</v>
      </c>
      <c r="O175" s="13" t="n">
        <v>1540.795366</v>
      </c>
      <c r="P175" s="13" t="n">
        <v>1283.929787</v>
      </c>
      <c r="Q175" s="13" t="n">
        <v>1348.133436</v>
      </c>
      <c r="R175" s="13" t="n">
        <v>1604.983827</v>
      </c>
      <c r="S175" s="13" t="n">
        <v>1540.747575</v>
      </c>
      <c r="T175" s="13" t="n">
        <v>963.04768</v>
      </c>
      <c r="U175" s="13" t="n">
        <v>256.872795</v>
      </c>
      <c r="V175" s="13" t="n">
        <v>0</v>
      </c>
      <c r="W175" s="13" t="n">
        <v>0</v>
      </c>
      <c r="X175" s="13" t="n">
        <v>0</v>
      </c>
      <c r="Y175" s="13" t="n">
        <v>0</v>
      </c>
      <c r="Z175" s="13" t="n">
        <v>0</v>
      </c>
      <c r="AA175" s="13" t="n">
        <v>0</v>
      </c>
      <c r="AB175" s="13" t="n">
        <v>0</v>
      </c>
      <c r="AC175" s="13" t="n">
        <v>0</v>
      </c>
      <c r="AD175" s="13" t="n">
        <v>0</v>
      </c>
      <c r="AE175" s="13" t="n">
        <v>0</v>
      </c>
      <c r="AF175" s="13" t="n">
        <v>0</v>
      </c>
      <c r="AG175" s="13" t="n">
        <v>0</v>
      </c>
      <c r="AH175" s="13" t="n">
        <v>0</v>
      </c>
      <c r="AI175" s="13" t="n">
        <v>0</v>
      </c>
      <c r="AJ175" s="13" t="n">
        <v>0</v>
      </c>
      <c r="AK175" s="13" t="n">
        <v>0</v>
      </c>
      <c r="AL175" s="13" t="n">
        <v>0</v>
      </c>
      <c r="AM175" s="13" t="n">
        <v>0</v>
      </c>
      <c r="AN175" s="13" t="n">
        <v>0</v>
      </c>
      <c r="AO175" s="13" t="n">
        <v>0</v>
      </c>
      <c r="AP175" s="13" t="n">
        <v>0</v>
      </c>
      <c r="AQ175" s="13" t="n">
        <v>0</v>
      </c>
      <c r="AR175" s="13" t="n">
        <v>0</v>
      </c>
      <c r="AS175" s="13" t="n">
        <v>0</v>
      </c>
      <c r="AT175" s="13" t="n">
        <v>0</v>
      </c>
    </row>
    <row r="176" customFormat="false" ht="15" hidden="false" customHeight="true" outlineLevel="0" collapsed="false">
      <c r="A176" s="12" t="s">
        <v>581</v>
      </c>
      <c r="B176" s="12" t="s">
        <v>582</v>
      </c>
      <c r="C176" s="12" t="n">
        <v>1</v>
      </c>
      <c r="D176" s="12" t="s">
        <v>583</v>
      </c>
      <c r="E176" s="13" t="n">
        <v>0</v>
      </c>
      <c r="F176" s="13" t="n">
        <v>0</v>
      </c>
      <c r="G176" s="13" t="n">
        <v>0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</v>
      </c>
      <c r="Q176" s="13" t="n">
        <v>0</v>
      </c>
      <c r="R176" s="13" t="n">
        <v>0</v>
      </c>
      <c r="S176" s="13" t="n">
        <v>749.94627</v>
      </c>
      <c r="T176" s="13" t="n">
        <v>750.07744</v>
      </c>
      <c r="U176" s="13" t="n">
        <v>749.932919</v>
      </c>
      <c r="V176" s="13" t="n">
        <v>750.024756</v>
      </c>
      <c r="W176" s="13" t="n">
        <v>750.016</v>
      </c>
      <c r="X176" s="13" t="n">
        <v>749.963036</v>
      </c>
      <c r="Y176" s="13" t="n">
        <v>750.08994</v>
      </c>
      <c r="Z176" s="13" t="n">
        <v>749.935824</v>
      </c>
      <c r="AA176" s="13" t="n">
        <v>750.03075</v>
      </c>
      <c r="AB176" s="13" t="n">
        <v>749.923924</v>
      </c>
      <c r="AC176" s="13" t="n">
        <v>781.4972</v>
      </c>
      <c r="AD176" s="13" t="n">
        <v>1111.4942</v>
      </c>
      <c r="AE176" s="13" t="n">
        <v>781.57548</v>
      </c>
      <c r="AF176" s="13" t="n">
        <v>781.6336</v>
      </c>
      <c r="AG176" s="13" t="n">
        <v>781.569</v>
      </c>
      <c r="AH176" s="13" t="n">
        <v>781.65015</v>
      </c>
      <c r="AI176" s="13" t="n">
        <v>781.57926</v>
      </c>
      <c r="AJ176" s="13" t="n">
        <v>781.53327</v>
      </c>
      <c r="AK176" s="13" t="n">
        <v>781.497</v>
      </c>
      <c r="AL176" s="13" t="n">
        <v>836.550102</v>
      </c>
      <c r="AM176" s="13" t="n">
        <v>836.637913</v>
      </c>
      <c r="AN176" s="13" t="n">
        <v>836.583116</v>
      </c>
      <c r="AO176" s="13" t="n">
        <v>867.526864</v>
      </c>
      <c r="AP176" s="13" t="n">
        <v>867.45912</v>
      </c>
      <c r="AQ176" s="13" t="n">
        <v>867.520743</v>
      </c>
      <c r="AR176" s="13" t="n">
        <v>867.48157</v>
      </c>
      <c r="AS176" s="13" t="n">
        <v>867.389067</v>
      </c>
      <c r="AT176" s="13" t="n">
        <v>867.379296</v>
      </c>
    </row>
    <row r="177" customFormat="false" ht="15" hidden="false" customHeight="true" outlineLevel="0" collapsed="false">
      <c r="A177" s="12" t="s">
        <v>584</v>
      </c>
      <c r="B177" s="12" t="s">
        <v>585</v>
      </c>
      <c r="C177" s="12" t="n">
        <v>1</v>
      </c>
      <c r="D177" s="12" t="s">
        <v>586</v>
      </c>
      <c r="E177" s="13" t="n">
        <v>0</v>
      </c>
      <c r="F177" s="13" t="n">
        <v>0</v>
      </c>
      <c r="G177" s="13" t="n">
        <v>0</v>
      </c>
      <c r="H177" s="13" t="n">
        <v>0</v>
      </c>
      <c r="I177" s="13" t="n">
        <v>0</v>
      </c>
      <c r="J177" s="13" t="n">
        <v>0</v>
      </c>
      <c r="K177" s="13" t="n">
        <v>0</v>
      </c>
      <c r="L177" s="13" t="n">
        <v>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0</v>
      </c>
      <c r="U177" s="13" t="n">
        <v>0</v>
      </c>
      <c r="V177" s="13" t="n">
        <v>0</v>
      </c>
      <c r="W177" s="13" t="n">
        <v>0</v>
      </c>
      <c r="X177" s="13" t="n">
        <v>0</v>
      </c>
      <c r="Y177" s="13" t="n">
        <v>0</v>
      </c>
      <c r="Z177" s="13" t="n">
        <v>0</v>
      </c>
      <c r="AA177" s="13" t="n">
        <v>0</v>
      </c>
      <c r="AB177" s="13" t="n">
        <v>0</v>
      </c>
      <c r="AC177" s="13" t="n">
        <v>0</v>
      </c>
      <c r="AD177" s="13" t="n">
        <v>0</v>
      </c>
      <c r="AE177" s="13" t="n">
        <v>0</v>
      </c>
      <c r="AF177" s="13" t="n">
        <v>0</v>
      </c>
      <c r="AG177" s="13" t="n">
        <v>0</v>
      </c>
      <c r="AH177" s="13" t="n">
        <v>0</v>
      </c>
      <c r="AI177" s="13" t="n">
        <v>0</v>
      </c>
      <c r="AJ177" s="13" t="n">
        <v>0</v>
      </c>
      <c r="AK177" s="13" t="n">
        <v>0</v>
      </c>
      <c r="AL177" s="13" t="n">
        <v>1364.965391</v>
      </c>
      <c r="AM177" s="13" t="n">
        <v>0</v>
      </c>
      <c r="AN177" s="13" t="n">
        <v>0</v>
      </c>
      <c r="AO177" s="13" t="n">
        <v>0</v>
      </c>
      <c r="AP177" s="13" t="n">
        <v>0</v>
      </c>
      <c r="AQ177" s="13" t="n">
        <v>0</v>
      </c>
      <c r="AR177" s="13" t="n">
        <v>0</v>
      </c>
      <c r="AS177" s="13" t="n">
        <v>0</v>
      </c>
      <c r="AT177" s="13" t="n">
        <v>0</v>
      </c>
    </row>
    <row r="178" customFormat="false" ht="15" hidden="false" customHeight="true" outlineLevel="0" collapsed="false">
      <c r="A178" s="12" t="s">
        <v>587</v>
      </c>
      <c r="B178" s="12" t="s">
        <v>588</v>
      </c>
      <c r="C178" s="12" t="n">
        <v>1</v>
      </c>
      <c r="D178" s="12" t="s">
        <v>589</v>
      </c>
      <c r="E178" s="13" t="n">
        <v>802.520676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</row>
    <row r="179" customFormat="false" ht="15" hidden="false" customHeight="true" outlineLevel="0" collapsed="false">
      <c r="A179" s="12" t="s">
        <v>590</v>
      </c>
      <c r="B179" s="12" t="s">
        <v>591</v>
      </c>
      <c r="C179" s="12" t="n">
        <v>1</v>
      </c>
      <c r="D179" s="12" t="s">
        <v>592</v>
      </c>
      <c r="E179" s="13" t="n">
        <v>0</v>
      </c>
      <c r="F179" s="13" t="n">
        <v>0</v>
      </c>
      <c r="G179" s="13" t="n">
        <v>0</v>
      </c>
      <c r="H179" s="13" t="n">
        <v>0</v>
      </c>
      <c r="I179" s="13" t="n">
        <v>0</v>
      </c>
      <c r="J179" s="13" t="n">
        <v>1429.932335</v>
      </c>
      <c r="K179" s="13" t="n">
        <v>1484.933832</v>
      </c>
      <c r="L179" s="13" t="n">
        <v>1485.044148</v>
      </c>
      <c r="M179" s="13" t="n">
        <v>1540.027305</v>
      </c>
      <c r="N179" s="13" t="n">
        <v>1539.918594</v>
      </c>
      <c r="O179" s="13" t="n">
        <v>1539.934971</v>
      </c>
      <c r="P179" s="13" t="n">
        <v>1540.072849</v>
      </c>
      <c r="Q179" s="13" t="n">
        <v>1905.7923</v>
      </c>
      <c r="R179" s="13" t="n">
        <v>1674.728571</v>
      </c>
      <c r="S179" s="13" t="n">
        <v>1674.725625</v>
      </c>
      <c r="T179" s="13" t="n">
        <v>1905.66656</v>
      </c>
      <c r="U179" s="13" t="n">
        <v>1559.209388</v>
      </c>
      <c r="V179" s="13" t="n">
        <v>1559.189268</v>
      </c>
      <c r="W179" s="13" t="n">
        <v>1559.283264</v>
      </c>
      <c r="X179" s="13" t="n">
        <v>1732.529626</v>
      </c>
      <c r="Y179" s="13" t="n">
        <v>1848.056238</v>
      </c>
      <c r="Z179" s="13" t="n">
        <v>1848.077616</v>
      </c>
      <c r="AA179" s="13" t="n">
        <v>1848.03495</v>
      </c>
      <c r="AB179" s="13" t="n">
        <v>1848.099082</v>
      </c>
      <c r="AC179" s="13" t="n">
        <v>0</v>
      </c>
      <c r="AD179" s="13" t="n">
        <v>0</v>
      </c>
      <c r="AE179" s="13" t="n">
        <v>1662.35328</v>
      </c>
      <c r="AF179" s="13" t="n">
        <v>1662.342</v>
      </c>
      <c r="AG179" s="13" t="n">
        <v>1662.32972</v>
      </c>
      <c r="AH179" s="13" t="n">
        <v>1662.2577</v>
      </c>
      <c r="AI179" s="13" t="n">
        <v>1719.54956</v>
      </c>
      <c r="AJ179" s="13" t="n">
        <v>1605.00429</v>
      </c>
      <c r="AK179" s="13" t="n">
        <v>1605.00405</v>
      </c>
      <c r="AL179" s="13" t="n">
        <v>1490.392652</v>
      </c>
      <c r="AM179" s="13" t="n">
        <v>1490.393125</v>
      </c>
      <c r="AN179" s="13" t="n">
        <v>1490.276071</v>
      </c>
      <c r="AO179" s="13" t="n">
        <v>1545.411528</v>
      </c>
      <c r="AP179" s="13" t="n">
        <v>1783.23504</v>
      </c>
      <c r="AQ179" s="13" t="n">
        <v>1486.066111</v>
      </c>
      <c r="AR179" s="13" t="n">
        <v>1545.50306</v>
      </c>
      <c r="AS179" s="13" t="n">
        <v>1486.037745</v>
      </c>
      <c r="AT179" s="13" t="n">
        <v>1486.060856</v>
      </c>
    </row>
    <row r="180" customFormat="false" ht="15" hidden="false" customHeight="true" outlineLevel="0" collapsed="false">
      <c r="A180" s="12" t="s">
        <v>593</v>
      </c>
      <c r="B180" s="12" t="s">
        <v>594</v>
      </c>
      <c r="C180" s="12" t="n">
        <v>1</v>
      </c>
      <c r="D180" s="12" t="s">
        <v>595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2699.98845</v>
      </c>
      <c r="AI180" s="13" t="n">
        <v>3750.0015</v>
      </c>
      <c r="AJ180" s="13" t="n">
        <v>3749.98041</v>
      </c>
      <c r="AK180" s="13" t="n">
        <v>2649.93525</v>
      </c>
      <c r="AL180" s="13" t="n">
        <v>2649.996228</v>
      </c>
      <c r="AM180" s="13" t="n">
        <v>1450.037865</v>
      </c>
      <c r="AN180" s="13" t="n">
        <v>1449.993479</v>
      </c>
      <c r="AO180" s="13" t="n">
        <v>1503.34544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</row>
    <row r="181" customFormat="false" ht="15" hidden="false" customHeight="true" outlineLevel="0" collapsed="false">
      <c r="A181" s="12" t="s">
        <v>596</v>
      </c>
      <c r="B181" s="12" t="s">
        <v>597</v>
      </c>
      <c r="C181" s="12" t="n">
        <v>1</v>
      </c>
      <c r="D181" s="12" t="s">
        <v>598</v>
      </c>
      <c r="E181" s="13" t="n">
        <v>3017.387592</v>
      </c>
      <c r="F181" s="13" t="n">
        <v>3017.474322</v>
      </c>
      <c r="G181" s="13" t="n">
        <v>3210.088205</v>
      </c>
      <c r="H181" s="13" t="n">
        <v>3145.768893</v>
      </c>
      <c r="I181" s="13" t="n">
        <v>2824.883369</v>
      </c>
      <c r="J181" s="13" t="n">
        <v>3017.415535</v>
      </c>
      <c r="K181" s="13" t="n">
        <v>3081.679944</v>
      </c>
      <c r="L181" s="13" t="n">
        <v>3081.617322</v>
      </c>
      <c r="M181" s="13" t="n">
        <v>3145.801455</v>
      </c>
      <c r="N181" s="13" t="n">
        <v>3209.925348</v>
      </c>
      <c r="O181" s="13" t="n">
        <v>3274.147133</v>
      </c>
      <c r="P181" s="13" t="n">
        <v>3081.668345</v>
      </c>
      <c r="Q181" s="13" t="n">
        <v>3081.545964</v>
      </c>
      <c r="R181" s="13" t="n">
        <v>0</v>
      </c>
      <c r="S181" s="13" t="n">
        <v>0</v>
      </c>
      <c r="T181" s="13" t="n">
        <v>0</v>
      </c>
      <c r="U181" s="13" t="n">
        <v>0</v>
      </c>
      <c r="V181" s="13" t="n">
        <v>0</v>
      </c>
      <c r="W181" s="13" t="n">
        <v>0</v>
      </c>
      <c r="X181" s="13" t="n">
        <v>0</v>
      </c>
      <c r="Y181" s="13" t="n">
        <v>0</v>
      </c>
      <c r="Z181" s="13" t="n">
        <v>0</v>
      </c>
      <c r="AA181" s="13" t="n">
        <v>0</v>
      </c>
      <c r="AB181" s="13" t="n">
        <v>0</v>
      </c>
      <c r="AC181" s="13" t="n">
        <v>0</v>
      </c>
      <c r="AD181" s="13" t="n">
        <v>0</v>
      </c>
      <c r="AE181" s="13" t="n">
        <v>0</v>
      </c>
      <c r="AF181" s="13" t="n">
        <v>0</v>
      </c>
      <c r="AG181" s="13" t="n">
        <v>0</v>
      </c>
      <c r="AH181" s="13" t="n">
        <v>0</v>
      </c>
      <c r="AI181" s="13" t="n">
        <v>0</v>
      </c>
      <c r="AJ181" s="13" t="n">
        <v>0</v>
      </c>
      <c r="AK181" s="13" t="n">
        <v>0</v>
      </c>
      <c r="AL181" s="13" t="n">
        <v>0</v>
      </c>
      <c r="AM181" s="13" t="n">
        <v>0</v>
      </c>
      <c r="AN181" s="13" t="n">
        <v>0</v>
      </c>
      <c r="AO181" s="13" t="n">
        <v>0</v>
      </c>
      <c r="AP181" s="13" t="n">
        <v>0</v>
      </c>
      <c r="AQ181" s="13" t="n">
        <v>0</v>
      </c>
      <c r="AR181" s="13" t="n">
        <v>0</v>
      </c>
      <c r="AS181" s="13" t="n">
        <v>0</v>
      </c>
      <c r="AT181" s="13" t="n">
        <v>0</v>
      </c>
    </row>
    <row r="182" customFormat="false" ht="15" hidden="false" customHeight="true" outlineLevel="0" collapsed="false">
      <c r="A182" s="12" t="s">
        <v>599</v>
      </c>
      <c r="B182" s="12" t="s">
        <v>600</v>
      </c>
      <c r="C182" s="12" t="n">
        <v>1</v>
      </c>
      <c r="D182" s="12" t="s">
        <v>601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19799.972966</v>
      </c>
      <c r="AO182" s="13" t="n">
        <v>19800.024896</v>
      </c>
      <c r="AP182" s="13" t="n">
        <v>21060.0852</v>
      </c>
      <c r="AQ182" s="13" t="n">
        <v>20159.943528</v>
      </c>
      <c r="AR182" s="13" t="n">
        <v>19799.981768</v>
      </c>
      <c r="AS182" s="13" t="n">
        <v>19800.046539</v>
      </c>
      <c r="AT182" s="13" t="n">
        <v>21060.025312</v>
      </c>
    </row>
    <row r="183" customFormat="false" ht="15" hidden="false" customHeight="true" outlineLevel="0" collapsed="false">
      <c r="A183" s="12" t="s">
        <v>602</v>
      </c>
      <c r="B183" s="12" t="s">
        <v>603</v>
      </c>
      <c r="C183" s="12" t="n">
        <v>1</v>
      </c>
      <c r="D183" s="12" t="s">
        <v>604</v>
      </c>
      <c r="E183" s="13" t="n">
        <v>5554.915524</v>
      </c>
      <c r="F183" s="13" t="n">
        <v>5280.073992</v>
      </c>
      <c r="G183" s="13" t="n">
        <v>5225.013601</v>
      </c>
      <c r="H183" s="13" t="n">
        <v>4894.981632</v>
      </c>
      <c r="I183" s="13" t="n">
        <v>5005.008274</v>
      </c>
      <c r="J183" s="13" t="n">
        <v>4729.94725</v>
      </c>
      <c r="K183" s="13" t="n">
        <v>4785.064932</v>
      </c>
      <c r="L183" s="13" t="n">
        <v>5060.001576</v>
      </c>
      <c r="M183" s="13" t="n">
        <v>5115.034035</v>
      </c>
      <c r="N183" s="13" t="n">
        <v>5004.961278</v>
      </c>
      <c r="O183" s="13" t="n">
        <v>4675.042272</v>
      </c>
      <c r="P183" s="13" t="n">
        <v>4675.033839</v>
      </c>
      <c r="Q183" s="13" t="n">
        <v>4966.563411</v>
      </c>
      <c r="R183" s="13" t="n">
        <v>5024.185713</v>
      </c>
      <c r="S183" s="13" t="n">
        <v>5601.771135</v>
      </c>
      <c r="T183" s="13" t="n">
        <v>5544.03584</v>
      </c>
      <c r="U183" s="13" t="n">
        <v>5082.012069</v>
      </c>
      <c r="V183" s="13" t="n">
        <v>5139.815928</v>
      </c>
      <c r="W183" s="13" t="n">
        <v>5081.920912</v>
      </c>
      <c r="X183" s="13" t="n">
        <v>8671.174944</v>
      </c>
      <c r="Y183" s="13" t="n">
        <v>0</v>
      </c>
      <c r="Z183" s="13" t="n">
        <v>0</v>
      </c>
      <c r="AA183" s="13" t="n">
        <v>0</v>
      </c>
      <c r="AB183" s="13" t="n">
        <v>0</v>
      </c>
      <c r="AC183" s="13" t="n">
        <v>0</v>
      </c>
      <c r="AD183" s="13" t="n">
        <v>0</v>
      </c>
      <c r="AE183" s="13" t="n">
        <v>0</v>
      </c>
      <c r="AF183" s="13" t="n">
        <v>0</v>
      </c>
      <c r="AG183" s="13" t="n">
        <v>0</v>
      </c>
      <c r="AH183" s="13" t="n">
        <v>0</v>
      </c>
      <c r="AI183" s="13" t="n">
        <v>0</v>
      </c>
      <c r="AJ183" s="13" t="n">
        <v>0</v>
      </c>
      <c r="AK183" s="13" t="n">
        <v>0</v>
      </c>
      <c r="AL183" s="13" t="n">
        <v>0</v>
      </c>
      <c r="AM183" s="13" t="n">
        <v>0</v>
      </c>
      <c r="AN183" s="13" t="n">
        <v>0</v>
      </c>
      <c r="AO183" s="13" t="n">
        <v>0</v>
      </c>
      <c r="AP183" s="13" t="n">
        <v>0</v>
      </c>
      <c r="AQ183" s="13" t="n">
        <v>0</v>
      </c>
      <c r="AR183" s="13" t="n">
        <v>0</v>
      </c>
      <c r="AS183" s="13" t="n">
        <v>0</v>
      </c>
      <c r="AT183" s="13" t="n">
        <v>0</v>
      </c>
    </row>
    <row r="184" customFormat="false" ht="15" hidden="false" customHeight="true" outlineLevel="0" collapsed="false">
      <c r="A184" s="12" t="s">
        <v>605</v>
      </c>
      <c r="B184" s="12" t="s">
        <v>606</v>
      </c>
      <c r="C184" s="12" t="n">
        <v>1</v>
      </c>
      <c r="D184" s="12" t="s">
        <v>607</v>
      </c>
      <c r="E184" s="13" t="n">
        <v>12000.059928</v>
      </c>
      <c r="F184" s="13" t="n">
        <v>0</v>
      </c>
      <c r="G184" s="13" t="n">
        <v>-1200.04989</v>
      </c>
      <c r="H184" s="13" t="n">
        <v>0</v>
      </c>
      <c r="I184" s="13" t="n">
        <v>0</v>
      </c>
      <c r="J184" s="13" t="n">
        <v>0</v>
      </c>
      <c r="K184" s="13" t="n">
        <v>37071.778644</v>
      </c>
      <c r="L184" s="13" t="n">
        <v>6120.029706</v>
      </c>
      <c r="M184" s="13" t="n">
        <v>7319.93292</v>
      </c>
      <c r="N184" s="13" t="n">
        <v>7319.988492</v>
      </c>
      <c r="O184" s="13" t="n">
        <v>7320.068581</v>
      </c>
      <c r="P184" s="13" t="n">
        <v>7320.040861</v>
      </c>
      <c r="Q184" s="13" t="n">
        <v>7319.959362</v>
      </c>
      <c r="R184" s="13" t="n">
        <v>6119.930343</v>
      </c>
      <c r="S184" s="13" t="n">
        <v>6119.985</v>
      </c>
      <c r="T184" s="13" t="n">
        <v>6119.95776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  <c r="AG184" s="13" t="n">
        <v>0</v>
      </c>
      <c r="AH184" s="13" t="n">
        <v>0</v>
      </c>
      <c r="AI184" s="13" t="n">
        <v>0</v>
      </c>
      <c r="AJ184" s="13" t="n">
        <v>0</v>
      </c>
      <c r="AK184" s="13" t="n">
        <v>0</v>
      </c>
      <c r="AL184" s="13" t="n">
        <v>0</v>
      </c>
      <c r="AM184" s="13" t="n">
        <v>0</v>
      </c>
      <c r="AN184" s="13" t="n">
        <v>0</v>
      </c>
      <c r="AO184" s="13" t="n">
        <v>0</v>
      </c>
      <c r="AP184" s="13" t="n">
        <v>0</v>
      </c>
      <c r="AQ184" s="13" t="n">
        <v>0</v>
      </c>
      <c r="AR184" s="13" t="n">
        <v>0</v>
      </c>
      <c r="AS184" s="13" t="n">
        <v>0</v>
      </c>
      <c r="AT184" s="13" t="n">
        <v>0</v>
      </c>
    </row>
    <row r="185" customFormat="false" ht="15" hidden="false" customHeight="true" outlineLevel="0" collapsed="false">
      <c r="A185" s="12" t="s">
        <v>608</v>
      </c>
      <c r="B185" s="12" t="s">
        <v>609</v>
      </c>
      <c r="C185" s="12" t="n">
        <v>1</v>
      </c>
      <c r="D185" s="12" t="s">
        <v>610</v>
      </c>
      <c r="E185" s="13" t="n">
        <v>0</v>
      </c>
      <c r="F185" s="13" t="n">
        <v>0</v>
      </c>
      <c r="G185" s="13" t="n">
        <v>0</v>
      </c>
      <c r="H185" s="13" t="n">
        <v>0</v>
      </c>
      <c r="I185" s="13" t="n">
        <v>0</v>
      </c>
      <c r="J185" s="13" t="n">
        <v>0</v>
      </c>
      <c r="K185" s="13" t="n">
        <v>0</v>
      </c>
      <c r="L185" s="13" t="n">
        <v>0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  <c r="X185" s="13" t="n">
        <v>0</v>
      </c>
      <c r="Y185" s="13" t="n">
        <v>0</v>
      </c>
      <c r="Z185" s="13" t="n">
        <v>0</v>
      </c>
      <c r="AA185" s="13" t="n">
        <v>0</v>
      </c>
      <c r="AB185" s="13" t="n">
        <v>0</v>
      </c>
      <c r="AC185" s="13" t="n">
        <v>0</v>
      </c>
      <c r="AD185" s="13" t="n">
        <v>0</v>
      </c>
      <c r="AE185" s="13" t="n">
        <v>0</v>
      </c>
      <c r="AF185" s="13" t="n">
        <v>0</v>
      </c>
      <c r="AG185" s="13" t="n">
        <v>0</v>
      </c>
      <c r="AH185" s="13" t="n">
        <v>0</v>
      </c>
      <c r="AI185" s="13" t="n">
        <v>0</v>
      </c>
      <c r="AJ185" s="13" t="n">
        <v>0</v>
      </c>
      <c r="AK185" s="13" t="n">
        <v>0</v>
      </c>
      <c r="AL185" s="13" t="n">
        <v>0</v>
      </c>
      <c r="AM185" s="13" t="n">
        <v>361.179577</v>
      </c>
      <c r="AN185" s="13" t="n">
        <v>361.104664</v>
      </c>
      <c r="AO185" s="13" t="n">
        <v>374.457144</v>
      </c>
      <c r="AP185" s="13" t="n">
        <v>374.4552</v>
      </c>
      <c r="AQ185" s="13" t="n">
        <v>374.458964</v>
      </c>
      <c r="AR185" s="13" t="n">
        <v>408.567154</v>
      </c>
      <c r="AS185" s="13" t="n">
        <v>408.50892</v>
      </c>
      <c r="AT185" s="13" t="n">
        <v>476.568568</v>
      </c>
    </row>
    <row r="186" customFormat="false" ht="15" hidden="false" customHeight="true" outlineLevel="0" collapsed="false">
      <c r="A186" s="12" t="s">
        <v>611</v>
      </c>
      <c r="B186" s="12" t="s">
        <v>612</v>
      </c>
      <c r="C186" s="12" t="n">
        <v>1</v>
      </c>
      <c r="D186" s="12" t="s">
        <v>613</v>
      </c>
      <c r="E186" s="13" t="n">
        <v>5273.009712</v>
      </c>
      <c r="F186" s="13" t="n">
        <v>5409.996348</v>
      </c>
      <c r="G186" s="13" t="n">
        <v>4588.245047</v>
      </c>
      <c r="H186" s="13" t="n">
        <v>4177.221759</v>
      </c>
      <c r="I186" s="13" t="n">
        <v>4793.623646</v>
      </c>
      <c r="J186" s="13" t="n">
        <v>3013.13891</v>
      </c>
      <c r="K186" s="13" t="n">
        <v>3081.679944</v>
      </c>
      <c r="L186" s="13" t="n">
        <v>3697.873802</v>
      </c>
      <c r="M186" s="13" t="n">
        <v>3834.82134</v>
      </c>
      <c r="N186" s="13" t="n">
        <v>3492.50574</v>
      </c>
      <c r="O186" s="13" t="n">
        <v>4448.414229</v>
      </c>
      <c r="P186" s="13" t="n">
        <v>3355.575622</v>
      </c>
      <c r="Q186" s="13" t="n">
        <v>2670.684615</v>
      </c>
      <c r="R186" s="13" t="n">
        <v>4108.785948</v>
      </c>
      <c r="S186" s="13" t="n">
        <v>3629.481915</v>
      </c>
      <c r="T186" s="13" t="n">
        <v>2876.2048</v>
      </c>
      <c r="U186" s="13" t="n">
        <v>2944.626951</v>
      </c>
      <c r="V186" s="13" t="n">
        <v>3766.336548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</row>
    <row r="187" customFormat="false" ht="15" hidden="false" customHeight="true" outlineLevel="0" collapsed="false">
      <c r="A187" s="12" t="s">
        <v>614</v>
      </c>
      <c r="B187" s="12" t="s">
        <v>615</v>
      </c>
      <c r="C187" s="12" t="n">
        <v>1</v>
      </c>
      <c r="D187" s="12" t="s">
        <v>616</v>
      </c>
      <c r="E187" s="13" t="n">
        <v>0</v>
      </c>
      <c r="F187" s="13" t="n">
        <v>0</v>
      </c>
      <c r="G187" s="13" t="n">
        <v>0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 t="n">
        <v>0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0</v>
      </c>
      <c r="X187" s="13" t="n">
        <v>0</v>
      </c>
      <c r="Y187" s="13" t="n">
        <v>0</v>
      </c>
      <c r="Z187" s="13" t="n">
        <v>0</v>
      </c>
      <c r="AA187" s="13" t="n">
        <v>0</v>
      </c>
      <c r="AB187" s="13" t="n">
        <v>0</v>
      </c>
      <c r="AC187" s="13" t="n">
        <v>0</v>
      </c>
      <c r="AD187" s="13" t="n">
        <v>0</v>
      </c>
      <c r="AE187" s="13" t="n">
        <v>0</v>
      </c>
      <c r="AF187" s="13" t="n">
        <v>0</v>
      </c>
      <c r="AG187" s="13" t="n">
        <v>0</v>
      </c>
      <c r="AH187" s="13" t="n">
        <v>0</v>
      </c>
      <c r="AI187" s="13" t="n">
        <v>0</v>
      </c>
      <c r="AJ187" s="13" t="n">
        <v>0</v>
      </c>
      <c r="AK187" s="13" t="n">
        <v>0</v>
      </c>
      <c r="AL187" s="13" t="n">
        <v>0</v>
      </c>
      <c r="AM187" s="13" t="n">
        <v>0</v>
      </c>
      <c r="AN187" s="13" t="n">
        <v>0</v>
      </c>
      <c r="AO187" s="13" t="n">
        <v>0</v>
      </c>
      <c r="AP187" s="13" t="n">
        <v>0</v>
      </c>
      <c r="AQ187" s="13" t="n">
        <v>0</v>
      </c>
      <c r="AR187" s="13" t="n">
        <v>0</v>
      </c>
      <c r="AS187" s="13" t="n">
        <v>0</v>
      </c>
      <c r="AT187" s="13" t="n">
        <v>0</v>
      </c>
    </row>
    <row r="188" customFormat="false" ht="15" hidden="false" customHeight="true" outlineLevel="0" collapsed="false">
      <c r="A188" s="12" t="s">
        <v>617</v>
      </c>
      <c r="B188" s="12" t="s">
        <v>618</v>
      </c>
      <c r="C188" s="12" t="n">
        <v>1</v>
      </c>
      <c r="D188" s="12" t="s">
        <v>619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659.933352</v>
      </c>
      <c r="W188" s="13" t="n">
        <v>300.0064</v>
      </c>
      <c r="X188" s="13" t="n">
        <v>659.935744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</row>
    <row r="189" customFormat="false" ht="15" hidden="false" customHeight="true" outlineLevel="0" collapsed="false">
      <c r="A189" s="12" t="s">
        <v>620</v>
      </c>
      <c r="B189" s="12" t="s">
        <v>621</v>
      </c>
      <c r="C189" s="12" t="n">
        <v>1</v>
      </c>
      <c r="D189" s="12" t="s">
        <v>622</v>
      </c>
      <c r="E189" s="13" t="n">
        <v>479.296224</v>
      </c>
      <c r="F189" s="13" t="n">
        <v>342.472386</v>
      </c>
      <c r="G189" s="13" t="n">
        <v>342.457676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0</v>
      </c>
      <c r="M189" s="13" t="n">
        <v>0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0</v>
      </c>
      <c r="V189" s="13" t="n">
        <v>0</v>
      </c>
      <c r="W189" s="13" t="n">
        <v>0</v>
      </c>
      <c r="X189" s="13" t="n">
        <v>0</v>
      </c>
      <c r="Y189" s="13" t="n">
        <v>0</v>
      </c>
      <c r="Z189" s="13" t="n">
        <v>0</v>
      </c>
      <c r="AA189" s="13" t="n">
        <v>0</v>
      </c>
      <c r="AB189" s="13" t="n">
        <v>0</v>
      </c>
      <c r="AC189" s="13" t="n">
        <v>0</v>
      </c>
      <c r="AD189" s="13" t="n">
        <v>0</v>
      </c>
      <c r="AE189" s="13" t="n">
        <v>0</v>
      </c>
      <c r="AF189" s="13" t="n">
        <v>0</v>
      </c>
      <c r="AG189" s="13" t="n">
        <v>0</v>
      </c>
      <c r="AH189" s="13" t="n">
        <v>0</v>
      </c>
      <c r="AI189" s="13" t="n">
        <v>0</v>
      </c>
      <c r="AJ189" s="13" t="n">
        <v>0</v>
      </c>
      <c r="AK189" s="13" t="n">
        <v>0</v>
      </c>
      <c r="AL189" s="13" t="n">
        <v>0</v>
      </c>
      <c r="AM189" s="13" t="n">
        <v>0</v>
      </c>
      <c r="AN189" s="13" t="n">
        <v>0</v>
      </c>
      <c r="AO189" s="13" t="n">
        <v>0</v>
      </c>
      <c r="AP189" s="13" t="n">
        <v>0</v>
      </c>
      <c r="AQ189" s="13" t="n">
        <v>0</v>
      </c>
      <c r="AR189" s="13" t="n">
        <v>0</v>
      </c>
      <c r="AS189" s="13" t="n">
        <v>0</v>
      </c>
      <c r="AT189" s="13" t="n">
        <v>0</v>
      </c>
    </row>
    <row r="190" customFormat="false" ht="15" hidden="false" customHeight="true" outlineLevel="0" collapsed="false">
      <c r="A190" s="12" t="s">
        <v>623</v>
      </c>
      <c r="B190" s="12" t="s">
        <v>624</v>
      </c>
      <c r="C190" s="12" t="n">
        <v>1</v>
      </c>
      <c r="D190" s="12" t="s">
        <v>625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2450.00688</v>
      </c>
      <c r="AQ190" s="13" t="n">
        <v>4850.040305</v>
      </c>
      <c r="AR190" s="13" t="n">
        <v>9000.055504</v>
      </c>
      <c r="AS190" s="13" t="n">
        <v>9320.061771</v>
      </c>
      <c r="AT190" s="13" t="n">
        <v>9870.02732</v>
      </c>
    </row>
    <row r="191" customFormat="false" ht="15" hidden="false" customHeight="true" outlineLevel="0" collapsed="false">
      <c r="A191" s="12" t="s">
        <v>626</v>
      </c>
      <c r="B191" s="12" t="s">
        <v>627</v>
      </c>
      <c r="C191" s="12" t="n">
        <v>1</v>
      </c>
      <c r="D191" s="12" t="s">
        <v>628</v>
      </c>
      <c r="E191" s="13" t="n">
        <v>5499.886608</v>
      </c>
      <c r="F191" s="13" t="n">
        <v>5713.823274</v>
      </c>
      <c r="G191" s="13" t="n">
        <v>5713.721701</v>
      </c>
      <c r="H191" s="13" t="n">
        <v>5820.727716</v>
      </c>
      <c r="I191" s="13" t="n">
        <v>5885.011671</v>
      </c>
      <c r="J191" s="13" t="n">
        <v>6120.36357</v>
      </c>
      <c r="K191" s="13" t="n">
        <v>6077.581512</v>
      </c>
      <c r="L191" s="13" t="n">
        <v>6184.669652</v>
      </c>
      <c r="M191" s="13" t="n">
        <v>6270.274845</v>
      </c>
      <c r="N191" s="13" t="n">
        <v>6484.172064</v>
      </c>
      <c r="O191" s="13" t="n">
        <v>6655.327404</v>
      </c>
      <c r="P191" s="13" t="n">
        <v>6805.216992</v>
      </c>
      <c r="Q191" s="13" t="n">
        <v>7505.044416</v>
      </c>
      <c r="R191" s="13" t="n">
        <v>8605.954392</v>
      </c>
      <c r="S191" s="13" t="n">
        <v>8830.64214</v>
      </c>
      <c r="T191" s="13" t="n">
        <v>9077.87776</v>
      </c>
      <c r="U191" s="13" t="n">
        <v>9414.938984</v>
      </c>
      <c r="V191" s="13" t="n">
        <v>9235.197972</v>
      </c>
      <c r="W191" s="13" t="n">
        <v>9414.950848</v>
      </c>
      <c r="X191" s="13" t="n">
        <v>9796.91269</v>
      </c>
      <c r="Y191" s="13" t="n">
        <v>0</v>
      </c>
      <c r="Z191" s="13" t="n">
        <v>0</v>
      </c>
      <c r="AA191" s="13" t="n">
        <v>0</v>
      </c>
      <c r="AB191" s="13" t="n">
        <v>0</v>
      </c>
      <c r="AC191" s="13" t="n">
        <v>0</v>
      </c>
      <c r="AD191" s="13" t="n">
        <v>0</v>
      </c>
      <c r="AE191" s="13" t="n">
        <v>0</v>
      </c>
      <c r="AF191" s="13" t="n">
        <v>0</v>
      </c>
      <c r="AG191" s="13" t="n">
        <v>0</v>
      </c>
      <c r="AH191" s="13" t="n">
        <v>0</v>
      </c>
      <c r="AI191" s="13" t="n">
        <v>0</v>
      </c>
      <c r="AJ191" s="13" t="n">
        <v>0</v>
      </c>
      <c r="AK191" s="13" t="n">
        <v>0</v>
      </c>
      <c r="AL191" s="13" t="n">
        <v>0</v>
      </c>
      <c r="AM191" s="13" t="n">
        <v>0</v>
      </c>
      <c r="AN191" s="13" t="n">
        <v>0</v>
      </c>
      <c r="AO191" s="13" t="n">
        <v>0</v>
      </c>
      <c r="AP191" s="13" t="n">
        <v>0</v>
      </c>
      <c r="AQ191" s="13" t="n">
        <v>0</v>
      </c>
      <c r="AR191" s="13" t="n">
        <v>0</v>
      </c>
      <c r="AS191" s="13" t="n">
        <v>0</v>
      </c>
      <c r="AT191" s="13" t="n">
        <v>0</v>
      </c>
    </row>
    <row r="192" customFormat="false" ht="15" hidden="false" customHeight="true" outlineLevel="0" collapsed="false">
      <c r="A192" s="12" t="s">
        <v>629</v>
      </c>
      <c r="B192" s="12" t="s">
        <v>630</v>
      </c>
      <c r="C192" s="12" t="n">
        <v>1</v>
      </c>
      <c r="D192" s="12" t="s">
        <v>631</v>
      </c>
      <c r="E192" s="13" t="n">
        <v>0</v>
      </c>
      <c r="F192" s="13" t="n">
        <v>0</v>
      </c>
      <c r="G192" s="13" t="n">
        <v>0</v>
      </c>
      <c r="H192" s="13" t="n">
        <v>17114.938173</v>
      </c>
      <c r="I192" s="13" t="n">
        <v>15155.005278</v>
      </c>
      <c r="J192" s="13" t="n">
        <v>17920.08514</v>
      </c>
      <c r="K192" s="13" t="n">
        <v>18899.946768</v>
      </c>
      <c r="L192" s="13" t="n">
        <v>20754.948879</v>
      </c>
      <c r="M192" s="13" t="n">
        <v>20789.927955</v>
      </c>
      <c r="N192" s="13" t="n">
        <v>22539.941856</v>
      </c>
      <c r="O192" s="13" t="n">
        <v>24707.963215</v>
      </c>
      <c r="P192" s="13" t="n">
        <v>19564.998852</v>
      </c>
      <c r="Q192" s="13" t="n">
        <v>20579.981445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</row>
    <row r="193" customFormat="false" ht="15" hidden="false" customHeight="true" outlineLevel="0" collapsed="false">
      <c r="A193" s="12" t="s">
        <v>632</v>
      </c>
      <c r="B193" s="12" t="s">
        <v>633</v>
      </c>
      <c r="C193" s="12" t="n">
        <v>1</v>
      </c>
      <c r="D193" s="12" t="s">
        <v>634</v>
      </c>
      <c r="E193" s="13" t="n">
        <v>0</v>
      </c>
      <c r="F193" s="13" t="n">
        <v>0</v>
      </c>
      <c r="G193" s="13" t="n">
        <v>0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 t="n">
        <v>0</v>
      </c>
      <c r="M193" s="13" t="n">
        <v>0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0</v>
      </c>
      <c r="X193" s="13" t="n">
        <v>0</v>
      </c>
      <c r="Y193" s="13" t="n">
        <v>0</v>
      </c>
      <c r="Z193" s="13" t="n">
        <v>749.935824</v>
      </c>
      <c r="AA193" s="13" t="n">
        <v>0</v>
      </c>
      <c r="AB193" s="13" t="n">
        <v>0</v>
      </c>
      <c r="AC193" s="13" t="n">
        <v>0</v>
      </c>
      <c r="AD193" s="13" t="n">
        <v>0</v>
      </c>
      <c r="AE193" s="13" t="n">
        <v>0</v>
      </c>
      <c r="AF193" s="13" t="n">
        <v>0</v>
      </c>
      <c r="AG193" s="13" t="n">
        <v>0</v>
      </c>
      <c r="AH193" s="13" t="n">
        <v>0</v>
      </c>
      <c r="AI193" s="13" t="n">
        <v>0</v>
      </c>
      <c r="AJ193" s="13" t="n">
        <v>0</v>
      </c>
      <c r="AK193" s="13" t="n">
        <v>0</v>
      </c>
      <c r="AL193" s="13" t="n">
        <v>0</v>
      </c>
      <c r="AM193" s="13" t="n">
        <v>0</v>
      </c>
      <c r="AN193" s="13" t="n">
        <v>0</v>
      </c>
      <c r="AO193" s="13" t="n">
        <v>0</v>
      </c>
      <c r="AP193" s="13" t="n">
        <v>0</v>
      </c>
      <c r="AQ193" s="13" t="n">
        <v>0</v>
      </c>
      <c r="AR193" s="13" t="n">
        <v>0</v>
      </c>
      <c r="AS193" s="13" t="n">
        <v>0</v>
      </c>
      <c r="AT193" s="13" t="n">
        <v>0</v>
      </c>
    </row>
    <row r="194" customFormat="false" ht="15" hidden="false" customHeight="true" outlineLevel="0" collapsed="false">
      <c r="A194" s="12" t="s">
        <v>635</v>
      </c>
      <c r="B194" s="12" t="s">
        <v>636</v>
      </c>
      <c r="C194" s="12" t="n">
        <v>1</v>
      </c>
      <c r="D194" s="12" t="s">
        <v>637</v>
      </c>
      <c r="E194" s="13" t="n">
        <v>0</v>
      </c>
      <c r="F194" s="13" t="n">
        <v>0</v>
      </c>
      <c r="G194" s="13" t="n">
        <v>0</v>
      </c>
      <c r="H194" s="13" t="n">
        <v>1000.065528</v>
      </c>
      <c r="I194" s="13" t="n">
        <v>1000.011894</v>
      </c>
      <c r="J194" s="13" t="n">
        <v>1000.04599</v>
      </c>
      <c r="K194" s="13" t="n">
        <v>999.968928</v>
      </c>
      <c r="L194" s="13" t="n">
        <v>1000.077092</v>
      </c>
      <c r="M194" s="13" t="n">
        <v>999.951345</v>
      </c>
      <c r="N194" s="13" t="n">
        <v>1000.05273</v>
      </c>
      <c r="O194" s="13" t="n">
        <v>999.951069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</row>
    <row r="195" customFormat="false" ht="15" hidden="false" customHeight="true" outlineLevel="0" collapsed="false">
      <c r="A195" s="12" t="s">
        <v>638</v>
      </c>
      <c r="B195" s="12" t="s">
        <v>639</v>
      </c>
      <c r="C195" s="12" t="n">
        <v>1</v>
      </c>
      <c r="D195" s="12" t="s">
        <v>640</v>
      </c>
      <c r="E195" s="13" t="n">
        <v>0</v>
      </c>
      <c r="F195" s="13" t="n">
        <v>0</v>
      </c>
      <c r="G195" s="13" t="n">
        <v>0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 t="n">
        <v>0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0</v>
      </c>
      <c r="X195" s="13" t="n">
        <v>0</v>
      </c>
      <c r="Y195" s="13" t="n">
        <v>0</v>
      </c>
      <c r="Z195" s="13" t="n">
        <v>0</v>
      </c>
      <c r="AA195" s="13" t="n">
        <v>0</v>
      </c>
      <c r="AB195" s="13" t="n">
        <v>0</v>
      </c>
      <c r="AC195" s="13" t="n">
        <v>0</v>
      </c>
      <c r="AD195" s="13" t="n">
        <v>0</v>
      </c>
      <c r="AE195" s="13" t="n">
        <v>0</v>
      </c>
      <c r="AF195" s="13" t="n">
        <v>0</v>
      </c>
      <c r="AG195" s="13" t="n">
        <v>0</v>
      </c>
      <c r="AH195" s="13" t="n">
        <v>0</v>
      </c>
      <c r="AI195" s="13" t="n">
        <v>0</v>
      </c>
      <c r="AJ195" s="13" t="n">
        <v>0</v>
      </c>
      <c r="AK195" s="13" t="n">
        <v>6196.5741</v>
      </c>
      <c r="AL195" s="13" t="n">
        <v>6196.585564</v>
      </c>
      <c r="AM195" s="13" t="n">
        <v>6196.550173</v>
      </c>
      <c r="AN195" s="13" t="n">
        <v>6196.505681</v>
      </c>
      <c r="AO195" s="13" t="n">
        <v>6196.472684</v>
      </c>
      <c r="AP195" s="13" t="n">
        <v>6196.45704</v>
      </c>
      <c r="AQ195" s="13" t="n">
        <v>6196.499133</v>
      </c>
      <c r="AR195" s="13" t="n">
        <v>6196.572598</v>
      </c>
      <c r="AS195" s="13" t="n">
        <v>6196.526406</v>
      </c>
      <c r="AT195" s="13" t="n">
        <v>6196.44148</v>
      </c>
    </row>
    <row r="196" customFormat="false" ht="15" hidden="false" customHeight="true" outlineLevel="0" collapsed="false">
      <c r="A196" s="12" t="s">
        <v>641</v>
      </c>
      <c r="B196" s="12" t="s">
        <v>642</v>
      </c>
      <c r="C196" s="12" t="n">
        <v>1</v>
      </c>
      <c r="D196" s="12" t="s">
        <v>643</v>
      </c>
      <c r="E196" s="13" t="n">
        <v>34893.215856</v>
      </c>
      <c r="F196" s="13" t="n">
        <v>34189.822488</v>
      </c>
      <c r="G196" s="13" t="n">
        <v>33628.185364</v>
      </c>
      <c r="H196" s="13" t="n">
        <v>33513.739956</v>
      </c>
      <c r="I196" s="13" t="n">
        <v>32836.728484</v>
      </c>
      <c r="J196" s="13" t="n">
        <v>31781.82422</v>
      </c>
      <c r="K196" s="13" t="n">
        <v>31005.044592</v>
      </c>
      <c r="L196" s="13" t="n">
        <v>31112.244268</v>
      </c>
      <c r="M196" s="13" t="n">
        <v>32747.92182</v>
      </c>
      <c r="N196" s="13" t="n">
        <v>33567.804264</v>
      </c>
      <c r="O196" s="13" t="n">
        <v>31970.213252</v>
      </c>
      <c r="P196" s="13" t="n">
        <v>31432.171204</v>
      </c>
      <c r="Q196" s="13" t="n">
        <v>42122.817234</v>
      </c>
      <c r="R196" s="13" t="n">
        <v>41938.813734</v>
      </c>
      <c r="S196" s="13" t="n">
        <v>40580.13189</v>
      </c>
      <c r="T196" s="13" t="n">
        <v>41766.34112</v>
      </c>
      <c r="U196" s="13" t="n">
        <v>41597.793914</v>
      </c>
      <c r="V196" s="13" t="n">
        <v>45200.091768</v>
      </c>
      <c r="W196" s="13" t="n">
        <v>46001.856352</v>
      </c>
      <c r="X196" s="13" t="n">
        <v>48650.034724</v>
      </c>
      <c r="Y196" s="13" t="n">
        <v>48300.673412</v>
      </c>
      <c r="Z196" s="13" t="n">
        <v>49181.436832</v>
      </c>
      <c r="AA196" s="13" t="n">
        <v>50071.03242</v>
      </c>
      <c r="AB196" s="13" t="n">
        <v>49645.125652</v>
      </c>
      <c r="AC196" s="13" t="n">
        <v>25126.2</v>
      </c>
      <c r="AD196" s="13" t="n">
        <v>24943.95</v>
      </c>
      <c r="AE196" s="13" t="n">
        <v>24800.58</v>
      </c>
      <c r="AF196" s="13" t="n">
        <v>23789.7</v>
      </c>
      <c r="AG196" s="13" t="n">
        <v>23447.07</v>
      </c>
      <c r="AH196" s="13" t="n">
        <v>22945.275</v>
      </c>
      <c r="AI196" s="13" t="n">
        <v>22838.355</v>
      </c>
      <c r="AJ196" s="13" t="n">
        <v>22646.385</v>
      </c>
      <c r="AK196" s="13" t="n">
        <v>22289.175</v>
      </c>
      <c r="AL196" s="13" t="n">
        <v>22377.9915</v>
      </c>
      <c r="AM196" s="13" t="n">
        <v>22287.1095</v>
      </c>
      <c r="AN196" s="13" t="n">
        <v>21849.7095</v>
      </c>
      <c r="AO196" s="13" t="n">
        <v>24437.9835</v>
      </c>
      <c r="AP196" s="13" t="n">
        <v>24460.38</v>
      </c>
      <c r="AQ196" s="13" t="n">
        <v>25667.09775</v>
      </c>
      <c r="AR196" s="13" t="n">
        <v>24866.6355</v>
      </c>
      <c r="AS196" s="13" t="n">
        <v>24536.49975</v>
      </c>
      <c r="AT196" s="13" t="n">
        <v>24808.518</v>
      </c>
    </row>
    <row r="197" customFormat="false" ht="15" hidden="false" customHeight="true" outlineLevel="0" collapsed="false">
      <c r="A197" s="12" t="s">
        <v>644</v>
      </c>
      <c r="B197" s="12" t="s">
        <v>645</v>
      </c>
      <c r="C197" s="12" t="n">
        <v>1</v>
      </c>
      <c r="D197" s="12" t="s">
        <v>646</v>
      </c>
      <c r="E197" s="13" t="n">
        <v>0</v>
      </c>
      <c r="F197" s="13" t="n">
        <v>0</v>
      </c>
      <c r="G197" s="13" t="n">
        <v>0</v>
      </c>
      <c r="H197" s="13" t="n">
        <v>0</v>
      </c>
      <c r="I197" s="13" t="n">
        <v>0</v>
      </c>
      <c r="J197" s="13" t="n">
        <v>0</v>
      </c>
      <c r="K197" s="13" t="n">
        <v>0</v>
      </c>
      <c r="L197" s="13" t="n">
        <v>0</v>
      </c>
      <c r="M197" s="13" t="n">
        <v>0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0</v>
      </c>
      <c r="W197" s="13" t="n">
        <v>0</v>
      </c>
      <c r="X197" s="13" t="n">
        <v>0</v>
      </c>
      <c r="Y197" s="13" t="n">
        <v>0</v>
      </c>
      <c r="Z197" s="13" t="n">
        <v>0</v>
      </c>
      <c r="AA197" s="13" t="n">
        <v>9029.96205</v>
      </c>
      <c r="AB197" s="13" t="n">
        <v>8960.032766</v>
      </c>
      <c r="AC197" s="13" t="n">
        <v>9345.0852</v>
      </c>
      <c r="AD197" s="13" t="n">
        <v>12305.0661</v>
      </c>
      <c r="AE197" s="13" t="n">
        <v>12529.9062</v>
      </c>
      <c r="AF197" s="13" t="n">
        <v>13504.9134</v>
      </c>
      <c r="AG197" s="13" t="n">
        <v>14250.02916</v>
      </c>
      <c r="AH197" s="13" t="n">
        <v>14179.9911</v>
      </c>
      <c r="AI197" s="13" t="n">
        <v>13984.968</v>
      </c>
      <c r="AJ197" s="13" t="n">
        <v>13990.06062</v>
      </c>
      <c r="AK197" s="13" t="n">
        <v>13970.0844</v>
      </c>
      <c r="AL197" s="13" t="n">
        <v>13685.016662</v>
      </c>
      <c r="AM197" s="13" t="n">
        <v>13734.912741</v>
      </c>
      <c r="AN197" s="13" t="n">
        <v>13475.066523</v>
      </c>
      <c r="AO197" s="13" t="n">
        <v>13269.954342</v>
      </c>
      <c r="AP197" s="13" t="n">
        <v>13250.0196</v>
      </c>
      <c r="AQ197" s="13" t="n">
        <v>13219.958657</v>
      </c>
      <c r="AR197" s="13" t="n">
        <v>13440.087564</v>
      </c>
      <c r="AS197" s="13" t="n">
        <v>13595.03838</v>
      </c>
      <c r="AT197" s="13" t="n">
        <v>13595.067864</v>
      </c>
    </row>
    <row r="198" customFormat="false" ht="15" hidden="false" customHeight="true" outlineLevel="0" collapsed="false">
      <c r="A198" s="12" t="s">
        <v>647</v>
      </c>
      <c r="B198" s="12" t="s">
        <v>648</v>
      </c>
      <c r="C198" s="12" t="n">
        <v>1</v>
      </c>
      <c r="D198" s="12" t="s">
        <v>649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</v>
      </c>
      <c r="R198" s="13" t="n">
        <v>0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17920.040022</v>
      </c>
      <c r="AT198" s="13" t="n">
        <v>18399.957128</v>
      </c>
    </row>
    <row r="199" customFormat="false" ht="15" hidden="false" customHeight="true" outlineLevel="0" collapsed="false">
      <c r="A199" s="12" t="s">
        <v>650</v>
      </c>
      <c r="B199" s="12" t="s">
        <v>651</v>
      </c>
      <c r="C199" s="12" t="n">
        <v>1</v>
      </c>
      <c r="D199" s="12" t="s">
        <v>652</v>
      </c>
      <c r="E199" s="13" t="n">
        <v>0</v>
      </c>
      <c r="F199" s="13" t="n">
        <v>0</v>
      </c>
      <c r="G199" s="13" t="n">
        <v>0</v>
      </c>
      <c r="H199" s="13" t="n">
        <v>0</v>
      </c>
      <c r="I199" s="13" t="n">
        <v>0</v>
      </c>
      <c r="J199" s="13" t="n">
        <v>0</v>
      </c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  <c r="X199" s="13" t="n">
        <v>0</v>
      </c>
      <c r="Y199" s="13" t="n">
        <v>0</v>
      </c>
      <c r="Z199" s="13" t="n">
        <v>0</v>
      </c>
      <c r="AA199" s="13" t="n">
        <v>0</v>
      </c>
      <c r="AB199" s="13" t="n">
        <v>0</v>
      </c>
      <c r="AC199" s="13" t="n">
        <v>0</v>
      </c>
      <c r="AD199" s="13" t="n">
        <v>0</v>
      </c>
      <c r="AE199" s="13" t="n">
        <v>0</v>
      </c>
      <c r="AF199" s="13" t="n">
        <v>0</v>
      </c>
      <c r="AG199" s="13" t="n">
        <v>0</v>
      </c>
      <c r="AH199" s="13" t="n">
        <v>0</v>
      </c>
      <c r="AI199" s="13" t="n">
        <v>0</v>
      </c>
      <c r="AJ199" s="13" t="n">
        <v>0</v>
      </c>
      <c r="AK199" s="13" t="n">
        <v>0</v>
      </c>
      <c r="AL199" s="13" t="n">
        <v>0</v>
      </c>
      <c r="AM199" s="13" t="n">
        <v>0</v>
      </c>
      <c r="AN199" s="13" t="n">
        <v>0</v>
      </c>
      <c r="AO199" s="13" t="n">
        <v>0</v>
      </c>
      <c r="AP199" s="13" t="n">
        <v>0</v>
      </c>
      <c r="AQ199" s="13" t="n">
        <v>0</v>
      </c>
      <c r="AR199" s="13" t="n">
        <v>0</v>
      </c>
      <c r="AS199" s="13" t="n">
        <v>0</v>
      </c>
      <c r="AT199" s="13" t="n">
        <v>1255.039736</v>
      </c>
    </row>
    <row r="200" customFormat="false" ht="15" hidden="false" customHeight="true" outlineLevel="0" collapsed="false">
      <c r="A200" s="12" t="s">
        <v>653</v>
      </c>
      <c r="B200" s="12" t="s">
        <v>654</v>
      </c>
      <c r="C200" s="12" t="n">
        <v>1</v>
      </c>
      <c r="D200" s="12" t="s">
        <v>655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13010.018385</v>
      </c>
      <c r="AO200" s="13" t="n">
        <v>5728.05645</v>
      </c>
      <c r="AP200" s="13" t="n">
        <v>13598.07312</v>
      </c>
      <c r="AQ200" s="13" t="n">
        <v>11665.990171</v>
      </c>
      <c r="AR200" s="13" t="n">
        <v>10112.080918</v>
      </c>
      <c r="AS200" s="13" t="n">
        <v>10952.020287</v>
      </c>
      <c r="AT200" s="13" t="n">
        <v>11203.999272</v>
      </c>
    </row>
    <row r="201" customFormat="false" ht="15" hidden="false" customHeight="true" outlineLevel="0" collapsed="false">
      <c r="A201" s="12" t="s">
        <v>656</v>
      </c>
      <c r="B201" s="12" t="s">
        <v>657</v>
      </c>
      <c r="C201" s="12" t="n">
        <v>1</v>
      </c>
      <c r="D201" s="12" t="s">
        <v>658</v>
      </c>
      <c r="E201" s="13" t="n">
        <v>0</v>
      </c>
      <c r="F201" s="13" t="n">
        <v>0</v>
      </c>
      <c r="G201" s="13" t="n">
        <v>0</v>
      </c>
      <c r="H201" s="13" t="n">
        <v>0</v>
      </c>
      <c r="I201" s="13" t="n">
        <v>0</v>
      </c>
      <c r="J201" s="13" t="n">
        <v>0</v>
      </c>
      <c r="K201" s="13" t="n">
        <v>0</v>
      </c>
      <c r="L201" s="13" t="n">
        <v>0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 t="n">
        <v>0</v>
      </c>
      <c r="X201" s="13" t="n">
        <v>0</v>
      </c>
      <c r="Y201" s="13" t="n">
        <v>0</v>
      </c>
      <c r="Z201" s="13" t="n">
        <v>0</v>
      </c>
      <c r="AA201" s="13" t="n">
        <v>0</v>
      </c>
      <c r="AB201" s="13" t="n">
        <v>0</v>
      </c>
      <c r="AC201" s="13" t="n">
        <v>0</v>
      </c>
      <c r="AD201" s="13" t="n">
        <v>0</v>
      </c>
      <c r="AE201" s="13" t="n">
        <v>0</v>
      </c>
      <c r="AF201" s="13" t="n">
        <v>0</v>
      </c>
      <c r="AG201" s="13" t="n">
        <v>0</v>
      </c>
      <c r="AH201" s="13" t="n">
        <v>0</v>
      </c>
      <c r="AI201" s="13" t="n">
        <v>0</v>
      </c>
      <c r="AJ201" s="13" t="n">
        <v>0</v>
      </c>
      <c r="AK201" s="13" t="n">
        <v>0</v>
      </c>
      <c r="AL201" s="13" t="n">
        <v>0</v>
      </c>
      <c r="AM201" s="13" t="n">
        <v>0</v>
      </c>
      <c r="AN201" s="13" t="n">
        <v>0</v>
      </c>
      <c r="AO201" s="13" t="n">
        <v>0</v>
      </c>
      <c r="AP201" s="13" t="n">
        <v>0</v>
      </c>
      <c r="AQ201" s="13" t="n">
        <v>0</v>
      </c>
      <c r="AR201" s="13" t="n">
        <v>59.995692</v>
      </c>
      <c r="AS201" s="13" t="n">
        <v>60.064659</v>
      </c>
      <c r="AT201" s="13" t="n">
        <v>60.030488</v>
      </c>
    </row>
    <row r="202" customFormat="false" ht="15" hidden="false" customHeight="true" outlineLevel="0" collapsed="false">
      <c r="A202" s="12" t="s">
        <v>659</v>
      </c>
      <c r="B202" s="12" t="s">
        <v>660</v>
      </c>
      <c r="C202" s="12" t="n">
        <v>1</v>
      </c>
      <c r="D202" s="12" t="s">
        <v>661</v>
      </c>
      <c r="E202" s="13" t="n">
        <v>0</v>
      </c>
      <c r="F202" s="13" t="n">
        <v>0</v>
      </c>
      <c r="G202" s="13" t="n">
        <v>0</v>
      </c>
      <c r="H202" s="13" t="n">
        <v>0</v>
      </c>
      <c r="I202" s="13" t="n">
        <v>0</v>
      </c>
      <c r="J202" s="13" t="n">
        <v>0</v>
      </c>
      <c r="K202" s="13" t="n">
        <v>0</v>
      </c>
      <c r="L202" s="13" t="n">
        <v>0</v>
      </c>
      <c r="M202" s="13" t="n">
        <v>0</v>
      </c>
      <c r="N202" s="13" t="n">
        <v>0</v>
      </c>
      <c r="O202" s="13" t="n">
        <v>0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 t="n">
        <v>0</v>
      </c>
      <c r="X202" s="13" t="n">
        <v>0</v>
      </c>
      <c r="Y202" s="13" t="n">
        <v>0</v>
      </c>
      <c r="Z202" s="13" t="n">
        <v>0</v>
      </c>
      <c r="AA202" s="13" t="n">
        <v>0</v>
      </c>
      <c r="AB202" s="13" t="n">
        <v>0</v>
      </c>
      <c r="AC202" s="13" t="n">
        <v>0</v>
      </c>
      <c r="AD202" s="13" t="n">
        <v>0</v>
      </c>
      <c r="AE202" s="13" t="n">
        <v>0</v>
      </c>
      <c r="AF202" s="13" t="n">
        <v>0</v>
      </c>
      <c r="AG202" s="13" t="n">
        <v>0</v>
      </c>
      <c r="AH202" s="13" t="n">
        <v>0</v>
      </c>
      <c r="AI202" s="13" t="n">
        <v>0</v>
      </c>
      <c r="AJ202" s="13" t="n">
        <v>0</v>
      </c>
      <c r="AK202" s="13" t="n">
        <v>0</v>
      </c>
      <c r="AL202" s="13" t="n">
        <v>0</v>
      </c>
      <c r="AM202" s="13" t="n">
        <v>0</v>
      </c>
      <c r="AN202" s="13" t="n">
        <v>0</v>
      </c>
      <c r="AO202" s="13" t="n">
        <v>0</v>
      </c>
      <c r="AP202" s="13" t="n">
        <v>0</v>
      </c>
      <c r="AQ202" s="13" t="n">
        <v>0</v>
      </c>
      <c r="AR202" s="13" t="n">
        <v>0</v>
      </c>
      <c r="AS202" s="13" t="n">
        <v>0</v>
      </c>
      <c r="AT202" s="13" t="n">
        <v>5074.938952</v>
      </c>
    </row>
    <row r="203" customFormat="false" ht="15" hidden="false" customHeight="true" outlineLevel="0" collapsed="false">
      <c r="A203" s="12" t="s">
        <v>662</v>
      </c>
      <c r="B203" s="12" t="s">
        <v>663</v>
      </c>
      <c r="C203" s="12" t="n">
        <v>1</v>
      </c>
      <c r="D203" s="12" t="s">
        <v>664</v>
      </c>
      <c r="E203" s="13" t="n">
        <v>0</v>
      </c>
      <c r="F203" s="13" t="n">
        <v>0</v>
      </c>
      <c r="G203" s="13" t="n">
        <v>0</v>
      </c>
      <c r="H203" s="13" t="n">
        <v>0</v>
      </c>
      <c r="I203" s="13" t="n">
        <v>0</v>
      </c>
      <c r="J203" s="13" t="n">
        <v>0</v>
      </c>
      <c r="K203" s="13" t="n">
        <v>0</v>
      </c>
      <c r="L203" s="13" t="n">
        <v>0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  <c r="V203" s="13" t="n">
        <v>0</v>
      </c>
      <c r="W203" s="13" t="n">
        <v>15146.948128</v>
      </c>
      <c r="X203" s="13" t="n">
        <v>15844.0102</v>
      </c>
      <c r="Y203" s="13" t="n">
        <v>15367.98444</v>
      </c>
      <c r="Z203" s="13" t="n">
        <v>15827.033728</v>
      </c>
      <c r="AA203" s="13" t="n">
        <v>19584.06822</v>
      </c>
      <c r="AB203" s="13" t="n">
        <v>22151.085318</v>
      </c>
      <c r="AC203" s="13" t="n">
        <v>20230.0032</v>
      </c>
      <c r="AD203" s="13" t="n">
        <v>16031.0558</v>
      </c>
      <c r="AE203" s="13" t="n">
        <v>15640.08264</v>
      </c>
      <c r="AF203" s="13" t="n">
        <v>15248.904</v>
      </c>
      <c r="AG203" s="13" t="n">
        <v>15062.089</v>
      </c>
      <c r="AH203" s="13" t="n">
        <v>15078.9171</v>
      </c>
      <c r="AI203" s="13" t="n">
        <v>14909.02852</v>
      </c>
      <c r="AJ203" s="13" t="n">
        <v>15436.07424</v>
      </c>
      <c r="AK203" s="13" t="n">
        <v>14773.04505</v>
      </c>
      <c r="AL203" s="13" t="n">
        <v>14840.936618</v>
      </c>
      <c r="AM203" s="13" t="n">
        <v>16778.983376</v>
      </c>
      <c r="AN203" s="13" t="n">
        <v>18631.957631</v>
      </c>
      <c r="AO203" s="13" t="n">
        <v>17713.960696</v>
      </c>
      <c r="AP203" s="13" t="n">
        <v>14364.92976</v>
      </c>
      <c r="AQ203" s="13" t="n">
        <v>14840.924153</v>
      </c>
      <c r="AR203" s="13" t="n">
        <v>14602.986518</v>
      </c>
      <c r="AS203" s="13" t="n">
        <v>14687.972838</v>
      </c>
      <c r="AT203" s="13" t="n">
        <v>14841.006768</v>
      </c>
    </row>
    <row r="204" customFormat="false" ht="15" hidden="false" customHeight="true" outlineLevel="0" collapsed="false">
      <c r="A204" s="12" t="s">
        <v>665</v>
      </c>
      <c r="B204" s="12" t="s">
        <v>666</v>
      </c>
      <c r="C204" s="12" t="n">
        <v>1</v>
      </c>
      <c r="D204" s="12" t="s">
        <v>667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854.968296</v>
      </c>
      <c r="O204" s="13" t="n">
        <v>855.060551</v>
      </c>
      <c r="P204" s="13" t="n">
        <v>855.050882</v>
      </c>
      <c r="Q204" s="13" t="n">
        <v>2429.971029</v>
      </c>
      <c r="R204" s="13" t="n">
        <v>2654.915733</v>
      </c>
      <c r="S204" s="13" t="n">
        <v>2655.08106</v>
      </c>
      <c r="T204" s="13" t="n">
        <v>2879.95008</v>
      </c>
      <c r="U204" s="13" t="n">
        <v>2834.92616</v>
      </c>
      <c r="V204" s="13" t="n">
        <v>2564.933592</v>
      </c>
      <c r="W204" s="13" t="n">
        <v>2520.05376</v>
      </c>
      <c r="X204" s="13" t="n">
        <v>2609.998276</v>
      </c>
      <c r="Y204" s="13" t="n">
        <v>2699.930036</v>
      </c>
      <c r="Z204" s="13" t="n">
        <v>2474.928544</v>
      </c>
      <c r="AA204" s="13" t="n">
        <v>2609.90292</v>
      </c>
      <c r="AB204" s="13" t="n">
        <v>2430.069186</v>
      </c>
      <c r="AC204" s="13" t="n">
        <v>2564.9404</v>
      </c>
      <c r="AD204" s="13" t="n">
        <v>2790.027</v>
      </c>
      <c r="AE204" s="13" t="n">
        <v>2654.98884</v>
      </c>
      <c r="AF204" s="13" t="n">
        <v>2789.9542</v>
      </c>
      <c r="AG204" s="13" t="n">
        <v>2655.01884</v>
      </c>
      <c r="AH204" s="13" t="n">
        <v>2564.9607</v>
      </c>
      <c r="AI204" s="13" t="n">
        <v>2744.92591</v>
      </c>
      <c r="AJ204" s="13" t="n">
        <v>2475.07281</v>
      </c>
      <c r="AK204" s="13" t="n">
        <v>2520.05265</v>
      </c>
      <c r="AL204" s="13" t="n">
        <v>2475.024278</v>
      </c>
      <c r="AM204" s="13" t="n">
        <v>2429.936951</v>
      </c>
      <c r="AN204" s="13" t="n">
        <v>2204.932413</v>
      </c>
      <c r="AO204" s="13" t="n">
        <v>2519.65523</v>
      </c>
      <c r="AP204" s="13" t="n">
        <v>3032.91456</v>
      </c>
      <c r="AQ204" s="13" t="n">
        <v>3079.508511</v>
      </c>
      <c r="AR204" s="13" t="n">
        <v>2659.633586</v>
      </c>
      <c r="AS204" s="13" t="n">
        <v>3266.167293</v>
      </c>
      <c r="AT204" s="13" t="n">
        <v>3079.581536</v>
      </c>
    </row>
    <row r="205" customFormat="false" ht="15" hidden="false" customHeight="true" outlineLevel="0" collapsed="false">
      <c r="A205" s="12" t="s">
        <v>668</v>
      </c>
      <c r="B205" s="12" t="s">
        <v>669</v>
      </c>
      <c r="C205" s="12" t="n">
        <v>1</v>
      </c>
      <c r="D205" s="12" t="s">
        <v>670</v>
      </c>
      <c r="E205" s="13" t="n">
        <v>0</v>
      </c>
      <c r="F205" s="13" t="n">
        <v>0</v>
      </c>
      <c r="G205" s="13" t="n">
        <v>0</v>
      </c>
      <c r="H205" s="13" t="n">
        <v>0</v>
      </c>
      <c r="I205" s="13" t="n">
        <v>0</v>
      </c>
      <c r="J205" s="13" t="n">
        <v>0</v>
      </c>
      <c r="K205" s="13" t="n">
        <v>0</v>
      </c>
      <c r="L205" s="13" t="n">
        <v>0</v>
      </c>
      <c r="M205" s="13" t="n">
        <v>0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0</v>
      </c>
      <c r="X205" s="13" t="n">
        <v>0</v>
      </c>
      <c r="Y205" s="13" t="n">
        <v>0</v>
      </c>
      <c r="Z205" s="13" t="n">
        <v>0</v>
      </c>
      <c r="AA205" s="13" t="n">
        <v>0</v>
      </c>
      <c r="AB205" s="13" t="n">
        <v>0</v>
      </c>
      <c r="AC205" s="13" t="n">
        <v>0</v>
      </c>
      <c r="AD205" s="13" t="n">
        <v>0</v>
      </c>
      <c r="AE205" s="13" t="n">
        <v>0</v>
      </c>
      <c r="AF205" s="13" t="n">
        <v>0</v>
      </c>
      <c r="AG205" s="13" t="n">
        <v>0</v>
      </c>
      <c r="AH205" s="13" t="n">
        <v>0</v>
      </c>
      <c r="AI205" s="13" t="n">
        <v>0</v>
      </c>
      <c r="AJ205" s="13" t="n">
        <v>0</v>
      </c>
      <c r="AK205" s="13" t="n">
        <v>0</v>
      </c>
      <c r="AL205" s="13" t="n">
        <v>0</v>
      </c>
      <c r="AM205" s="13" t="n">
        <v>0</v>
      </c>
      <c r="AN205" s="13" t="n">
        <v>0</v>
      </c>
      <c r="AO205" s="13" t="n">
        <v>0</v>
      </c>
      <c r="AP205" s="13" t="n">
        <v>0</v>
      </c>
      <c r="AQ205" s="13" t="n">
        <v>0</v>
      </c>
      <c r="AR205" s="13" t="n">
        <v>0</v>
      </c>
      <c r="AS205" s="13" t="n">
        <v>0</v>
      </c>
      <c r="AT205" s="13" t="n">
        <v>70535.998416</v>
      </c>
    </row>
    <row r="206" customFormat="false" ht="15" hidden="false" customHeight="true" outlineLevel="0" collapsed="false">
      <c r="A206" s="12" t="s">
        <v>671</v>
      </c>
      <c r="B206" s="12" t="s">
        <v>672</v>
      </c>
      <c r="C206" s="12" t="n">
        <v>1</v>
      </c>
      <c r="D206" s="12" t="s">
        <v>673</v>
      </c>
      <c r="E206" s="13" t="n">
        <v>0</v>
      </c>
      <c r="F206" s="13" t="n">
        <v>0</v>
      </c>
      <c r="G206" s="13" t="n">
        <v>0</v>
      </c>
      <c r="H206" s="13" t="n">
        <v>12149.966385</v>
      </c>
      <c r="I206" s="13" t="n">
        <v>11820.041611</v>
      </c>
      <c r="J206" s="13" t="n">
        <v>12689.94383</v>
      </c>
      <c r="K206" s="13" t="n">
        <v>11759.981712</v>
      </c>
      <c r="L206" s="13" t="n">
        <v>11909.993781</v>
      </c>
      <c r="M206" s="13" t="n">
        <v>10289.99817</v>
      </c>
      <c r="N206" s="13" t="n">
        <v>9150.075954</v>
      </c>
      <c r="O206" s="13" t="n">
        <v>8850.02297</v>
      </c>
      <c r="P206" s="13" t="n">
        <v>11339.998124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</row>
    <row r="207" customFormat="false" ht="15" hidden="false" customHeight="true" outlineLevel="0" collapsed="false">
      <c r="A207" s="12" t="s">
        <v>674</v>
      </c>
      <c r="B207" s="12" t="s">
        <v>675</v>
      </c>
      <c r="C207" s="12" t="n">
        <v>1</v>
      </c>
      <c r="D207" s="12" t="s">
        <v>676</v>
      </c>
      <c r="E207" s="13" t="n">
        <v>0</v>
      </c>
      <c r="F207" s="13" t="n">
        <v>0</v>
      </c>
      <c r="G207" s="13" t="n">
        <v>0</v>
      </c>
      <c r="H207" s="13" t="n">
        <v>0</v>
      </c>
      <c r="I207" s="13" t="n">
        <v>0</v>
      </c>
      <c r="J207" s="13" t="n">
        <v>0</v>
      </c>
      <c r="K207" s="13" t="n">
        <v>0</v>
      </c>
      <c r="L207" s="13" t="n">
        <v>0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0</v>
      </c>
      <c r="X207" s="13" t="n">
        <v>0</v>
      </c>
      <c r="Y207" s="13" t="n">
        <v>0</v>
      </c>
      <c r="Z207" s="13" t="n">
        <v>0</v>
      </c>
      <c r="AA207" s="13" t="n">
        <v>0</v>
      </c>
      <c r="AB207" s="13" t="n">
        <v>0</v>
      </c>
      <c r="AC207" s="13" t="n">
        <v>0</v>
      </c>
      <c r="AD207" s="13" t="n">
        <v>0</v>
      </c>
      <c r="AE207" s="13" t="n">
        <v>0</v>
      </c>
      <c r="AF207" s="13" t="n">
        <v>0</v>
      </c>
      <c r="AG207" s="13" t="n">
        <v>0</v>
      </c>
      <c r="AH207" s="13" t="n">
        <v>5856.04965</v>
      </c>
      <c r="AI207" s="13" t="n">
        <v>5856.01738</v>
      </c>
      <c r="AJ207" s="13" t="n">
        <v>8735.91291</v>
      </c>
      <c r="AK207" s="13" t="n">
        <v>6768.02085</v>
      </c>
      <c r="AL207" s="13" t="n">
        <v>7008.08705</v>
      </c>
      <c r="AM207" s="13" t="n">
        <v>5376.054364</v>
      </c>
      <c r="AN207" s="13" t="n">
        <v>0</v>
      </c>
      <c r="AO207" s="13" t="n">
        <v>0</v>
      </c>
      <c r="AP207" s="13" t="n">
        <v>0</v>
      </c>
      <c r="AQ207" s="13" t="n">
        <v>0</v>
      </c>
      <c r="AR207" s="13" t="n">
        <v>0</v>
      </c>
      <c r="AS207" s="13" t="n">
        <v>0</v>
      </c>
      <c r="AT207" s="13" t="n">
        <v>0</v>
      </c>
    </row>
    <row r="208" customFormat="false" ht="15" hidden="false" customHeight="true" outlineLevel="0" collapsed="false">
      <c r="A208" s="12" t="s">
        <v>677</v>
      </c>
      <c r="B208" s="12" t="s">
        <v>678</v>
      </c>
      <c r="C208" s="12" t="n">
        <v>1</v>
      </c>
      <c r="D208" s="12" t="s">
        <v>679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7193.90844</v>
      </c>
      <c r="AK208" s="13" t="n">
        <v>8162.0574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</row>
    <row r="209" customFormat="false" ht="15" hidden="false" customHeight="true" outlineLevel="0" collapsed="false">
      <c r="A209" s="12" t="s">
        <v>680</v>
      </c>
      <c r="B209" s="12" t="s">
        <v>681</v>
      </c>
      <c r="C209" s="12" t="n">
        <v>1</v>
      </c>
      <c r="D209" s="12" t="s">
        <v>682</v>
      </c>
      <c r="E209" s="13" t="n">
        <v>0</v>
      </c>
      <c r="F209" s="13" t="n">
        <v>0</v>
      </c>
      <c r="G209" s="13" t="n">
        <v>0</v>
      </c>
      <c r="H209" s="13" t="n">
        <v>0</v>
      </c>
      <c r="I209" s="13" t="n">
        <v>0</v>
      </c>
      <c r="J209" s="13" t="n">
        <v>0</v>
      </c>
      <c r="K209" s="13" t="n">
        <v>0</v>
      </c>
      <c r="L209" s="13" t="n">
        <v>0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0</v>
      </c>
      <c r="X209" s="13" t="n">
        <v>0</v>
      </c>
      <c r="Y209" s="13" t="n">
        <v>0</v>
      </c>
      <c r="Z209" s="13" t="n">
        <v>0</v>
      </c>
      <c r="AA209" s="13" t="n">
        <v>0</v>
      </c>
      <c r="AB209" s="13" t="n">
        <v>0</v>
      </c>
      <c r="AC209" s="13" t="n">
        <v>0</v>
      </c>
      <c r="AD209" s="13" t="n">
        <v>0</v>
      </c>
      <c r="AE209" s="13" t="n">
        <v>0</v>
      </c>
      <c r="AF209" s="13" t="n">
        <v>0</v>
      </c>
      <c r="AG209" s="13" t="n">
        <v>0</v>
      </c>
      <c r="AH209" s="13" t="n">
        <v>0</v>
      </c>
      <c r="AI209" s="13" t="n">
        <v>0</v>
      </c>
      <c r="AJ209" s="13" t="n">
        <v>0</v>
      </c>
      <c r="AK209" s="13" t="n">
        <v>0</v>
      </c>
      <c r="AL209" s="13" t="n">
        <v>0</v>
      </c>
      <c r="AM209" s="13" t="n">
        <v>0</v>
      </c>
      <c r="AN209" s="13" t="n">
        <v>0</v>
      </c>
      <c r="AO209" s="13" t="n">
        <v>0</v>
      </c>
      <c r="AP209" s="13" t="n">
        <v>0</v>
      </c>
      <c r="AQ209" s="13" t="n">
        <v>0</v>
      </c>
      <c r="AR209" s="13" t="n">
        <v>1380.076342</v>
      </c>
      <c r="AS209" s="13" t="n">
        <v>1379.929284</v>
      </c>
      <c r="AT209" s="13" t="n">
        <v>1380.00116</v>
      </c>
    </row>
    <row r="210" customFormat="false" ht="15" hidden="false" customHeight="true" outlineLevel="0" collapsed="false">
      <c r="A210" s="12" t="s">
        <v>683</v>
      </c>
      <c r="B210" s="12" t="s">
        <v>684</v>
      </c>
      <c r="C210" s="12" t="n">
        <v>1</v>
      </c>
      <c r="D210" s="12" t="s">
        <v>685</v>
      </c>
      <c r="E210" s="13" t="n">
        <v>0</v>
      </c>
      <c r="F210" s="13" t="n">
        <v>0</v>
      </c>
      <c r="G210" s="13" t="n">
        <v>0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0</v>
      </c>
      <c r="V210" s="13" t="n">
        <v>0</v>
      </c>
      <c r="W210" s="13" t="n">
        <v>0</v>
      </c>
      <c r="X210" s="13" t="n">
        <v>0</v>
      </c>
      <c r="Y210" s="13" t="n">
        <v>0</v>
      </c>
      <c r="Z210" s="13" t="n">
        <v>0</v>
      </c>
      <c r="AA210" s="13" t="n">
        <v>0</v>
      </c>
      <c r="AB210" s="13" t="n">
        <v>0</v>
      </c>
      <c r="AC210" s="13" t="n">
        <v>0</v>
      </c>
      <c r="AD210" s="13" t="n">
        <v>0</v>
      </c>
      <c r="AE210" s="13" t="n">
        <v>0</v>
      </c>
      <c r="AF210" s="13" t="n">
        <v>0</v>
      </c>
      <c r="AG210" s="13" t="n">
        <v>0</v>
      </c>
      <c r="AH210" s="13" t="n">
        <v>0</v>
      </c>
      <c r="AI210" s="13" t="n">
        <v>0</v>
      </c>
      <c r="AJ210" s="13" t="n">
        <v>0</v>
      </c>
      <c r="AK210" s="13" t="n">
        <v>0</v>
      </c>
      <c r="AL210" s="13" t="n">
        <v>0</v>
      </c>
      <c r="AM210" s="13" t="n">
        <v>0</v>
      </c>
      <c r="AN210" s="13" t="n">
        <v>0</v>
      </c>
      <c r="AO210" s="13" t="n">
        <v>0</v>
      </c>
      <c r="AP210" s="13" t="n">
        <v>0</v>
      </c>
      <c r="AQ210" s="13" t="n">
        <v>0</v>
      </c>
      <c r="AR210" s="13" t="n">
        <v>0</v>
      </c>
      <c r="AS210" s="13" t="n">
        <v>0</v>
      </c>
      <c r="AT210" s="13" t="n">
        <v>0</v>
      </c>
    </row>
    <row r="211" customFormat="false" ht="15" hidden="false" customHeight="true" outlineLevel="0" collapsed="false">
      <c r="A211" s="12" t="s">
        <v>686</v>
      </c>
      <c r="B211" s="12" t="s">
        <v>687</v>
      </c>
      <c r="C211" s="12" t="n">
        <v>1</v>
      </c>
      <c r="D211" s="12" t="s">
        <v>688</v>
      </c>
      <c r="E211" s="13" t="n">
        <v>0</v>
      </c>
      <c r="F211" s="13" t="n">
        <v>0</v>
      </c>
      <c r="G211" s="13" t="n">
        <v>0</v>
      </c>
      <c r="H211" s="13" t="n">
        <v>0</v>
      </c>
      <c r="I211" s="13" t="n">
        <v>0</v>
      </c>
      <c r="J211" s="13" t="n">
        <v>81707.999795</v>
      </c>
      <c r="K211" s="13" t="n">
        <v>40449.010152</v>
      </c>
      <c r="L211" s="13" t="n">
        <v>53200.015246</v>
      </c>
      <c r="M211" s="13" t="n">
        <v>52899.94674</v>
      </c>
      <c r="N211" s="13" t="n">
        <v>52980.029262</v>
      </c>
      <c r="O211" s="13" t="n">
        <v>51879.925631</v>
      </c>
      <c r="P211" s="13" t="n">
        <v>59779.967135</v>
      </c>
      <c r="Q211" s="13" t="n">
        <v>58774.977918</v>
      </c>
      <c r="R211" s="13" t="n">
        <v>59419.957743</v>
      </c>
      <c r="S211" s="13" t="n">
        <v>56919.995625</v>
      </c>
      <c r="T211" s="13" t="n">
        <v>50799.95648</v>
      </c>
      <c r="U211" s="13" t="n">
        <v>49600.017302</v>
      </c>
      <c r="V211" s="13" t="n">
        <v>51619.979424</v>
      </c>
      <c r="W211" s="13" t="n">
        <v>50939.961696</v>
      </c>
      <c r="X211" s="13" t="n">
        <v>52499.990394</v>
      </c>
      <c r="Y211" s="13" t="n">
        <v>55620.054984</v>
      </c>
      <c r="Z211" s="13" t="n">
        <v>57339.920704</v>
      </c>
      <c r="AA211" s="13" t="n">
        <v>57979.9281</v>
      </c>
      <c r="AB211" s="13" t="n">
        <v>0</v>
      </c>
      <c r="AC211" s="13" t="n">
        <v>0</v>
      </c>
      <c r="AD211" s="13" t="n">
        <v>0</v>
      </c>
      <c r="AE211" s="13" t="n">
        <v>0</v>
      </c>
      <c r="AF211" s="13" t="n">
        <v>0</v>
      </c>
      <c r="AG211" s="13" t="n">
        <v>0</v>
      </c>
      <c r="AH211" s="13" t="n">
        <v>0</v>
      </c>
      <c r="AI211" s="13" t="n">
        <v>0</v>
      </c>
      <c r="AJ211" s="13" t="n">
        <v>0</v>
      </c>
      <c r="AK211" s="13" t="n">
        <v>0</v>
      </c>
      <c r="AL211" s="13" t="n">
        <v>0</v>
      </c>
      <c r="AM211" s="13" t="n">
        <v>0</v>
      </c>
      <c r="AN211" s="13" t="n">
        <v>0</v>
      </c>
      <c r="AO211" s="13" t="n">
        <v>0</v>
      </c>
      <c r="AP211" s="13" t="n">
        <v>0</v>
      </c>
      <c r="AQ211" s="13" t="n">
        <v>0</v>
      </c>
      <c r="AR211" s="13" t="n">
        <v>0</v>
      </c>
      <c r="AS211" s="13" t="n">
        <v>0</v>
      </c>
      <c r="AT211" s="13" t="n">
        <v>0</v>
      </c>
    </row>
    <row r="212" customFormat="false" ht="15" hidden="false" customHeight="true" outlineLevel="0" collapsed="false">
      <c r="A212" s="12" t="s">
        <v>689</v>
      </c>
      <c r="B212" s="12" t="s">
        <v>690</v>
      </c>
      <c r="C212" s="12" t="n">
        <v>1</v>
      </c>
      <c r="D212" s="12" t="s">
        <v>691</v>
      </c>
      <c r="E212" s="13" t="n">
        <v>0</v>
      </c>
      <c r="F212" s="13" t="n">
        <v>0</v>
      </c>
      <c r="G212" s="13" t="n">
        <v>0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  <c r="X212" s="13" t="n">
        <v>0</v>
      </c>
      <c r="Y212" s="13" t="n">
        <v>750.08994</v>
      </c>
      <c r="Z212" s="13" t="n">
        <v>749.935824</v>
      </c>
      <c r="AA212" s="13" t="n">
        <v>750.03075</v>
      </c>
      <c r="AB212" s="13" t="n">
        <v>749.923924</v>
      </c>
      <c r="AC212" s="13" t="n">
        <v>781.4972</v>
      </c>
      <c r="AD212" s="13" t="n">
        <v>781.5771</v>
      </c>
      <c r="AE212" s="13" t="n">
        <v>781.57548</v>
      </c>
      <c r="AF212" s="13" t="n">
        <v>781.6336</v>
      </c>
      <c r="AG212" s="13" t="n">
        <v>781.569</v>
      </c>
      <c r="AH212" s="13" t="n">
        <v>781.65015</v>
      </c>
      <c r="AI212" s="13" t="n">
        <v>781.57926</v>
      </c>
      <c r="AJ212" s="13" t="n">
        <v>906.60096</v>
      </c>
      <c r="AK212" s="13" t="n">
        <v>906.6099</v>
      </c>
      <c r="AL212" s="13" t="n">
        <v>906.723063</v>
      </c>
      <c r="AM212" s="13" t="n">
        <v>906.709319</v>
      </c>
      <c r="AN212" s="13" t="n">
        <v>906.717986</v>
      </c>
      <c r="AO212" s="13" t="n">
        <v>940.108106</v>
      </c>
      <c r="AP212" s="13" t="n">
        <v>940.10688</v>
      </c>
      <c r="AQ212" s="13" t="n">
        <v>940.131016</v>
      </c>
      <c r="AR212" s="13" t="n">
        <v>940.107934</v>
      </c>
      <c r="AS212" s="13" t="n">
        <v>940.089807</v>
      </c>
      <c r="AT212" s="13" t="n">
        <v>940.185952</v>
      </c>
    </row>
    <row r="213" customFormat="false" ht="15" hidden="false" customHeight="true" outlineLevel="0" collapsed="false">
      <c r="A213" s="12" t="s">
        <v>692</v>
      </c>
      <c r="B213" s="12" t="s">
        <v>693</v>
      </c>
      <c r="C213" s="12" t="n">
        <v>1</v>
      </c>
      <c r="D213" s="12" t="s">
        <v>694</v>
      </c>
      <c r="E213" s="13" t="n">
        <v>1091.375532</v>
      </c>
      <c r="F213" s="13" t="n">
        <v>1091.458206</v>
      </c>
      <c r="G213" s="13" t="n">
        <v>1091.44809</v>
      </c>
      <c r="H213" s="13" t="n">
        <v>1091.34135</v>
      </c>
      <c r="I213" s="13" t="n">
        <v>1091.388025</v>
      </c>
      <c r="J213" s="13" t="n">
        <v>1091.3947</v>
      </c>
      <c r="K213" s="13" t="n">
        <v>1091.42136</v>
      </c>
      <c r="L213" s="13" t="n">
        <v>1091.343337</v>
      </c>
      <c r="M213" s="13" t="n">
        <v>1091.43288</v>
      </c>
      <c r="N213" s="13" t="n">
        <v>1091.475798</v>
      </c>
      <c r="O213" s="13" t="n">
        <v>1091.325018</v>
      </c>
      <c r="P213" s="13" t="n">
        <v>1091.399533</v>
      </c>
      <c r="Q213" s="13" t="n">
        <v>1091.452401</v>
      </c>
      <c r="R213" s="13" t="n">
        <v>1091.471055</v>
      </c>
      <c r="S213" s="13" t="n">
        <v>1091.34219</v>
      </c>
      <c r="T213" s="13" t="n">
        <v>1091.40864</v>
      </c>
      <c r="U213" s="13" t="n">
        <v>1091.412661</v>
      </c>
      <c r="V213" s="13" t="n">
        <v>1091.414064</v>
      </c>
      <c r="W213" s="13" t="n">
        <v>1091.460784</v>
      </c>
      <c r="X213" s="13" t="n">
        <v>0</v>
      </c>
      <c r="Y213" s="13" t="n">
        <v>1091.469456</v>
      </c>
      <c r="Z213" s="13" t="n">
        <v>0</v>
      </c>
      <c r="AA213" s="13" t="n">
        <v>0</v>
      </c>
      <c r="AB213" s="13" t="n">
        <v>0</v>
      </c>
      <c r="AC213" s="13" t="n">
        <v>0</v>
      </c>
      <c r="AD213" s="13" t="n">
        <v>0</v>
      </c>
      <c r="AE213" s="13" t="n">
        <v>0</v>
      </c>
      <c r="AF213" s="13" t="n">
        <v>0</v>
      </c>
      <c r="AG213" s="13" t="n">
        <v>0</v>
      </c>
      <c r="AH213" s="13" t="n">
        <v>0</v>
      </c>
      <c r="AI213" s="13" t="n">
        <v>0</v>
      </c>
      <c r="AJ213" s="13" t="n">
        <v>0</v>
      </c>
      <c r="AK213" s="13" t="n">
        <v>0</v>
      </c>
      <c r="AL213" s="13" t="n">
        <v>0</v>
      </c>
      <c r="AM213" s="13" t="n">
        <v>0</v>
      </c>
      <c r="AN213" s="13" t="n">
        <v>0</v>
      </c>
      <c r="AO213" s="13" t="n">
        <v>0</v>
      </c>
      <c r="AP213" s="13" t="n">
        <v>0</v>
      </c>
      <c r="AQ213" s="13" t="n">
        <v>0</v>
      </c>
      <c r="AR213" s="13" t="n">
        <v>0</v>
      </c>
      <c r="AS213" s="13" t="n">
        <v>0</v>
      </c>
      <c r="AT213" s="13" t="n">
        <v>0</v>
      </c>
    </row>
    <row r="214" customFormat="false" ht="15" hidden="false" customHeight="true" outlineLevel="0" collapsed="false">
      <c r="A214" s="12" t="s">
        <v>695</v>
      </c>
      <c r="B214" s="12" t="s">
        <v>696</v>
      </c>
      <c r="C214" s="12" t="n">
        <v>1</v>
      </c>
      <c r="D214" s="12" t="s">
        <v>697</v>
      </c>
      <c r="E214" s="13" t="n">
        <v>850.600548</v>
      </c>
      <c r="F214" s="13" t="n">
        <v>850.568172</v>
      </c>
      <c r="G214" s="13" t="n">
        <v>850.7141</v>
      </c>
      <c r="H214" s="13" t="n">
        <v>850.705092</v>
      </c>
      <c r="I214" s="13" t="n">
        <v>850.664059</v>
      </c>
      <c r="J214" s="13" t="n">
        <v>850.706245</v>
      </c>
      <c r="K214" s="13" t="n">
        <v>850.607748</v>
      </c>
      <c r="L214" s="13" t="n">
        <v>850.70188</v>
      </c>
      <c r="M214" s="13" t="n">
        <v>850.65489</v>
      </c>
      <c r="N214" s="13" t="n">
        <v>850.632024</v>
      </c>
      <c r="O214" s="13" t="n">
        <v>850.586497</v>
      </c>
      <c r="P214" s="13" t="n">
        <v>850.652124</v>
      </c>
      <c r="Q214" s="13" t="n">
        <v>893.146986</v>
      </c>
      <c r="R214" s="13" t="n">
        <v>893.177175</v>
      </c>
      <c r="S214" s="13" t="n">
        <v>893.187</v>
      </c>
      <c r="T214" s="13" t="n">
        <v>893.24928</v>
      </c>
      <c r="U214" s="13" t="n">
        <v>893.205204</v>
      </c>
      <c r="V214" s="13" t="n">
        <v>893.176128</v>
      </c>
      <c r="W214" s="13" t="n">
        <v>893.269056</v>
      </c>
      <c r="X214" s="13" t="n">
        <v>893.134192</v>
      </c>
      <c r="Y214" s="13" t="n">
        <v>850.692554</v>
      </c>
      <c r="Z214" s="13" t="n">
        <v>893.267584</v>
      </c>
      <c r="AA214" s="13" t="n">
        <v>893.09784</v>
      </c>
      <c r="AB214" s="13" t="n">
        <v>893.190556</v>
      </c>
      <c r="AC214" s="13" t="n">
        <v>930.8068</v>
      </c>
      <c r="AD214" s="13" t="n">
        <v>930.8302</v>
      </c>
      <c r="AE214" s="13" t="n">
        <v>930.7872</v>
      </c>
      <c r="AF214" s="13" t="n">
        <v>930.8332</v>
      </c>
      <c r="AG214" s="13" t="n">
        <v>930.74254</v>
      </c>
      <c r="AH214" s="13" t="n">
        <v>930.84165</v>
      </c>
      <c r="AI214" s="13" t="n">
        <v>930.82744</v>
      </c>
      <c r="AJ214" s="13" t="n">
        <v>930.83166</v>
      </c>
      <c r="AK214" s="13" t="n">
        <v>930.8253</v>
      </c>
      <c r="AL214" s="13" t="n">
        <v>930.850774</v>
      </c>
      <c r="AM214" s="13" t="n">
        <v>930.739042</v>
      </c>
      <c r="AN214" s="13" t="n">
        <v>930.815608</v>
      </c>
      <c r="AO214" s="13" t="n">
        <v>965.106396</v>
      </c>
      <c r="AP214" s="13" t="n">
        <v>965.12808</v>
      </c>
      <c r="AQ214" s="13" t="n">
        <v>965.11909</v>
      </c>
      <c r="AR214" s="13" t="n">
        <v>965.193852</v>
      </c>
      <c r="AS214" s="13" t="n">
        <v>965.188872</v>
      </c>
      <c r="AT214" s="13" t="n">
        <v>965.21324</v>
      </c>
    </row>
    <row r="215" customFormat="false" ht="15" hidden="false" customHeight="true" outlineLevel="0" collapsed="false">
      <c r="A215" s="12" t="s">
        <v>698</v>
      </c>
      <c r="B215" s="12" t="s">
        <v>699</v>
      </c>
      <c r="C215" s="12" t="n">
        <v>1</v>
      </c>
      <c r="D215" s="12" t="s">
        <v>700</v>
      </c>
      <c r="E215" s="13" t="n">
        <v>0</v>
      </c>
      <c r="F215" s="13" t="n">
        <v>0</v>
      </c>
      <c r="G215" s="13" t="n">
        <v>0</v>
      </c>
      <c r="H215" s="13" t="n">
        <v>0</v>
      </c>
      <c r="I215" s="13" t="n">
        <v>0</v>
      </c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494.064735</v>
      </c>
      <c r="T215" s="13" t="n">
        <v>494.03648</v>
      </c>
      <c r="U215" s="13" t="n">
        <v>494.077442</v>
      </c>
      <c r="V215" s="13" t="n">
        <v>519.913992</v>
      </c>
      <c r="W215" s="13" t="n">
        <v>468.009984</v>
      </c>
      <c r="X215" s="13" t="n">
        <v>442.006242</v>
      </c>
      <c r="Y215" s="13" t="n">
        <v>493.956866</v>
      </c>
      <c r="Z215" s="13" t="n">
        <v>520.003616</v>
      </c>
      <c r="AA215" s="13" t="n">
        <v>494.10189</v>
      </c>
      <c r="AB215" s="13" t="n">
        <v>493.946114</v>
      </c>
      <c r="AC215" s="13" t="n">
        <v>568.9068</v>
      </c>
      <c r="AD215" s="13" t="n">
        <v>514.6871</v>
      </c>
      <c r="AE215" s="13" t="n">
        <v>541.73448</v>
      </c>
      <c r="AF215" s="13" t="n">
        <v>487.542</v>
      </c>
      <c r="AG215" s="13" t="n">
        <v>541.88784</v>
      </c>
      <c r="AH215" s="13" t="n">
        <v>487.6107</v>
      </c>
      <c r="AI215" s="13" t="n">
        <v>487.59418</v>
      </c>
      <c r="AJ215" s="13" t="n">
        <v>487.59624</v>
      </c>
      <c r="AK215" s="13" t="n">
        <v>487.6101</v>
      </c>
      <c r="AL215" s="13" t="n">
        <v>460.4525</v>
      </c>
      <c r="AM215" s="13" t="n">
        <v>460.600263</v>
      </c>
      <c r="AN215" s="13" t="n">
        <v>460.552313</v>
      </c>
      <c r="AO215" s="13" t="n">
        <v>352.217286</v>
      </c>
      <c r="AP215" s="13" t="n">
        <v>0</v>
      </c>
      <c r="AQ215" s="13" t="n">
        <v>0</v>
      </c>
      <c r="AR215" s="13" t="n">
        <v>0</v>
      </c>
      <c r="AS215" s="13" t="n">
        <v>0</v>
      </c>
      <c r="AT215" s="13" t="n">
        <v>0</v>
      </c>
    </row>
    <row r="216" customFormat="false" ht="15" hidden="false" customHeight="true" outlineLevel="0" collapsed="false">
      <c r="A216" s="12" t="s">
        <v>701</v>
      </c>
      <c r="B216" s="12" t="s">
        <v>702</v>
      </c>
      <c r="C216" s="12" t="n">
        <v>1</v>
      </c>
      <c r="D216" s="12" t="s">
        <v>703</v>
      </c>
      <c r="E216" s="13" t="n">
        <v>0</v>
      </c>
      <c r="F216" s="13" t="n">
        <v>0</v>
      </c>
      <c r="G216" s="13" t="n">
        <v>0</v>
      </c>
      <c r="H216" s="13" t="n">
        <v>0</v>
      </c>
      <c r="I216" s="13" t="n">
        <v>0</v>
      </c>
      <c r="J216" s="13" t="n">
        <v>0</v>
      </c>
      <c r="K216" s="13" t="n">
        <v>999.968928</v>
      </c>
      <c r="L216" s="13" t="n">
        <v>1100.051309</v>
      </c>
      <c r="M216" s="13" t="n">
        <v>1050.010605</v>
      </c>
      <c r="N216" s="13" t="n">
        <v>1049.919858</v>
      </c>
      <c r="O216" s="13" t="n">
        <v>999.951069</v>
      </c>
      <c r="P216" s="13" t="n">
        <v>1049.949698</v>
      </c>
      <c r="Q216" s="13" t="n">
        <v>1050.074388</v>
      </c>
      <c r="R216" s="13" t="n">
        <v>997.452405</v>
      </c>
      <c r="S216" s="13" t="n">
        <v>944.958765</v>
      </c>
      <c r="T216" s="13" t="n">
        <v>839.96416</v>
      </c>
      <c r="U216" s="13" t="n">
        <v>997.480299</v>
      </c>
      <c r="V216" s="13" t="n">
        <v>1049.960964</v>
      </c>
      <c r="W216" s="13" t="n">
        <v>1102.52352</v>
      </c>
      <c r="X216" s="13" t="n">
        <v>1102.53688</v>
      </c>
      <c r="Y216" s="13" t="n">
        <v>1102.4944</v>
      </c>
      <c r="Z216" s="13" t="n">
        <v>1417.480944</v>
      </c>
      <c r="AA216" s="13" t="n">
        <v>1154.94531</v>
      </c>
      <c r="AB216" s="13" t="n">
        <v>1155.036632</v>
      </c>
      <c r="AC216" s="13" t="n">
        <v>1367.7752</v>
      </c>
      <c r="AD216" s="13" t="n">
        <v>1367.7086</v>
      </c>
      <c r="AE216" s="13" t="n">
        <v>1203.69564</v>
      </c>
      <c r="AF216" s="13" t="n">
        <v>1203.5826</v>
      </c>
      <c r="AG216" s="13" t="n">
        <v>1094.1966</v>
      </c>
      <c r="AH216" s="13" t="n">
        <v>1094.1969</v>
      </c>
      <c r="AI216" s="13" t="n">
        <v>984.77483</v>
      </c>
      <c r="AJ216" s="13" t="n">
        <v>1094.1093</v>
      </c>
      <c r="AK216" s="13" t="n">
        <v>1039.4277</v>
      </c>
      <c r="AL216" s="13" t="n">
        <v>1039.517564</v>
      </c>
      <c r="AM216" s="13" t="n">
        <v>1039.514811</v>
      </c>
      <c r="AN216" s="13" t="n">
        <v>0</v>
      </c>
      <c r="AO216" s="13" t="n">
        <v>0</v>
      </c>
      <c r="AP216" s="13" t="n">
        <v>0</v>
      </c>
      <c r="AQ216" s="13" t="n">
        <v>0</v>
      </c>
      <c r="AR216" s="13" t="n">
        <v>0</v>
      </c>
      <c r="AS216" s="13" t="n">
        <v>0</v>
      </c>
      <c r="AT216" s="13" t="n">
        <v>0</v>
      </c>
    </row>
    <row r="217" customFormat="false" ht="15" hidden="false" customHeight="true" outlineLevel="0" collapsed="false">
      <c r="A217" s="12" t="s">
        <v>704</v>
      </c>
      <c r="B217" s="12" t="s">
        <v>705</v>
      </c>
      <c r="C217" s="12" t="n">
        <v>1</v>
      </c>
      <c r="D217" s="12" t="s">
        <v>706</v>
      </c>
      <c r="E217" s="13" t="n">
        <v>0</v>
      </c>
      <c r="F217" s="13" t="n">
        <v>0</v>
      </c>
      <c r="G217" s="13" t="n">
        <v>0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 t="n">
        <v>0</v>
      </c>
      <c r="M217" s="13" t="n">
        <v>0</v>
      </c>
      <c r="N217" s="13" t="n">
        <v>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0</v>
      </c>
      <c r="V217" s="13" t="n">
        <v>0</v>
      </c>
      <c r="W217" s="13" t="n">
        <v>0</v>
      </c>
      <c r="X217" s="13" t="n">
        <v>0</v>
      </c>
      <c r="Y217" s="13" t="n">
        <v>0</v>
      </c>
      <c r="Z217" s="13" t="n">
        <v>0</v>
      </c>
      <c r="AA217" s="13" t="n">
        <v>0</v>
      </c>
      <c r="AB217" s="13" t="n">
        <v>0</v>
      </c>
      <c r="AC217" s="13" t="n">
        <v>0</v>
      </c>
      <c r="AD217" s="13" t="n">
        <v>0</v>
      </c>
      <c r="AE217" s="13" t="n">
        <v>3510.04752</v>
      </c>
      <c r="AF217" s="13" t="n">
        <v>2519.946</v>
      </c>
      <c r="AG217" s="13" t="n">
        <v>3689.97058</v>
      </c>
      <c r="AH217" s="13" t="n">
        <v>2340.04035</v>
      </c>
      <c r="AI217" s="13" t="n">
        <v>3959.96399</v>
      </c>
      <c r="AJ217" s="13" t="n">
        <v>4409.9874</v>
      </c>
      <c r="AK217" s="13" t="n">
        <v>4859.9574</v>
      </c>
      <c r="AL217" s="13" t="n">
        <v>4410.029864</v>
      </c>
      <c r="AM217" s="13" t="n">
        <v>4769.991732</v>
      </c>
      <c r="AN217" s="13" t="n">
        <v>4319.948326</v>
      </c>
      <c r="AO217" s="13" t="n">
        <v>4059.377492</v>
      </c>
      <c r="AP217" s="13" t="n">
        <v>3919.35528</v>
      </c>
      <c r="AQ217" s="13" t="n">
        <v>3359.447369</v>
      </c>
      <c r="AR217" s="13" t="n">
        <v>4712.644064</v>
      </c>
      <c r="AS217" s="13" t="n">
        <v>4666.002732</v>
      </c>
      <c r="AT217" s="13" t="n">
        <v>3732.741248</v>
      </c>
    </row>
    <row r="218" customFormat="false" ht="15" hidden="false" customHeight="true" outlineLevel="0" collapsed="false">
      <c r="A218" s="12" t="s">
        <v>707</v>
      </c>
      <c r="B218" s="12" t="s">
        <v>708</v>
      </c>
      <c r="C218" s="12" t="n">
        <v>1</v>
      </c>
      <c r="D218" s="12" t="s">
        <v>709</v>
      </c>
      <c r="E218" s="13" t="n">
        <v>1861.780356</v>
      </c>
      <c r="F218" s="13" t="n">
        <v>1669.11582</v>
      </c>
      <c r="G218" s="13" t="n">
        <v>1797.540793</v>
      </c>
      <c r="H218" s="13" t="n">
        <v>1733.338683</v>
      </c>
      <c r="I218" s="13" t="n">
        <v>1669.160892</v>
      </c>
      <c r="J218" s="13" t="n">
        <v>1669.25227</v>
      </c>
      <c r="K218" s="13" t="n">
        <v>2118.59238</v>
      </c>
      <c r="L218" s="13" t="n">
        <v>2246.991698</v>
      </c>
      <c r="M218" s="13" t="n">
        <v>1990.208115</v>
      </c>
      <c r="N218" s="13" t="n">
        <v>2054.489538</v>
      </c>
      <c r="O218" s="13" t="n">
        <v>1990.265714</v>
      </c>
      <c r="P218" s="13" t="n">
        <v>1990.268812</v>
      </c>
      <c r="Q218" s="13" t="n">
        <v>1990.265256</v>
      </c>
      <c r="R218" s="13" t="n">
        <v>1926.014781</v>
      </c>
      <c r="S218" s="13" t="n">
        <v>1925.97582</v>
      </c>
      <c r="T218" s="13" t="n">
        <v>2054.45632</v>
      </c>
      <c r="U218" s="13" t="n">
        <v>2311.176943</v>
      </c>
      <c r="V218" s="13" t="n">
        <v>2889.004716</v>
      </c>
      <c r="W218" s="13" t="n">
        <v>3081.62824</v>
      </c>
      <c r="X218" s="13" t="n">
        <v>3531.092486</v>
      </c>
      <c r="Y218" s="13" t="n">
        <v>3723.674836</v>
      </c>
      <c r="Z218" s="13" t="n">
        <v>4044.561664</v>
      </c>
      <c r="AA218" s="13" t="n">
        <v>4173.02823</v>
      </c>
      <c r="AB218" s="13" t="n">
        <v>4494.079986</v>
      </c>
      <c r="AC218" s="13" t="n">
        <v>4558.2856</v>
      </c>
      <c r="AD218" s="13" t="n">
        <v>5200.249</v>
      </c>
      <c r="AE218" s="13" t="n">
        <v>4493.90592</v>
      </c>
      <c r="AF218" s="13" t="n">
        <v>4879.1402</v>
      </c>
      <c r="AG218" s="13" t="n">
        <v>4429.8559</v>
      </c>
      <c r="AH218" s="13" t="n">
        <v>4429.85445</v>
      </c>
      <c r="AI218" s="13" t="n">
        <v>3916.16698</v>
      </c>
      <c r="AJ218" s="13" t="n">
        <v>3916.24029</v>
      </c>
      <c r="AK218" s="13" t="n">
        <v>3916.2906</v>
      </c>
      <c r="AL218" s="13" t="n">
        <v>4108.709748</v>
      </c>
      <c r="AM218" s="13" t="n">
        <v>4301.320417</v>
      </c>
      <c r="AN218" s="13" t="n">
        <v>4301.425527</v>
      </c>
      <c r="AO218" s="13" t="n">
        <v>4460.212142</v>
      </c>
      <c r="AP218" s="13" t="n">
        <v>4659.9828</v>
      </c>
      <c r="AQ218" s="13" t="n">
        <v>4393.555272</v>
      </c>
      <c r="AR218" s="13" t="n">
        <v>1397.969794</v>
      </c>
      <c r="AS218" s="13" t="n">
        <v>1797.439248</v>
      </c>
      <c r="AT218" s="13" t="n">
        <v>1797.41432</v>
      </c>
    </row>
    <row r="219" customFormat="false" ht="15" hidden="false" customHeight="true" outlineLevel="0" collapsed="false">
      <c r="A219" s="12" t="s">
        <v>710</v>
      </c>
      <c r="B219" s="12" t="s">
        <v>711</v>
      </c>
      <c r="C219" s="12" t="n">
        <v>1</v>
      </c>
      <c r="D219" s="12" t="s">
        <v>712</v>
      </c>
      <c r="E219" s="13" t="n">
        <v>0</v>
      </c>
      <c r="F219" s="13" t="n">
        <v>0</v>
      </c>
      <c r="G219" s="13" t="n">
        <v>0</v>
      </c>
      <c r="H219" s="13" t="n">
        <v>0</v>
      </c>
      <c r="I219" s="13" t="n">
        <v>0</v>
      </c>
      <c r="J219" s="13" t="n">
        <v>0</v>
      </c>
      <c r="K219" s="13" t="n">
        <v>0</v>
      </c>
      <c r="L219" s="13" t="n">
        <v>0</v>
      </c>
      <c r="M219" s="13" t="n">
        <v>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0</v>
      </c>
      <c r="X219" s="13" t="n">
        <v>0</v>
      </c>
      <c r="Y219" s="13" t="n">
        <v>0</v>
      </c>
      <c r="Z219" s="13" t="n">
        <v>0</v>
      </c>
      <c r="AA219" s="13" t="n">
        <v>0</v>
      </c>
      <c r="AB219" s="13" t="n">
        <v>0</v>
      </c>
      <c r="AC219" s="13" t="n">
        <v>0</v>
      </c>
      <c r="AD219" s="13" t="n">
        <v>0</v>
      </c>
      <c r="AE219" s="13" t="n">
        <v>0</v>
      </c>
      <c r="AF219" s="13" t="n">
        <v>0</v>
      </c>
      <c r="AG219" s="13" t="n">
        <v>0</v>
      </c>
      <c r="AH219" s="13" t="n">
        <v>989.9517</v>
      </c>
      <c r="AI219" s="13" t="n">
        <v>2475.00099</v>
      </c>
      <c r="AJ219" s="13" t="n">
        <v>2475.07281</v>
      </c>
      <c r="AK219" s="13" t="n">
        <v>3015.00075</v>
      </c>
      <c r="AL219" s="13" t="n">
        <v>2745.033624</v>
      </c>
      <c r="AM219" s="13" t="n">
        <v>3509.990455</v>
      </c>
      <c r="AN219" s="13" t="n">
        <v>3149.954828</v>
      </c>
      <c r="AO219" s="13" t="n">
        <v>3312.876832</v>
      </c>
      <c r="AP219" s="13" t="n">
        <v>3452.9256</v>
      </c>
      <c r="AQ219" s="13" t="n">
        <v>3779.536729</v>
      </c>
      <c r="AR219" s="13" t="n">
        <v>4012.694324</v>
      </c>
      <c r="AS219" s="13" t="n">
        <v>4152.770127</v>
      </c>
      <c r="AT219" s="13" t="n">
        <v>4059.49612</v>
      </c>
    </row>
    <row r="220" customFormat="false" ht="15" hidden="false" customHeight="true" outlineLevel="0" collapsed="false">
      <c r="A220" s="12" t="s">
        <v>713</v>
      </c>
      <c r="B220" s="12" t="s">
        <v>714</v>
      </c>
      <c r="C220" s="12" t="n">
        <v>1</v>
      </c>
      <c r="D220" s="12" t="s">
        <v>715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3099.96976</v>
      </c>
      <c r="AR220" s="13" t="n">
        <v>3249.942076</v>
      </c>
      <c r="AS220" s="13" t="n">
        <v>3299.921208</v>
      </c>
      <c r="AT220" s="13" t="n">
        <v>3199.992544</v>
      </c>
    </row>
    <row r="221" customFormat="false" ht="15" hidden="false" customHeight="true" outlineLevel="0" collapsed="false">
      <c r="A221" s="12" t="s">
        <v>716</v>
      </c>
      <c r="B221" s="12" t="s">
        <v>717</v>
      </c>
      <c r="C221" s="12" t="n">
        <v>1</v>
      </c>
      <c r="D221" s="12" t="s">
        <v>718</v>
      </c>
      <c r="E221" s="13" t="n">
        <v>0</v>
      </c>
      <c r="F221" s="13" t="n">
        <v>0</v>
      </c>
      <c r="G221" s="13" t="n">
        <v>0</v>
      </c>
      <c r="H221" s="13" t="n">
        <v>0</v>
      </c>
      <c r="I221" s="13" t="n">
        <v>0</v>
      </c>
      <c r="J221" s="13" t="n">
        <v>0</v>
      </c>
      <c r="K221" s="13" t="n">
        <v>0</v>
      </c>
      <c r="L221" s="13" t="n">
        <v>0</v>
      </c>
      <c r="M221" s="13" t="n">
        <v>0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  <c r="V221" s="13" t="n">
        <v>0</v>
      </c>
      <c r="W221" s="13" t="n">
        <v>0</v>
      </c>
      <c r="X221" s="13" t="n">
        <v>0</v>
      </c>
      <c r="Y221" s="13" t="n">
        <v>0</v>
      </c>
      <c r="Z221" s="13" t="n">
        <v>0</v>
      </c>
      <c r="AA221" s="13" t="n">
        <v>0</v>
      </c>
      <c r="AB221" s="13" t="n">
        <v>0</v>
      </c>
      <c r="AC221" s="13" t="n">
        <v>0</v>
      </c>
      <c r="AD221" s="13" t="n">
        <v>0</v>
      </c>
      <c r="AE221" s="13" t="n">
        <v>0</v>
      </c>
      <c r="AF221" s="13" t="n">
        <v>0</v>
      </c>
      <c r="AG221" s="13" t="n">
        <v>0</v>
      </c>
      <c r="AH221" s="13" t="n">
        <v>0</v>
      </c>
      <c r="AI221" s="13" t="n">
        <v>0</v>
      </c>
      <c r="AJ221" s="13" t="n">
        <v>0</v>
      </c>
      <c r="AK221" s="13" t="n">
        <v>0</v>
      </c>
      <c r="AL221" s="13" t="n">
        <v>0</v>
      </c>
      <c r="AM221" s="13" t="n">
        <v>0</v>
      </c>
      <c r="AN221" s="13" t="n">
        <v>0</v>
      </c>
      <c r="AO221" s="13" t="n">
        <v>162.05788</v>
      </c>
      <c r="AP221" s="13" t="n">
        <v>162.03384</v>
      </c>
      <c r="AQ221" s="13" t="n">
        <v>162.060335</v>
      </c>
      <c r="AR221" s="13" t="n">
        <v>161.918198</v>
      </c>
      <c r="AS221" s="13" t="n">
        <v>162.018792</v>
      </c>
      <c r="AT221" s="13" t="n">
        <v>162.064816</v>
      </c>
    </row>
    <row r="222" customFormat="false" ht="15" hidden="false" customHeight="true" outlineLevel="0" collapsed="false">
      <c r="A222" s="12" t="s">
        <v>719</v>
      </c>
      <c r="B222" s="12" t="s">
        <v>720</v>
      </c>
      <c r="C222" s="12" t="n">
        <v>1</v>
      </c>
      <c r="D222" s="12" t="s">
        <v>721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660.00699</v>
      </c>
      <c r="AK222" s="13" t="n">
        <v>660.0531</v>
      </c>
      <c r="AL222" s="13" t="n">
        <v>659.920523</v>
      </c>
      <c r="AM222" s="13" t="n">
        <v>659.991934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</row>
    <row r="223" customFormat="false" ht="15" hidden="false" customHeight="true" outlineLevel="0" collapsed="false">
      <c r="A223" s="12" t="s">
        <v>722</v>
      </c>
      <c r="B223" s="12" t="s">
        <v>723</v>
      </c>
      <c r="C223" s="12" t="n">
        <v>1</v>
      </c>
      <c r="D223" s="12" t="s">
        <v>724</v>
      </c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3709.930994</v>
      </c>
      <c r="M223" s="13" t="n">
        <v>3499.91784</v>
      </c>
      <c r="N223" s="13" t="n">
        <v>3377.413854</v>
      </c>
      <c r="O223" s="13" t="n">
        <v>3202.562269</v>
      </c>
      <c r="P223" s="13" t="n">
        <v>3255.08092</v>
      </c>
      <c r="Q223" s="13" t="n">
        <v>3219.930522</v>
      </c>
      <c r="R223" s="13" t="n">
        <v>3325.012293</v>
      </c>
      <c r="S223" s="13" t="n">
        <v>2603.970915</v>
      </c>
      <c r="T223" s="13" t="n">
        <v>3290.05824</v>
      </c>
      <c r="U223" s="13" t="n">
        <v>2520.066239</v>
      </c>
      <c r="V223" s="13" t="n">
        <v>2589.989688</v>
      </c>
      <c r="W223" s="13" t="n">
        <v>2694.994992</v>
      </c>
      <c r="X223" s="13" t="n">
        <v>3395.060058</v>
      </c>
      <c r="Y223" s="13" t="n">
        <v>3360.048558</v>
      </c>
      <c r="Z223" s="13" t="n">
        <v>3429.93904</v>
      </c>
      <c r="AA223" s="13" t="n">
        <v>3395.03715</v>
      </c>
      <c r="AB223" s="13" t="n">
        <v>3377.490614</v>
      </c>
      <c r="AC223" s="13" t="n">
        <v>3629.7536</v>
      </c>
      <c r="AD223" s="13" t="n">
        <v>3629.704</v>
      </c>
      <c r="AE223" s="13" t="n">
        <v>3520.25352</v>
      </c>
      <c r="AF223" s="13" t="n">
        <v>3483.8694</v>
      </c>
      <c r="AG223" s="13" t="n">
        <v>3447.39472</v>
      </c>
      <c r="AH223" s="13" t="n">
        <v>3392.69025</v>
      </c>
      <c r="AI223" s="13" t="n">
        <v>3429.13671</v>
      </c>
      <c r="AJ223" s="13" t="n">
        <v>3447.28305</v>
      </c>
      <c r="AK223" s="13" t="n">
        <v>3301.3662</v>
      </c>
      <c r="AL223" s="13" t="n">
        <v>3173.806992</v>
      </c>
      <c r="AM223" s="13" t="n">
        <v>3009.585231</v>
      </c>
      <c r="AN223" s="13" t="n">
        <v>2936.67289</v>
      </c>
      <c r="AO223" s="13" t="n">
        <v>3025.6551</v>
      </c>
      <c r="AP223" s="13" t="n">
        <v>3044.47608</v>
      </c>
      <c r="AQ223" s="13" t="n">
        <v>3006.717165</v>
      </c>
      <c r="AR223" s="13" t="n">
        <v>2987.855632</v>
      </c>
      <c r="AS223" s="13" t="n">
        <v>3006.69489</v>
      </c>
      <c r="AT223" s="13" t="n">
        <v>2987.698136</v>
      </c>
    </row>
    <row r="224" customFormat="false" ht="15" hidden="false" customHeight="true" outlineLevel="0" collapsed="false">
      <c r="A224" s="12" t="s">
        <v>725</v>
      </c>
      <c r="B224" s="12" t="s">
        <v>726</v>
      </c>
      <c r="C224" s="12" t="n">
        <v>1</v>
      </c>
      <c r="D224" s="12" t="s">
        <v>727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415.952091</v>
      </c>
      <c r="AT224" s="13" t="n">
        <v>416.013032</v>
      </c>
    </row>
    <row r="225" customFormat="false" ht="15" hidden="false" customHeight="true" outlineLevel="0" collapsed="false">
      <c r="A225" s="12" t="s">
        <v>728</v>
      </c>
      <c r="B225" s="12" t="s">
        <v>729</v>
      </c>
      <c r="C225" s="12" t="n">
        <v>1</v>
      </c>
      <c r="D225" s="12" t="s">
        <v>730</v>
      </c>
      <c r="E225" s="13" t="n">
        <v>0</v>
      </c>
      <c r="F225" s="13" t="n">
        <v>0</v>
      </c>
      <c r="G225" s="13" t="n">
        <v>0</v>
      </c>
      <c r="H225" s="13" t="n">
        <v>0</v>
      </c>
      <c r="I225" s="13" t="n">
        <v>0</v>
      </c>
      <c r="J225" s="13" t="n">
        <v>0</v>
      </c>
      <c r="K225" s="13" t="n">
        <v>0</v>
      </c>
      <c r="L225" s="13" t="n">
        <v>0</v>
      </c>
      <c r="M225" s="13" t="n">
        <v>0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0</v>
      </c>
      <c r="V225" s="13" t="n">
        <v>0</v>
      </c>
      <c r="W225" s="13" t="n">
        <v>0</v>
      </c>
      <c r="X225" s="13" t="n">
        <v>0</v>
      </c>
      <c r="Y225" s="13" t="n">
        <v>0</v>
      </c>
      <c r="Z225" s="13" t="n">
        <v>0</v>
      </c>
      <c r="AA225" s="13" t="n">
        <v>0</v>
      </c>
      <c r="AB225" s="13" t="n">
        <v>0</v>
      </c>
      <c r="AC225" s="13" t="n">
        <v>0</v>
      </c>
      <c r="AD225" s="13" t="n">
        <v>0</v>
      </c>
      <c r="AE225" s="13" t="n">
        <v>0</v>
      </c>
      <c r="AF225" s="13" t="n">
        <v>0</v>
      </c>
      <c r="AG225" s="13" t="n">
        <v>0</v>
      </c>
      <c r="AH225" s="13" t="n">
        <v>1013.93565</v>
      </c>
      <c r="AI225" s="13" t="n">
        <v>0</v>
      </c>
      <c r="AJ225" s="13" t="n">
        <v>3861.06885</v>
      </c>
      <c r="AK225" s="13" t="n">
        <v>4835.92545</v>
      </c>
      <c r="AL225" s="13" t="n">
        <v>7391.920254</v>
      </c>
      <c r="AM225" s="13" t="n">
        <v>8988.033567</v>
      </c>
      <c r="AN225" s="13" t="n">
        <v>9282.080295</v>
      </c>
      <c r="AO225" s="13" t="n">
        <v>10458.077722</v>
      </c>
      <c r="AP225" s="13" t="n">
        <v>10457.9988</v>
      </c>
      <c r="AQ225" s="13" t="n">
        <v>12096.038546</v>
      </c>
      <c r="AR225" s="13" t="n">
        <v>11717.930522</v>
      </c>
      <c r="AS225" s="13" t="n">
        <v>11676.085038</v>
      </c>
      <c r="AT225" s="13" t="n">
        <v>12432.086544</v>
      </c>
    </row>
    <row r="226" customFormat="false" ht="15" hidden="false" customHeight="true" outlineLevel="0" collapsed="false">
      <c r="A226" s="12" t="s">
        <v>731</v>
      </c>
      <c r="B226" s="12" t="s">
        <v>732</v>
      </c>
      <c r="C226" s="12" t="n">
        <v>1</v>
      </c>
      <c r="D226" s="12" t="s">
        <v>733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583.485408</v>
      </c>
      <c r="AM226" s="13" t="n">
        <v>474.174305</v>
      </c>
      <c r="AN226" s="13" t="n">
        <v>474.039788</v>
      </c>
      <c r="AO226" s="13" t="n">
        <v>416.006026</v>
      </c>
      <c r="AP226" s="13" t="n">
        <v>378.25152</v>
      </c>
      <c r="AQ226" s="13" t="n">
        <v>378.261497</v>
      </c>
      <c r="AR226" s="13" t="n">
        <v>415.935046</v>
      </c>
      <c r="AS226" s="13" t="n">
        <v>491.59548</v>
      </c>
      <c r="AT226" s="13" t="n">
        <v>491.619944</v>
      </c>
    </row>
    <row r="227" customFormat="false" ht="15" hidden="false" customHeight="true" outlineLevel="0" collapsed="false">
      <c r="A227" s="12" t="s">
        <v>734</v>
      </c>
      <c r="B227" s="12" t="s">
        <v>735</v>
      </c>
      <c r="C227" s="12" t="n">
        <v>1</v>
      </c>
      <c r="D227" s="12" t="s">
        <v>736</v>
      </c>
      <c r="E227" s="13" t="n">
        <v>0</v>
      </c>
      <c r="F227" s="13" t="n">
        <v>0</v>
      </c>
      <c r="G227" s="13" t="n">
        <v>0</v>
      </c>
      <c r="H227" s="13" t="n">
        <v>0</v>
      </c>
      <c r="I227" s="13" t="n">
        <v>0</v>
      </c>
      <c r="J227" s="13" t="n">
        <v>0</v>
      </c>
      <c r="K227" s="13" t="n">
        <v>0</v>
      </c>
      <c r="L227" s="13" t="n">
        <v>750.057819</v>
      </c>
      <c r="M227" s="13" t="n">
        <v>750.007575</v>
      </c>
      <c r="N227" s="13" t="n">
        <v>749.994378</v>
      </c>
      <c r="O227" s="13" t="n">
        <v>749.920282</v>
      </c>
      <c r="P227" s="13" t="n">
        <v>749.988239</v>
      </c>
      <c r="Q227" s="13" t="n">
        <v>787.555791</v>
      </c>
      <c r="R227" s="13" t="n">
        <v>787.534401</v>
      </c>
      <c r="S227" s="13" t="n">
        <v>787.493205</v>
      </c>
      <c r="T227" s="13" t="n">
        <v>787.53024</v>
      </c>
      <c r="U227" s="13" t="n">
        <v>787.573685</v>
      </c>
      <c r="V227" s="13" t="n">
        <v>787.424664</v>
      </c>
      <c r="W227" s="13" t="n">
        <v>787.5168</v>
      </c>
      <c r="X227" s="13" t="n">
        <v>787.441358</v>
      </c>
      <c r="Y227" s="13" t="n">
        <v>0</v>
      </c>
      <c r="Z227" s="13" t="n">
        <v>0</v>
      </c>
      <c r="AA227" s="13" t="n">
        <v>0</v>
      </c>
      <c r="AB227" s="13" t="n">
        <v>0</v>
      </c>
      <c r="AC227" s="13" t="n">
        <v>0</v>
      </c>
      <c r="AD227" s="13" t="n">
        <v>0</v>
      </c>
      <c r="AE227" s="13" t="n">
        <v>0</v>
      </c>
      <c r="AF227" s="13" t="n">
        <v>0</v>
      </c>
      <c r="AG227" s="13" t="n">
        <v>0</v>
      </c>
      <c r="AH227" s="13" t="n">
        <v>0</v>
      </c>
      <c r="AI227" s="13" t="n">
        <v>0</v>
      </c>
      <c r="AJ227" s="13" t="n">
        <v>0</v>
      </c>
      <c r="AK227" s="13" t="n">
        <v>0</v>
      </c>
      <c r="AL227" s="13" t="n">
        <v>0</v>
      </c>
      <c r="AM227" s="13" t="n">
        <v>0</v>
      </c>
      <c r="AN227" s="13" t="n">
        <v>0</v>
      </c>
      <c r="AO227" s="13" t="n">
        <v>0</v>
      </c>
      <c r="AP227" s="13" t="n">
        <v>0</v>
      </c>
      <c r="AQ227" s="13" t="n">
        <v>0</v>
      </c>
      <c r="AR227" s="13" t="n">
        <v>0</v>
      </c>
      <c r="AS227" s="13" t="n">
        <v>0</v>
      </c>
      <c r="AT227" s="13" t="n">
        <v>0</v>
      </c>
    </row>
    <row r="228" customFormat="false" ht="15" hidden="false" customHeight="true" outlineLevel="0" collapsed="false">
      <c r="A228" s="12" t="s">
        <v>737</v>
      </c>
      <c r="B228" s="12" t="s">
        <v>738</v>
      </c>
      <c r="C228" s="12" t="n">
        <v>1</v>
      </c>
      <c r="D228" s="12" t="s">
        <v>739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259.995642</v>
      </c>
      <c r="O228" s="13" t="n">
        <v>260.011369</v>
      </c>
      <c r="P228" s="13" t="n">
        <v>260.034271</v>
      </c>
      <c r="Q228" s="13" t="n">
        <v>259.943202</v>
      </c>
      <c r="R228" s="13" t="n">
        <v>260.004303</v>
      </c>
      <c r="S228" s="13" t="n">
        <v>260.01666</v>
      </c>
      <c r="T228" s="13" t="n">
        <v>259.95648</v>
      </c>
      <c r="U228" s="13" t="n">
        <v>259.924749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</row>
    <row r="229" customFormat="false" ht="15" hidden="false" customHeight="true" outlineLevel="0" collapsed="false">
      <c r="A229" s="12" t="s">
        <v>740</v>
      </c>
      <c r="B229" s="12" t="s">
        <v>741</v>
      </c>
      <c r="C229" s="12" t="n">
        <v>1</v>
      </c>
      <c r="D229" s="12" t="s">
        <v>742</v>
      </c>
      <c r="E229" s="13" t="n">
        <v>0</v>
      </c>
      <c r="F229" s="13" t="n">
        <v>0</v>
      </c>
      <c r="G229" s="13" t="n">
        <v>0</v>
      </c>
      <c r="H229" s="13" t="n">
        <v>0</v>
      </c>
      <c r="I229" s="13" t="n">
        <v>0</v>
      </c>
      <c r="J229" s="13" t="n">
        <v>0</v>
      </c>
      <c r="K229" s="13" t="n">
        <v>0</v>
      </c>
      <c r="L229" s="13" t="n">
        <v>0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0</v>
      </c>
      <c r="V229" s="13" t="n">
        <v>0</v>
      </c>
      <c r="W229" s="13" t="n">
        <v>0</v>
      </c>
      <c r="X229" s="13" t="n">
        <v>0</v>
      </c>
      <c r="Y229" s="13" t="n">
        <v>0</v>
      </c>
      <c r="Z229" s="13" t="n">
        <v>0</v>
      </c>
      <c r="AA229" s="13" t="n">
        <v>630.02583</v>
      </c>
      <c r="AB229" s="13" t="n">
        <v>629.928002</v>
      </c>
      <c r="AC229" s="13" t="n">
        <v>805.0724</v>
      </c>
      <c r="AD229" s="13" t="n">
        <v>1240.012</v>
      </c>
      <c r="AE229" s="13" t="n">
        <v>1204.92036</v>
      </c>
      <c r="AF229" s="13" t="n">
        <v>1539.967</v>
      </c>
      <c r="AG229" s="13" t="n">
        <v>5195.0216</v>
      </c>
      <c r="AH229" s="13" t="n">
        <v>5125.0113</v>
      </c>
      <c r="AI229" s="13" t="n">
        <v>5190.03967</v>
      </c>
      <c r="AJ229" s="13" t="n">
        <v>5395.05855</v>
      </c>
      <c r="AK229" s="13" t="n">
        <v>5329.9563</v>
      </c>
      <c r="AL229" s="13" t="n">
        <v>5344.93262</v>
      </c>
      <c r="AM229" s="13" t="n">
        <v>5380.08989</v>
      </c>
      <c r="AN229" s="13" t="n">
        <v>6580.08947</v>
      </c>
      <c r="AO229" s="13" t="n">
        <v>6580.067134</v>
      </c>
      <c r="AP229" s="13" t="n">
        <v>6190.07232</v>
      </c>
      <c r="AQ229" s="13" t="n">
        <v>6029.911973</v>
      </c>
      <c r="AR229" s="13" t="n">
        <v>5955.010996</v>
      </c>
      <c r="AS229" s="13" t="n">
        <v>5884.951806</v>
      </c>
      <c r="AT229" s="13" t="n">
        <v>5660.01744</v>
      </c>
    </row>
    <row r="230" customFormat="false" ht="15" hidden="false" customHeight="true" outlineLevel="0" collapsed="false">
      <c r="A230" s="12" t="s">
        <v>743</v>
      </c>
      <c r="B230" s="12" t="s">
        <v>744</v>
      </c>
      <c r="C230" s="12" t="n">
        <v>1</v>
      </c>
      <c r="D230" s="12" t="s">
        <v>745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2300.042885</v>
      </c>
      <c r="Q230" s="13" t="n">
        <v>2479.933692</v>
      </c>
      <c r="R230" s="13" t="n">
        <v>2380.039389</v>
      </c>
      <c r="S230" s="13" t="n">
        <v>2420.040555</v>
      </c>
      <c r="T230" s="13" t="n">
        <v>2480.05632</v>
      </c>
      <c r="U230" s="13" t="n">
        <v>2420.029969</v>
      </c>
      <c r="V230" s="13" t="n">
        <v>3080.057448</v>
      </c>
      <c r="W230" s="13" t="n">
        <v>3240.06912</v>
      </c>
      <c r="X230" s="13" t="n">
        <v>3280.047218</v>
      </c>
      <c r="Y230" s="13" t="n">
        <v>3460.06055</v>
      </c>
      <c r="Z230" s="13" t="n">
        <v>3480.05504</v>
      </c>
      <c r="AA230" s="13" t="n">
        <v>3679.94679</v>
      </c>
      <c r="AB230" s="13" t="n">
        <v>3739.906628</v>
      </c>
      <c r="AC230" s="13" t="n">
        <v>3879.9816</v>
      </c>
      <c r="AD230" s="13" t="n">
        <v>4019.9793</v>
      </c>
      <c r="AE230" s="13" t="n">
        <v>3879.91296</v>
      </c>
      <c r="AF230" s="13" t="n">
        <v>3779.919</v>
      </c>
      <c r="AG230" s="13" t="n">
        <v>3619.91884</v>
      </c>
      <c r="AH230" s="13" t="n">
        <v>3560.01135</v>
      </c>
      <c r="AI230" s="13" t="n">
        <v>3780.0767</v>
      </c>
      <c r="AJ230" s="13" t="n">
        <v>3719.97162</v>
      </c>
      <c r="AK230" s="13" t="n">
        <v>3739.99515</v>
      </c>
      <c r="AL230" s="13" t="n">
        <v>3660.044832</v>
      </c>
      <c r="AM230" s="13" t="n">
        <v>3780.003831</v>
      </c>
      <c r="AN230" s="13" t="n">
        <v>3540.012605</v>
      </c>
      <c r="AO230" s="13" t="n">
        <v>3774.74179</v>
      </c>
      <c r="AP230" s="13" t="n">
        <v>3629.45448</v>
      </c>
      <c r="AQ230" s="13" t="n">
        <v>3629.427212</v>
      </c>
      <c r="AR230" s="13" t="n">
        <v>3774.641242</v>
      </c>
      <c r="AS230" s="13" t="n">
        <v>3961.324845</v>
      </c>
      <c r="AT230" s="13" t="n">
        <v>7052.26972</v>
      </c>
    </row>
    <row r="231" customFormat="false" ht="15" hidden="false" customHeight="true" outlineLevel="0" collapsed="false">
      <c r="A231" s="12" t="s">
        <v>746</v>
      </c>
      <c r="B231" s="12" t="s">
        <v>747</v>
      </c>
      <c r="C231" s="12" t="n">
        <v>1</v>
      </c>
      <c r="D231" s="12" t="s">
        <v>748</v>
      </c>
      <c r="E231" s="13" t="n">
        <v>0</v>
      </c>
      <c r="F231" s="13" t="n">
        <v>0</v>
      </c>
      <c r="G231" s="13" t="n">
        <v>0</v>
      </c>
      <c r="H231" s="13" t="n">
        <v>0</v>
      </c>
      <c r="I231" s="13" t="n">
        <v>0</v>
      </c>
      <c r="J231" s="13" t="n">
        <v>0</v>
      </c>
      <c r="K231" s="13" t="n">
        <v>0</v>
      </c>
      <c r="L231" s="13" t="n">
        <v>0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  <c r="V231" s="13" t="n">
        <v>0</v>
      </c>
      <c r="W231" s="13" t="n">
        <v>0</v>
      </c>
      <c r="X231" s="13" t="n">
        <v>0</v>
      </c>
      <c r="Y231" s="13" t="n">
        <v>0</v>
      </c>
      <c r="Z231" s="13" t="n">
        <v>0</v>
      </c>
      <c r="AA231" s="13" t="n">
        <v>0</v>
      </c>
      <c r="AB231" s="13" t="n">
        <v>3019.931096</v>
      </c>
      <c r="AC231" s="13" t="n">
        <v>3200.0232</v>
      </c>
      <c r="AD231" s="13" t="n">
        <v>3240.0446</v>
      </c>
      <c r="AE231" s="13" t="n">
        <v>3119.9742</v>
      </c>
      <c r="AF231" s="13" t="n">
        <v>3140.0446</v>
      </c>
      <c r="AG231" s="13" t="n">
        <v>3139.97758</v>
      </c>
      <c r="AH231" s="13" t="n">
        <v>3039.91845</v>
      </c>
      <c r="AI231" s="13" t="n">
        <v>0</v>
      </c>
      <c r="AJ231" s="13" t="n">
        <v>2939.92947</v>
      </c>
      <c r="AK231" s="13" t="n">
        <v>2760.00525</v>
      </c>
      <c r="AL231" s="13" t="n">
        <v>2880.038297</v>
      </c>
      <c r="AM231" s="13" t="n">
        <v>2799.921312</v>
      </c>
      <c r="AN231" s="13" t="n">
        <v>2799.99981</v>
      </c>
      <c r="AO231" s="13" t="n">
        <v>2903.594484</v>
      </c>
      <c r="AP231" s="13" t="n">
        <v>2862.08016</v>
      </c>
      <c r="AQ231" s="13" t="n">
        <v>2613.245536</v>
      </c>
      <c r="AR231" s="13" t="n">
        <v>2654.721658</v>
      </c>
      <c r="AS231" s="13" t="n">
        <v>3048.757461</v>
      </c>
      <c r="AT231" s="13" t="n">
        <v>2551.033216</v>
      </c>
    </row>
    <row r="232" customFormat="false" ht="15" hidden="false" customHeight="true" outlineLevel="0" collapsed="false">
      <c r="A232" s="12" t="s">
        <v>749</v>
      </c>
      <c r="B232" s="12" t="s">
        <v>750</v>
      </c>
      <c r="C232" s="12" t="n">
        <v>1</v>
      </c>
      <c r="D232" s="12" t="s">
        <v>751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2250.00984</v>
      </c>
      <c r="AQ232" s="13" t="n">
        <v>2600.027207</v>
      </c>
      <c r="AR232" s="13" t="n">
        <v>2649.985156</v>
      </c>
      <c r="AS232" s="13" t="n">
        <v>2850.042105</v>
      </c>
      <c r="AT232" s="13" t="n">
        <v>2999.949256</v>
      </c>
    </row>
    <row r="233" customFormat="false" ht="15" hidden="false" customHeight="true" outlineLevel="0" collapsed="false">
      <c r="A233" s="12" t="s">
        <v>752</v>
      </c>
      <c r="B233" s="12" t="s">
        <v>753</v>
      </c>
      <c r="C233" s="12" t="n">
        <v>1</v>
      </c>
      <c r="D233" s="12" t="s">
        <v>754</v>
      </c>
      <c r="E233" s="13" t="n">
        <v>0</v>
      </c>
      <c r="F233" s="13" t="n">
        <v>0</v>
      </c>
      <c r="G233" s="13" t="n">
        <v>0</v>
      </c>
      <c r="H233" s="13" t="n">
        <v>0</v>
      </c>
      <c r="I233" s="13" t="n">
        <v>0</v>
      </c>
      <c r="J233" s="13" t="n">
        <v>0</v>
      </c>
      <c r="K233" s="13" t="n">
        <v>0</v>
      </c>
      <c r="L233" s="13" t="n">
        <v>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2799.93728</v>
      </c>
      <c r="U233" s="13" t="n">
        <v>2520.066239</v>
      </c>
      <c r="V233" s="13" t="n">
        <v>2463.972264</v>
      </c>
      <c r="W233" s="13" t="n">
        <v>2463.990064</v>
      </c>
      <c r="X233" s="13" t="n">
        <v>2267.934226</v>
      </c>
      <c r="Y233" s="13" t="n">
        <v>2281.966534</v>
      </c>
      <c r="Z233" s="13" t="n">
        <v>2323.979152</v>
      </c>
      <c r="AA233" s="13" t="n">
        <v>2450.10045</v>
      </c>
      <c r="AB233" s="13" t="n">
        <v>2226.096354</v>
      </c>
      <c r="AC233" s="13" t="n">
        <v>2296.1004</v>
      </c>
      <c r="AD233" s="13" t="n">
        <v>2267.9491</v>
      </c>
      <c r="AE233" s="13" t="n">
        <v>2295.94176</v>
      </c>
      <c r="AF233" s="13" t="n">
        <v>2394.0466</v>
      </c>
      <c r="AG233" s="13" t="n">
        <v>2000.04472</v>
      </c>
      <c r="AH233" s="13" t="n">
        <v>2492.0646</v>
      </c>
      <c r="AI233" s="13" t="n">
        <v>2421.99345</v>
      </c>
      <c r="AJ233" s="13" t="n">
        <v>2393.99316</v>
      </c>
      <c r="AK233" s="13" t="n">
        <v>2310.0024</v>
      </c>
      <c r="AL233" s="13" t="n">
        <v>2337.993614</v>
      </c>
      <c r="AM233" s="13" t="n">
        <v>2351.977926</v>
      </c>
      <c r="AN233" s="13" t="n">
        <v>2338.008833</v>
      </c>
      <c r="AO233" s="13" t="n">
        <v>2352.080486</v>
      </c>
      <c r="AP233" s="13" t="n">
        <v>2520.06624</v>
      </c>
      <c r="AQ233" s="13" t="n">
        <v>2449.91769</v>
      </c>
      <c r="AR233" s="13" t="n">
        <v>2631.916278</v>
      </c>
      <c r="AS233" s="13" t="n">
        <v>2478.056652</v>
      </c>
      <c r="AT233" s="13" t="n">
        <v>2436.047704</v>
      </c>
    </row>
    <row r="234" customFormat="false" ht="15" hidden="false" customHeight="true" outlineLevel="0" collapsed="false">
      <c r="A234" s="12" t="s">
        <v>755</v>
      </c>
      <c r="B234" s="12" t="s">
        <v>756</v>
      </c>
      <c r="C234" s="12" t="n">
        <v>1</v>
      </c>
      <c r="D234" s="12" t="s">
        <v>757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416.012139</v>
      </c>
      <c r="R234" s="13" t="n">
        <v>442.058598</v>
      </c>
      <c r="S234" s="13" t="n">
        <v>441.96216</v>
      </c>
      <c r="T234" s="13" t="n">
        <v>363.97312</v>
      </c>
      <c r="U234" s="13" t="n">
        <v>337.919129</v>
      </c>
      <c r="V234" s="13" t="n">
        <v>311.911548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</row>
    <row r="235" customFormat="false" ht="15" hidden="false" customHeight="true" outlineLevel="0" collapsed="false">
      <c r="A235" s="12" t="s">
        <v>758</v>
      </c>
      <c r="B235" s="12" t="s">
        <v>759</v>
      </c>
      <c r="C235" s="12" t="n">
        <v>1</v>
      </c>
      <c r="D235" s="12" t="s">
        <v>760</v>
      </c>
      <c r="E235" s="13" t="n">
        <v>0</v>
      </c>
      <c r="F235" s="13" t="n">
        <v>0</v>
      </c>
      <c r="G235" s="13" t="n">
        <v>0</v>
      </c>
      <c r="H235" s="13" t="n">
        <v>0</v>
      </c>
      <c r="I235" s="13" t="n">
        <v>0</v>
      </c>
      <c r="J235" s="13" t="n">
        <v>0</v>
      </c>
      <c r="K235" s="13" t="n">
        <v>0</v>
      </c>
      <c r="L235" s="13" t="n">
        <v>0</v>
      </c>
      <c r="M235" s="13" t="n">
        <v>0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0</v>
      </c>
      <c r="X235" s="13" t="n">
        <v>0</v>
      </c>
      <c r="Y235" s="13" t="n">
        <v>0</v>
      </c>
      <c r="Z235" s="13" t="n">
        <v>0</v>
      </c>
      <c r="AA235" s="13" t="n">
        <v>0</v>
      </c>
      <c r="AB235" s="13" t="n">
        <v>0</v>
      </c>
      <c r="AC235" s="13" t="n">
        <v>0</v>
      </c>
      <c r="AD235" s="13" t="n">
        <v>0</v>
      </c>
      <c r="AE235" s="13" t="n">
        <v>0</v>
      </c>
      <c r="AF235" s="13" t="n">
        <v>0</v>
      </c>
      <c r="AG235" s="13" t="n">
        <v>0</v>
      </c>
      <c r="AH235" s="13" t="n">
        <v>0</v>
      </c>
      <c r="AI235" s="13" t="n">
        <v>4285.716</v>
      </c>
      <c r="AJ235" s="13" t="n">
        <v>4473.36</v>
      </c>
      <c r="AK235" s="13" t="n">
        <v>8878.98</v>
      </c>
      <c r="AL235" s="13" t="n">
        <v>4936.0508</v>
      </c>
      <c r="AM235" s="13" t="n">
        <v>4842.6312</v>
      </c>
      <c r="AN235" s="13" t="n">
        <v>4747.5912</v>
      </c>
      <c r="AO235" s="13" t="n">
        <v>5344.462</v>
      </c>
      <c r="AP235" s="13" t="n">
        <v>5349.36</v>
      </c>
      <c r="AQ235" s="13" t="n">
        <v>5613.263</v>
      </c>
      <c r="AR235" s="13" t="n">
        <v>5438.206</v>
      </c>
      <c r="AS235" s="13" t="n">
        <v>5366.007</v>
      </c>
      <c r="AT235" s="13" t="n">
        <v>5425.496</v>
      </c>
    </row>
    <row r="236" customFormat="false" ht="15" hidden="false" customHeight="true" outlineLevel="0" collapsed="false">
      <c r="A236" s="12" t="s">
        <v>761</v>
      </c>
      <c r="B236" s="12" t="s">
        <v>762</v>
      </c>
      <c r="C236" s="12" t="n">
        <v>1</v>
      </c>
      <c r="D236" s="12" t="s">
        <v>763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2470.000808</v>
      </c>
    </row>
    <row r="237" customFormat="false" ht="15" hidden="false" customHeight="true" outlineLevel="0" collapsed="false">
      <c r="A237" s="12" t="s">
        <v>764</v>
      </c>
      <c r="B237" s="12" t="s">
        <v>765</v>
      </c>
      <c r="C237" s="12" t="n">
        <v>1</v>
      </c>
      <c r="D237" s="12" t="s">
        <v>766</v>
      </c>
      <c r="E237" s="13" t="n">
        <v>0</v>
      </c>
      <c r="F237" s="13" t="n">
        <v>0</v>
      </c>
      <c r="G237" s="13" t="n">
        <v>0</v>
      </c>
      <c r="H237" s="13" t="n">
        <v>0</v>
      </c>
      <c r="I237" s="13" t="n">
        <v>0</v>
      </c>
      <c r="J237" s="13" t="n">
        <v>0</v>
      </c>
      <c r="K237" s="13" t="n">
        <v>1950.03954</v>
      </c>
      <c r="L237" s="13" t="n">
        <v>1950.083345</v>
      </c>
      <c r="M237" s="13" t="n">
        <v>1950.019695</v>
      </c>
      <c r="N237" s="13" t="n">
        <v>1980.050202</v>
      </c>
      <c r="O237" s="13" t="n">
        <v>2039.996545</v>
      </c>
      <c r="P237" s="13" t="n">
        <v>2010.063223</v>
      </c>
      <c r="Q237" s="13" t="n">
        <v>2016.019206</v>
      </c>
      <c r="R237" s="13" t="n">
        <v>1795.585272</v>
      </c>
      <c r="S237" s="13" t="n">
        <v>1638.005715</v>
      </c>
      <c r="T237" s="13" t="n">
        <v>1638.04928</v>
      </c>
      <c r="U237" s="13" t="n">
        <v>1638.051533</v>
      </c>
      <c r="V237" s="13" t="n">
        <v>1575.033564</v>
      </c>
      <c r="W237" s="13" t="n">
        <v>1575.0336</v>
      </c>
      <c r="X237" s="13" t="n">
        <v>1543.551632</v>
      </c>
      <c r="Y237" s="13" t="n">
        <v>1574.992</v>
      </c>
      <c r="Z237" s="13" t="n">
        <v>1575.045648</v>
      </c>
      <c r="AA237" s="13" t="n">
        <v>1606.59648</v>
      </c>
      <c r="AB237" s="13" t="n">
        <v>1543.556312</v>
      </c>
      <c r="AC237" s="13" t="n">
        <v>1707.134</v>
      </c>
      <c r="AD237" s="13" t="n">
        <v>1510.1868</v>
      </c>
      <c r="AE237" s="13" t="n">
        <v>1510.07976</v>
      </c>
      <c r="AF237" s="13" t="n">
        <v>1477.311</v>
      </c>
      <c r="AG237" s="13" t="n">
        <v>1444.4553</v>
      </c>
      <c r="AH237" s="13" t="n">
        <v>1543.09335</v>
      </c>
      <c r="AI237" s="13" t="n">
        <v>1477.4442</v>
      </c>
      <c r="AJ237" s="13" t="n">
        <v>1608.73209</v>
      </c>
      <c r="AK237" s="13" t="n">
        <v>1674.34815</v>
      </c>
      <c r="AL237" s="13" t="n">
        <v>1838.494742</v>
      </c>
      <c r="AM237" s="13" t="n">
        <v>1608.70741</v>
      </c>
      <c r="AN237" s="13" t="n">
        <v>1608.606185</v>
      </c>
      <c r="AO237" s="13" t="n">
        <v>1667.98935</v>
      </c>
      <c r="AP237" s="13" t="n">
        <v>1701.95928</v>
      </c>
      <c r="AQ237" s="13" t="n">
        <v>1770.169648</v>
      </c>
      <c r="AR237" s="13" t="n">
        <v>1701.983052</v>
      </c>
      <c r="AS237" s="13" t="n">
        <v>1565.835462</v>
      </c>
      <c r="AT237" s="13" t="n">
        <v>1531.740032</v>
      </c>
    </row>
    <row r="238" customFormat="false" ht="15" hidden="false" customHeight="true" outlineLevel="0" collapsed="false">
      <c r="A238" s="12" t="s">
        <v>767</v>
      </c>
      <c r="B238" s="12" t="s">
        <v>768</v>
      </c>
      <c r="C238" s="12" t="n">
        <v>1</v>
      </c>
      <c r="D238" s="12" t="s">
        <v>769</v>
      </c>
      <c r="E238" s="13" t="n">
        <v>10169.268552</v>
      </c>
      <c r="F238" s="13" t="n">
        <v>8782.64085</v>
      </c>
      <c r="G238" s="13" t="n">
        <v>9533.790016</v>
      </c>
      <c r="H238" s="13" t="n">
        <v>9013.758003</v>
      </c>
      <c r="I238" s="13" t="n">
        <v>9071.511218</v>
      </c>
      <c r="J238" s="13" t="n">
        <v>10342.5899</v>
      </c>
      <c r="K238" s="13" t="n">
        <v>10226.985288</v>
      </c>
      <c r="L238" s="13" t="n">
        <v>10342.558821</v>
      </c>
      <c r="M238" s="13" t="n">
        <v>10111.441725</v>
      </c>
      <c r="N238" s="13" t="n">
        <v>11324.89704</v>
      </c>
      <c r="O238" s="13" t="n">
        <v>11671.602333</v>
      </c>
      <c r="P238" s="13" t="n">
        <v>11267.080251</v>
      </c>
      <c r="Q238" s="13" t="n">
        <v>12498.048549</v>
      </c>
      <c r="R238" s="13" t="n">
        <v>12497.984616</v>
      </c>
      <c r="S238" s="13" t="n">
        <v>11102.64522</v>
      </c>
      <c r="T238" s="13" t="n">
        <v>13408.1024</v>
      </c>
      <c r="U238" s="13" t="n">
        <v>12801.421053</v>
      </c>
      <c r="V238" s="13" t="n">
        <v>14257.471332</v>
      </c>
      <c r="W238" s="13" t="n">
        <v>15713.585216</v>
      </c>
      <c r="X238" s="13" t="n">
        <v>16805.557202</v>
      </c>
      <c r="Y238" s="13" t="n">
        <v>18868.40416</v>
      </c>
      <c r="Z238" s="13" t="n">
        <v>18079.647696</v>
      </c>
      <c r="AA238" s="13" t="n">
        <v>18989.75814</v>
      </c>
      <c r="AB238" s="13" t="n">
        <v>18079.722838</v>
      </c>
      <c r="AC238" s="13" t="n">
        <v>18460.2088</v>
      </c>
      <c r="AD238" s="13" t="n">
        <v>17448.6523</v>
      </c>
      <c r="AE238" s="13" t="n">
        <v>16373.89404</v>
      </c>
      <c r="AF238" s="13" t="n">
        <v>16310.7274</v>
      </c>
      <c r="AG238" s="13" t="n">
        <v>16057.8658</v>
      </c>
      <c r="AH238" s="13" t="n">
        <v>15678.51585</v>
      </c>
      <c r="AI238" s="13" t="n">
        <v>16310.72081</v>
      </c>
      <c r="AJ238" s="13" t="n">
        <v>17891.20332</v>
      </c>
      <c r="AK238" s="13" t="n">
        <v>17764.74765</v>
      </c>
      <c r="AL238" s="13" t="n">
        <v>16753.287941</v>
      </c>
      <c r="AM238" s="13" t="n">
        <v>17259.027537</v>
      </c>
      <c r="AN238" s="13" t="n">
        <v>0</v>
      </c>
      <c r="AO238" s="13" t="n">
        <v>0</v>
      </c>
      <c r="AP238" s="13" t="n">
        <v>0</v>
      </c>
      <c r="AQ238" s="13" t="n">
        <v>0</v>
      </c>
      <c r="AR238" s="13" t="n">
        <v>0</v>
      </c>
      <c r="AS238" s="13" t="n">
        <v>0</v>
      </c>
      <c r="AT238" s="13" t="n">
        <v>0</v>
      </c>
    </row>
    <row r="239" customFormat="false" ht="15" hidden="false" customHeight="true" outlineLevel="0" collapsed="false">
      <c r="A239" s="12" t="s">
        <v>770</v>
      </c>
      <c r="B239" s="12" t="s">
        <v>771</v>
      </c>
      <c r="C239" s="12" t="n">
        <v>1</v>
      </c>
      <c r="D239" s="12" t="s">
        <v>772</v>
      </c>
      <c r="E239" s="13" t="n">
        <v>0</v>
      </c>
      <c r="F239" s="13" t="n">
        <v>0</v>
      </c>
      <c r="G239" s="13" t="n">
        <v>0</v>
      </c>
      <c r="H239" s="13" t="n">
        <v>0</v>
      </c>
      <c r="I239" s="13" t="n">
        <v>0</v>
      </c>
      <c r="J239" s="13" t="n">
        <v>0</v>
      </c>
      <c r="K239" s="13" t="n">
        <v>0</v>
      </c>
      <c r="L239" s="13" t="n">
        <v>0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0</v>
      </c>
      <c r="X239" s="13" t="n">
        <v>0</v>
      </c>
      <c r="Y239" s="13" t="n">
        <v>0</v>
      </c>
      <c r="Z239" s="13" t="n">
        <v>0</v>
      </c>
      <c r="AA239" s="13" t="n">
        <v>0</v>
      </c>
      <c r="AB239" s="13" t="n">
        <v>0</v>
      </c>
      <c r="AC239" s="13" t="n">
        <v>0</v>
      </c>
      <c r="AD239" s="13" t="n">
        <v>0</v>
      </c>
      <c r="AE239" s="13" t="n">
        <v>0</v>
      </c>
      <c r="AF239" s="13" t="n">
        <v>0</v>
      </c>
      <c r="AG239" s="13" t="n">
        <v>0</v>
      </c>
      <c r="AH239" s="13" t="n">
        <v>0</v>
      </c>
      <c r="AI239" s="13" t="n">
        <v>0</v>
      </c>
      <c r="AJ239" s="13" t="n">
        <v>468.95724</v>
      </c>
      <c r="AK239" s="13" t="n">
        <v>406.34175</v>
      </c>
      <c r="AL239" s="13" t="n">
        <v>437.614056</v>
      </c>
      <c r="AM239" s="13" t="n">
        <v>343.936875</v>
      </c>
      <c r="AN239" s="13" t="n">
        <v>375.131638</v>
      </c>
      <c r="AO239" s="13" t="n">
        <v>356.527336</v>
      </c>
      <c r="AP239" s="13" t="n">
        <v>291.6264</v>
      </c>
      <c r="AQ239" s="13" t="n">
        <v>356.532737</v>
      </c>
      <c r="AR239" s="13" t="n">
        <v>356.465632</v>
      </c>
      <c r="AS239" s="13" t="n">
        <v>388.948959</v>
      </c>
      <c r="AT239" s="13" t="n">
        <v>388.885552</v>
      </c>
    </row>
    <row r="240" customFormat="false" ht="15" hidden="false" customHeight="true" outlineLevel="0" collapsed="false">
      <c r="A240" s="12" t="s">
        <v>773</v>
      </c>
      <c r="B240" s="12" t="s">
        <v>774</v>
      </c>
      <c r="C240" s="12" t="n">
        <v>1</v>
      </c>
      <c r="D240" s="12" t="s">
        <v>775</v>
      </c>
      <c r="E240" s="13" t="n">
        <v>0</v>
      </c>
      <c r="F240" s="13" t="n">
        <v>0</v>
      </c>
      <c r="G240" s="13" t="n">
        <v>0</v>
      </c>
      <c r="H240" s="13" t="n">
        <v>0</v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3" t="n">
        <v>0</v>
      </c>
      <c r="O240" s="13" t="n">
        <v>0</v>
      </c>
      <c r="P240" s="13" t="n">
        <v>0</v>
      </c>
      <c r="Q240" s="13" t="n">
        <v>0</v>
      </c>
      <c r="R240" s="13" t="n">
        <v>780.012909</v>
      </c>
      <c r="S240" s="13" t="n">
        <v>809.988285</v>
      </c>
      <c r="T240" s="13" t="n">
        <v>750.07744</v>
      </c>
      <c r="U240" s="13" t="n">
        <v>749.932919</v>
      </c>
      <c r="V240" s="13" t="n">
        <v>869.962392</v>
      </c>
      <c r="W240" s="13" t="n">
        <v>870.01856</v>
      </c>
      <c r="X240" s="13" t="n">
        <v>749.963036</v>
      </c>
      <c r="Y240" s="13" t="n">
        <v>750.08994</v>
      </c>
      <c r="Z240" s="13" t="n">
        <v>630.058352</v>
      </c>
      <c r="AA240" s="13" t="n">
        <v>930.03813</v>
      </c>
      <c r="AB240" s="13" t="n">
        <v>959.967376</v>
      </c>
      <c r="AC240" s="13" t="n">
        <v>969.0648</v>
      </c>
      <c r="AD240" s="13" t="n">
        <v>812.7827</v>
      </c>
      <c r="AE240" s="13" t="n">
        <v>781.57548</v>
      </c>
      <c r="AF240" s="13" t="n">
        <v>750.3056</v>
      </c>
      <c r="AG240" s="13" t="n">
        <v>969.14556</v>
      </c>
      <c r="AH240" s="13" t="n">
        <v>906.48</v>
      </c>
      <c r="AI240" s="13" t="n">
        <v>843.9853</v>
      </c>
      <c r="AJ240" s="13" t="n">
        <v>875.28744</v>
      </c>
      <c r="AK240" s="13" t="n">
        <v>906.6099</v>
      </c>
      <c r="AL240" s="13" t="n">
        <v>968.976241</v>
      </c>
      <c r="AM240" s="13" t="n">
        <v>1062.810802</v>
      </c>
      <c r="AN240" s="13" t="n">
        <v>969.120037</v>
      </c>
      <c r="AO240" s="13" t="n">
        <v>1037.170432</v>
      </c>
      <c r="AP240" s="13" t="n">
        <v>972.3756</v>
      </c>
      <c r="AQ240" s="13" t="n">
        <v>907.537876</v>
      </c>
      <c r="AR240" s="13" t="n">
        <v>875.024888</v>
      </c>
      <c r="AS240" s="13" t="n">
        <v>875.005335</v>
      </c>
      <c r="AT240" s="13" t="n">
        <v>939.83592</v>
      </c>
    </row>
    <row r="241" customFormat="false" ht="15" hidden="false" customHeight="true" outlineLevel="0" collapsed="false">
      <c r="A241" s="12" t="s">
        <v>776</v>
      </c>
      <c r="B241" s="12" t="s">
        <v>777</v>
      </c>
      <c r="C241" s="12" t="n">
        <v>1</v>
      </c>
      <c r="D241" s="12" t="s">
        <v>778</v>
      </c>
      <c r="E241" s="13" t="n">
        <v>0</v>
      </c>
      <c r="F241" s="13" t="n">
        <v>0</v>
      </c>
      <c r="G241" s="13" t="n">
        <v>0</v>
      </c>
      <c r="H241" s="13" t="n">
        <v>0</v>
      </c>
      <c r="I241" s="13" t="n">
        <v>0</v>
      </c>
      <c r="J241" s="13" t="n">
        <v>0</v>
      </c>
      <c r="K241" s="13" t="n">
        <v>0</v>
      </c>
      <c r="L241" s="13" t="n">
        <v>0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389.920983</v>
      </c>
      <c r="S241" s="13" t="n">
        <v>390.02499</v>
      </c>
      <c r="T241" s="13" t="n">
        <v>569.96352</v>
      </c>
      <c r="U241" s="13" t="n">
        <v>570.037186</v>
      </c>
      <c r="V241" s="13" t="n">
        <v>719.994288</v>
      </c>
      <c r="W241" s="13" t="n">
        <v>570.01216</v>
      </c>
      <c r="X241" s="13" t="n">
        <v>510.022456</v>
      </c>
      <c r="Y241" s="13" t="n">
        <v>629.9968</v>
      </c>
      <c r="Z241" s="13" t="n">
        <v>659.927488</v>
      </c>
      <c r="AA241" s="13" t="n">
        <v>660.02706</v>
      </c>
      <c r="AB241" s="13" t="n">
        <v>599.97961</v>
      </c>
      <c r="AC241" s="13" t="n">
        <v>719.0436</v>
      </c>
      <c r="AD241" s="13" t="n">
        <v>687.755</v>
      </c>
      <c r="AE241" s="13" t="n">
        <v>593.9892</v>
      </c>
      <c r="AF241" s="13" t="n">
        <v>562.7292</v>
      </c>
      <c r="AG241" s="13" t="n">
        <v>656.51796</v>
      </c>
      <c r="AH241" s="13" t="n">
        <v>593.93325</v>
      </c>
      <c r="AI241" s="13" t="n">
        <v>1031.57936</v>
      </c>
      <c r="AJ241" s="13" t="n">
        <v>718.90623</v>
      </c>
      <c r="AK241" s="13" t="n">
        <v>718.94055</v>
      </c>
      <c r="AL241" s="13" t="n">
        <v>593.983725</v>
      </c>
      <c r="AM241" s="13" t="n">
        <v>656.506707</v>
      </c>
      <c r="AN241" s="13" t="n">
        <v>593.988399</v>
      </c>
      <c r="AO241" s="13" t="n">
        <v>583.408368</v>
      </c>
      <c r="AP241" s="13" t="n">
        <v>680.57664</v>
      </c>
      <c r="AQ241" s="13" t="n">
        <v>648.24134</v>
      </c>
      <c r="AR241" s="13" t="n">
        <v>648.19907</v>
      </c>
      <c r="AS241" s="13" t="n">
        <v>615.706029</v>
      </c>
      <c r="AT241" s="13" t="n">
        <v>583.328328</v>
      </c>
    </row>
    <row r="242" customFormat="false" ht="15" hidden="false" customHeight="true" outlineLevel="0" collapsed="false">
      <c r="A242" s="12" t="s">
        <v>779</v>
      </c>
      <c r="B242" s="12" t="s">
        <v>780</v>
      </c>
      <c r="C242" s="12" t="n">
        <v>1</v>
      </c>
      <c r="D242" s="12" t="s">
        <v>781</v>
      </c>
      <c r="E242" s="13" t="n">
        <v>0</v>
      </c>
      <c r="F242" s="13" t="n">
        <v>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3" t="n">
        <v>0</v>
      </c>
      <c r="O242" s="13" t="n">
        <v>0</v>
      </c>
      <c r="P242" s="13" t="n">
        <v>0</v>
      </c>
      <c r="Q242" s="13" t="n">
        <v>0</v>
      </c>
      <c r="R242" s="13" t="n">
        <v>0</v>
      </c>
      <c r="S242" s="13" t="n">
        <v>0</v>
      </c>
      <c r="T242" s="13" t="n">
        <v>1301.99552</v>
      </c>
      <c r="U242" s="13" t="n">
        <v>1610.075288</v>
      </c>
      <c r="V242" s="13" t="n">
        <v>1526.026788</v>
      </c>
      <c r="W242" s="13" t="n">
        <v>1525.907552</v>
      </c>
      <c r="X242" s="13" t="n">
        <v>1624.06062</v>
      </c>
      <c r="Y242" s="13" t="n">
        <v>1344.058798</v>
      </c>
      <c r="Z242" s="13" t="n">
        <v>1302.01368</v>
      </c>
      <c r="AA242" s="13" t="n">
        <v>1428.01773</v>
      </c>
      <c r="AB242" s="13" t="n">
        <v>1176.081448</v>
      </c>
      <c r="AC242" s="13" t="n">
        <v>1245.97</v>
      </c>
      <c r="AD242" s="13" t="n">
        <v>1372.0199</v>
      </c>
      <c r="AE242" s="13" t="n">
        <v>1315.96164</v>
      </c>
      <c r="AF242" s="13" t="n">
        <v>1287.9724</v>
      </c>
      <c r="AG242" s="13" t="n">
        <v>2340.07548</v>
      </c>
      <c r="AH242" s="13" t="n">
        <v>1413.91995</v>
      </c>
      <c r="AI242" s="13" t="n">
        <v>1162.03054</v>
      </c>
      <c r="AJ242" s="13" t="n">
        <v>1189.91376</v>
      </c>
      <c r="AK242" s="13" t="n">
        <v>1077.9522</v>
      </c>
      <c r="AL242" s="13" t="n">
        <v>0</v>
      </c>
      <c r="AM242" s="13" t="n">
        <v>0</v>
      </c>
      <c r="AN242" s="13" t="n">
        <v>0</v>
      </c>
      <c r="AO242" s="13" t="n">
        <v>0</v>
      </c>
      <c r="AP242" s="13" t="n">
        <v>0</v>
      </c>
      <c r="AQ242" s="13" t="n">
        <v>0</v>
      </c>
      <c r="AR242" s="13" t="n">
        <v>0</v>
      </c>
      <c r="AS242" s="13" t="n">
        <v>0</v>
      </c>
      <c r="AT242" s="13" t="n">
        <v>0</v>
      </c>
    </row>
    <row r="243" customFormat="false" ht="15" hidden="false" customHeight="true" outlineLevel="0" collapsed="false">
      <c r="A243" s="12" t="s">
        <v>782</v>
      </c>
      <c r="B243" s="12" t="s">
        <v>783</v>
      </c>
      <c r="C243" s="12" t="n">
        <v>1</v>
      </c>
      <c r="D243" s="12" t="s">
        <v>784</v>
      </c>
      <c r="E243" s="13" t="n">
        <v>0</v>
      </c>
      <c r="F243" s="13" t="n">
        <v>0</v>
      </c>
      <c r="G243" s="13" t="n">
        <v>0</v>
      </c>
      <c r="H243" s="13" t="n">
        <v>0</v>
      </c>
      <c r="I243" s="13" t="n">
        <v>0</v>
      </c>
      <c r="J243" s="13" t="n">
        <v>0</v>
      </c>
      <c r="K243" s="13" t="n">
        <v>0</v>
      </c>
      <c r="L243" s="13" t="n">
        <v>0</v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0</v>
      </c>
      <c r="V243" s="13" t="n">
        <v>0</v>
      </c>
      <c r="W243" s="13" t="n">
        <v>0</v>
      </c>
      <c r="X243" s="13" t="n">
        <v>0</v>
      </c>
      <c r="Y243" s="13" t="n">
        <v>0</v>
      </c>
      <c r="Z243" s="13" t="n">
        <v>0</v>
      </c>
      <c r="AA243" s="13" t="n">
        <v>0</v>
      </c>
      <c r="AB243" s="13" t="n">
        <v>0</v>
      </c>
      <c r="AC243" s="13" t="n">
        <v>0</v>
      </c>
      <c r="AD243" s="13" t="n">
        <v>0</v>
      </c>
      <c r="AE243" s="13" t="n">
        <v>0</v>
      </c>
      <c r="AF243" s="13" t="n">
        <v>0</v>
      </c>
      <c r="AG243" s="13" t="n">
        <v>0</v>
      </c>
      <c r="AH243" s="13" t="n">
        <v>0</v>
      </c>
      <c r="AI243" s="13" t="n">
        <v>0</v>
      </c>
      <c r="AJ243" s="13" t="n">
        <v>0</v>
      </c>
      <c r="AK243" s="13" t="n">
        <v>0</v>
      </c>
      <c r="AL243" s="13" t="n">
        <v>0</v>
      </c>
      <c r="AM243" s="13" t="n">
        <v>0</v>
      </c>
      <c r="AN243" s="13" t="n">
        <v>0</v>
      </c>
      <c r="AO243" s="13" t="n">
        <v>0</v>
      </c>
      <c r="AP243" s="13" t="n">
        <v>0</v>
      </c>
      <c r="AQ243" s="13" t="n">
        <v>0</v>
      </c>
      <c r="AR243" s="13" t="n">
        <v>0</v>
      </c>
      <c r="AS243" s="13" t="n">
        <v>0</v>
      </c>
      <c r="AT243" s="13" t="n">
        <v>0</v>
      </c>
    </row>
    <row r="244" customFormat="false" ht="15" hidden="false" customHeight="true" outlineLevel="0" collapsed="false">
      <c r="A244" s="12" t="s">
        <v>785</v>
      </c>
      <c r="B244" s="12" t="s">
        <v>786</v>
      </c>
      <c r="C244" s="12" t="n">
        <v>1</v>
      </c>
      <c r="D244" s="12" t="s">
        <v>787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1140.097334</v>
      </c>
      <c r="Z244" s="13" t="n">
        <v>960.022096</v>
      </c>
      <c r="AA244" s="13" t="n">
        <v>1080.04428</v>
      </c>
      <c r="AB244" s="13" t="n">
        <v>1079.963298</v>
      </c>
      <c r="AC244" s="13" t="n">
        <v>1079.9096</v>
      </c>
      <c r="AD244" s="13" t="n">
        <v>1199.9785</v>
      </c>
      <c r="AE244" s="13" t="n">
        <v>899.96508</v>
      </c>
      <c r="AF244" s="13" t="n">
        <v>900.0926</v>
      </c>
      <c r="AG244" s="13" t="n">
        <v>900.05872</v>
      </c>
      <c r="AH244" s="13" t="n">
        <v>840.0048</v>
      </c>
      <c r="AI244" s="13" t="n">
        <v>900.00036</v>
      </c>
      <c r="AJ244" s="13" t="n">
        <v>840.05973</v>
      </c>
      <c r="AK244" s="13" t="n">
        <v>780.0294</v>
      </c>
      <c r="AL244" s="13" t="n">
        <v>899.908366</v>
      </c>
      <c r="AM244" s="13" t="n">
        <v>899.922298</v>
      </c>
      <c r="AN244" s="13" t="n">
        <v>839.999943</v>
      </c>
      <c r="AO244" s="13" t="n">
        <v>870.974904</v>
      </c>
      <c r="AP244" s="13" t="n">
        <v>870.91032</v>
      </c>
      <c r="AQ244" s="13" t="n">
        <v>870.96113</v>
      </c>
      <c r="AR244" s="13" t="n">
        <v>808.71386</v>
      </c>
      <c r="AS244" s="13" t="n">
        <v>808.709184</v>
      </c>
      <c r="AT244" s="13" t="n">
        <v>870.879616</v>
      </c>
    </row>
    <row r="245" customFormat="false" ht="15" hidden="false" customHeight="true" outlineLevel="0" collapsed="false">
      <c r="A245" s="12" t="s">
        <v>788</v>
      </c>
      <c r="B245" s="12" t="s">
        <v>789</v>
      </c>
      <c r="C245" s="12" t="n">
        <v>1</v>
      </c>
      <c r="D245" s="12" t="s">
        <v>790</v>
      </c>
      <c r="E245" s="13" t="n">
        <v>1260.030708</v>
      </c>
      <c r="F245" s="13" t="n">
        <v>1499.995926</v>
      </c>
      <c r="G245" s="13" t="n">
        <v>1499.971861</v>
      </c>
      <c r="H245" s="13" t="n">
        <v>1440.029421</v>
      </c>
      <c r="I245" s="13" t="n">
        <v>1380.009344</v>
      </c>
      <c r="J245" s="13" t="n">
        <v>1319.93754</v>
      </c>
      <c r="K245" s="13" t="n">
        <v>1619.942988</v>
      </c>
      <c r="L245" s="13" t="n">
        <v>1560.066676</v>
      </c>
      <c r="M245" s="13" t="n">
        <v>1500.01515</v>
      </c>
      <c r="N245" s="13" t="n">
        <v>1499.988756</v>
      </c>
      <c r="O245" s="13" t="n">
        <v>1439.957072</v>
      </c>
      <c r="P245" s="13" t="n">
        <v>1679.98719</v>
      </c>
      <c r="Q245" s="13" t="n">
        <v>1439.989191</v>
      </c>
      <c r="R245" s="13" t="n">
        <v>1740.028797</v>
      </c>
      <c r="S245" s="13" t="n">
        <v>1379.973915</v>
      </c>
      <c r="T245" s="13" t="n">
        <v>1379.96544</v>
      </c>
      <c r="U245" s="13" t="n">
        <v>1440.013629</v>
      </c>
      <c r="V245" s="13" t="n">
        <v>1320.05094</v>
      </c>
      <c r="W245" s="13" t="n">
        <v>1320.02816</v>
      </c>
      <c r="X245" s="13" t="n">
        <v>1379.955782</v>
      </c>
      <c r="Y245" s="13" t="n">
        <v>1199.94703</v>
      </c>
      <c r="Z245" s="13" t="n">
        <v>1320.05544</v>
      </c>
      <c r="AA245" s="13" t="n">
        <v>1260.05166</v>
      </c>
      <c r="AB245" s="13" t="n">
        <v>1199.95922</v>
      </c>
      <c r="AC245" s="13" t="n">
        <v>1438.0872</v>
      </c>
      <c r="AD245" s="13" t="n">
        <v>1313.0988</v>
      </c>
      <c r="AE245" s="13" t="n">
        <v>1438.22952</v>
      </c>
      <c r="AF245" s="13" t="n">
        <v>1375.6908</v>
      </c>
      <c r="AG245" s="13" t="n">
        <v>1438.27994</v>
      </c>
      <c r="AH245" s="13" t="n">
        <v>1250.5647</v>
      </c>
      <c r="AI245" s="13" t="n">
        <v>1125.56436</v>
      </c>
      <c r="AJ245" s="13" t="n">
        <v>1125.60921</v>
      </c>
      <c r="AK245" s="13" t="n">
        <v>1125.46575</v>
      </c>
      <c r="AL245" s="13" t="n">
        <v>1250.58899</v>
      </c>
      <c r="AM245" s="13" t="n">
        <v>1250.646194</v>
      </c>
      <c r="AN245" s="13" t="n">
        <v>1188.156631</v>
      </c>
      <c r="AO245" s="13" t="n">
        <v>1361.630996</v>
      </c>
      <c r="AP245" s="13" t="n">
        <v>1491.26352</v>
      </c>
      <c r="AQ245" s="13" t="n">
        <v>1361.66896</v>
      </c>
      <c r="AR245" s="13" t="n">
        <v>1361.656612</v>
      </c>
      <c r="AS245" s="13" t="n">
        <v>1361.581002</v>
      </c>
      <c r="AT245" s="13" t="n">
        <v>1426.555416</v>
      </c>
    </row>
    <row r="246" customFormat="false" ht="15" hidden="false" customHeight="true" outlineLevel="0" collapsed="false">
      <c r="A246" s="12" t="s">
        <v>791</v>
      </c>
      <c r="B246" s="12" t="s">
        <v>792</v>
      </c>
      <c r="C246" s="12" t="n">
        <v>1</v>
      </c>
      <c r="D246" s="12" t="s">
        <v>793</v>
      </c>
      <c r="E246" s="13" t="n">
        <v>0</v>
      </c>
      <c r="F246" s="13" t="n">
        <v>0</v>
      </c>
      <c r="G246" s="13" t="n">
        <v>0</v>
      </c>
      <c r="H246" s="13" t="n">
        <v>2520.00639</v>
      </c>
      <c r="I246" s="13" t="n">
        <v>2579.917571</v>
      </c>
      <c r="J246" s="13" t="n">
        <v>2820.006525</v>
      </c>
      <c r="K246" s="13" t="n">
        <v>2639.937996</v>
      </c>
      <c r="L246" s="13" t="n">
        <v>2580.071627</v>
      </c>
      <c r="M246" s="13" t="n">
        <v>2639.920905</v>
      </c>
      <c r="N246" s="13" t="n">
        <v>2640.066936</v>
      </c>
      <c r="O246" s="13" t="n">
        <v>32580.061228</v>
      </c>
      <c r="P246" s="13" t="n">
        <v>2699.991497</v>
      </c>
      <c r="Q246" s="13" t="n">
        <v>2820.057525</v>
      </c>
      <c r="R246" s="13" t="n">
        <v>2820.046671</v>
      </c>
      <c r="S246" s="13" t="n">
        <v>2880.03186</v>
      </c>
      <c r="T246" s="13" t="n">
        <v>2759.93088</v>
      </c>
      <c r="U246" s="13" t="n">
        <v>2759.983734</v>
      </c>
      <c r="V246" s="13" t="n">
        <v>2760.039516</v>
      </c>
      <c r="W246" s="13" t="n">
        <v>2760.05888</v>
      </c>
      <c r="X246" s="13" t="n">
        <v>2759.911564</v>
      </c>
      <c r="Y246" s="13" t="n">
        <v>2759.976606</v>
      </c>
      <c r="Z246" s="13" t="n">
        <v>2700.049616</v>
      </c>
      <c r="AA246" s="13" t="n">
        <v>2579.90169</v>
      </c>
      <c r="AB246" s="13" t="n">
        <v>2639.910284</v>
      </c>
      <c r="AC246" s="13" t="n">
        <v>2813.9276</v>
      </c>
      <c r="AD246" s="13" t="n">
        <v>2813.8418</v>
      </c>
      <c r="AE246" s="13" t="n">
        <v>2813.7942</v>
      </c>
      <c r="AF246" s="13" t="n">
        <v>3063.8784</v>
      </c>
      <c r="AG246" s="13" t="n">
        <v>3001.41794</v>
      </c>
      <c r="AH246" s="13" t="n">
        <v>2938.8837</v>
      </c>
      <c r="AI246" s="13" t="n">
        <v>3001.50496</v>
      </c>
      <c r="AJ246" s="13" t="n">
        <v>3188.94651</v>
      </c>
      <c r="AK246" s="13" t="n">
        <v>3126.53835</v>
      </c>
      <c r="AL246" s="13" t="n">
        <v>3064.035116</v>
      </c>
      <c r="AM246" s="13" t="n">
        <v>3063.881399</v>
      </c>
      <c r="AN246" s="13" t="n">
        <v>2938.830886</v>
      </c>
      <c r="AO246" s="13" t="n">
        <v>3047.550154</v>
      </c>
      <c r="AP246" s="13" t="n">
        <v>2982.6996</v>
      </c>
      <c r="AQ246" s="13" t="n">
        <v>2852.986188</v>
      </c>
      <c r="AR246" s="13" t="n">
        <v>2917.860658</v>
      </c>
      <c r="AS246" s="13" t="n">
        <v>2658.423726</v>
      </c>
      <c r="AT246" s="13" t="n">
        <v>2723.24896</v>
      </c>
    </row>
    <row r="247" customFormat="false" ht="15" hidden="false" customHeight="true" outlineLevel="0" collapsed="false">
      <c r="A247" s="12" t="s">
        <v>794</v>
      </c>
      <c r="B247" s="12" t="s">
        <v>795</v>
      </c>
      <c r="C247" s="12" t="n">
        <v>1</v>
      </c>
      <c r="D247" s="12" t="s">
        <v>796</v>
      </c>
      <c r="E247" s="13" t="n">
        <v>0</v>
      </c>
      <c r="F247" s="13" t="n">
        <v>0</v>
      </c>
      <c r="G247" s="13" t="n">
        <v>0</v>
      </c>
      <c r="H247" s="13" t="n">
        <v>0</v>
      </c>
      <c r="I247" s="13" t="n">
        <v>0</v>
      </c>
      <c r="J247" s="13" t="n">
        <v>0</v>
      </c>
      <c r="K247" s="13" t="n">
        <v>0</v>
      </c>
      <c r="L247" s="13" t="n">
        <v>0</v>
      </c>
      <c r="M247" s="13" t="n">
        <v>0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  <c r="X247" s="13" t="n">
        <v>0</v>
      </c>
      <c r="Y247" s="13" t="n">
        <v>0</v>
      </c>
      <c r="Z247" s="13" t="n">
        <v>0</v>
      </c>
      <c r="AA247" s="13" t="n">
        <v>0</v>
      </c>
      <c r="AB247" s="13" t="n">
        <v>7439.949518</v>
      </c>
      <c r="AC247" s="13" t="n">
        <v>8200.0336</v>
      </c>
      <c r="AD247" s="13" t="n">
        <v>8659.9646</v>
      </c>
      <c r="AE247" s="13" t="n">
        <v>9900.02412</v>
      </c>
      <c r="AF247" s="13" t="n">
        <v>10000.0934</v>
      </c>
      <c r="AG247" s="13" t="n">
        <v>8080.0726</v>
      </c>
      <c r="AH247" s="13" t="n">
        <v>9200.0166</v>
      </c>
      <c r="AI247" s="13" t="n">
        <v>0</v>
      </c>
      <c r="AJ247" s="13" t="n">
        <v>13519.98504</v>
      </c>
      <c r="AK247" s="13" t="n">
        <v>13119.9771</v>
      </c>
      <c r="AL247" s="13" t="n">
        <v>12739.983951</v>
      </c>
      <c r="AM247" s="13" t="n">
        <v>12819.948937</v>
      </c>
      <c r="AN247" s="13" t="n">
        <v>12760.050515</v>
      </c>
      <c r="AO247" s="13" t="n">
        <v>14144.72209</v>
      </c>
      <c r="AP247" s="13" t="n">
        <v>13605.4932</v>
      </c>
      <c r="AQ247" s="13" t="n">
        <v>12049.864931</v>
      </c>
      <c r="AR247" s="13" t="n">
        <v>11759.506484</v>
      </c>
      <c r="AS247" s="13" t="n">
        <v>11324.00574</v>
      </c>
      <c r="AT247" s="13" t="n">
        <v>12505.943296</v>
      </c>
    </row>
    <row r="248" customFormat="false" ht="15" hidden="false" customHeight="true" outlineLevel="0" collapsed="false">
      <c r="A248" s="12" t="s">
        <v>797</v>
      </c>
      <c r="B248" s="12" t="s">
        <v>798</v>
      </c>
      <c r="C248" s="12" t="n">
        <v>1</v>
      </c>
      <c r="D248" s="12" t="s">
        <v>799</v>
      </c>
      <c r="E248" s="13" t="n">
        <v>0</v>
      </c>
      <c r="F248" s="13" t="n">
        <v>0</v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  <c r="M248" s="13" t="n">
        <v>0</v>
      </c>
      <c r="N248" s="13" t="n">
        <v>0</v>
      </c>
      <c r="O248" s="13" t="n">
        <v>0</v>
      </c>
      <c r="P248" s="13" t="n">
        <v>2059.972208</v>
      </c>
      <c r="Q248" s="13" t="n">
        <v>2099.977083</v>
      </c>
      <c r="R248" s="13" t="n">
        <v>2060.034093</v>
      </c>
      <c r="S248" s="13" t="n">
        <v>1760.074605</v>
      </c>
      <c r="T248" s="13" t="n">
        <v>1759.94112</v>
      </c>
      <c r="U248" s="13" t="n">
        <v>1759.96014</v>
      </c>
      <c r="V248" s="13" t="n">
        <v>1720.027296</v>
      </c>
      <c r="W248" s="13" t="n">
        <v>2319.986992</v>
      </c>
      <c r="X248" s="13" t="n">
        <v>2959.994246</v>
      </c>
      <c r="Y248" s="13" t="n">
        <v>3260.036566</v>
      </c>
      <c r="Z248" s="13" t="n">
        <v>3120.021696</v>
      </c>
      <c r="AA248" s="13" t="n">
        <v>3419.93613</v>
      </c>
      <c r="AB248" s="13" t="n">
        <v>2399.91844</v>
      </c>
      <c r="AC248" s="13" t="n">
        <v>2580.0368</v>
      </c>
      <c r="AD248" s="13" t="n">
        <v>2420.0764</v>
      </c>
      <c r="AE248" s="13" t="n">
        <v>2500.06176</v>
      </c>
      <c r="AF248" s="13" t="n">
        <v>2280.091</v>
      </c>
      <c r="AG248" s="13" t="n">
        <v>2079.93844</v>
      </c>
      <c r="AH248" s="13" t="n">
        <v>2320.02225</v>
      </c>
      <c r="AI248" s="13" t="n">
        <v>2400.00096</v>
      </c>
      <c r="AJ248" s="13" t="n">
        <v>2160.07371</v>
      </c>
      <c r="AK248" s="13" t="n">
        <v>2159.9403</v>
      </c>
      <c r="AL248" s="13" t="n">
        <v>1939.978473</v>
      </c>
      <c r="AM248" s="13" t="n">
        <v>1780.033832</v>
      </c>
      <c r="AN248" s="13" t="n">
        <v>1699.961349</v>
      </c>
      <c r="AO248" s="13" t="n">
        <v>1762.982852</v>
      </c>
      <c r="AP248" s="13" t="n">
        <v>1679.8716</v>
      </c>
      <c r="AQ248" s="13" t="n">
        <v>1845.858162</v>
      </c>
      <c r="AR248" s="13" t="n">
        <v>1866.53264</v>
      </c>
      <c r="AS248" s="13" t="n">
        <v>2219.10354</v>
      </c>
      <c r="AT248" s="13" t="n">
        <v>2509.554424</v>
      </c>
    </row>
    <row r="249" customFormat="false" ht="15" hidden="false" customHeight="true" outlineLevel="0" collapsed="false">
      <c r="A249" s="12" t="s">
        <v>800</v>
      </c>
      <c r="B249" s="12" t="s">
        <v>801</v>
      </c>
      <c r="C249" s="12" t="n">
        <v>1</v>
      </c>
      <c r="D249" s="12" t="s">
        <v>802</v>
      </c>
      <c r="E249" s="13" t="n">
        <v>0</v>
      </c>
      <c r="F249" s="13" t="n">
        <v>0</v>
      </c>
      <c r="G249" s="13" t="n">
        <v>0</v>
      </c>
      <c r="H249" s="13" t="n">
        <v>0</v>
      </c>
      <c r="I249" s="13" t="n">
        <v>0</v>
      </c>
      <c r="J249" s="13" t="n">
        <v>0</v>
      </c>
      <c r="K249" s="13" t="n">
        <v>0</v>
      </c>
      <c r="L249" s="13" t="n">
        <v>0</v>
      </c>
      <c r="M249" s="13" t="n">
        <v>0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  <c r="V249" s="13" t="n">
        <v>0</v>
      </c>
      <c r="W249" s="13" t="n">
        <v>0</v>
      </c>
      <c r="X249" s="13" t="n">
        <v>0</v>
      </c>
      <c r="Y249" s="13" t="n">
        <v>0</v>
      </c>
      <c r="Z249" s="13" t="n">
        <v>0</v>
      </c>
      <c r="AA249" s="13" t="n">
        <v>0</v>
      </c>
      <c r="AB249" s="13" t="n">
        <v>21820.034174</v>
      </c>
      <c r="AC249" s="13" t="n">
        <v>24180.09</v>
      </c>
      <c r="AD249" s="13" t="n">
        <v>23859.966</v>
      </c>
      <c r="AE249" s="13" t="n">
        <v>23180.07132</v>
      </c>
      <c r="AF249" s="13" t="n">
        <v>23400.058</v>
      </c>
      <c r="AG249" s="13" t="n">
        <v>23040.07518</v>
      </c>
      <c r="AH249" s="13" t="n">
        <v>22739.99505</v>
      </c>
      <c r="AI249" s="13" t="n">
        <v>0</v>
      </c>
      <c r="AJ249" s="13" t="n">
        <v>23279.92461</v>
      </c>
      <c r="AK249" s="13" t="n">
        <v>23579.9292</v>
      </c>
      <c r="AL249" s="13" t="n">
        <v>23760.085724</v>
      </c>
      <c r="AM249" s="13" t="n">
        <v>23519.962693</v>
      </c>
      <c r="AN249" s="13" t="n">
        <v>21820.037055</v>
      </c>
      <c r="AO249" s="13" t="n">
        <v>21154.759812</v>
      </c>
      <c r="AP249" s="13" t="n">
        <v>21901.48776</v>
      </c>
      <c r="AQ249" s="13" t="n">
        <v>20864.498571</v>
      </c>
      <c r="AR249" s="13" t="n">
        <v>20677.813472</v>
      </c>
      <c r="AS249" s="13" t="n">
        <v>20698.593066</v>
      </c>
      <c r="AT249" s="13" t="n">
        <v>21009.970736</v>
      </c>
    </row>
    <row r="250" customFormat="false" ht="15" hidden="false" customHeight="true" outlineLevel="0" collapsed="false">
      <c r="A250" s="12" t="s">
        <v>803</v>
      </c>
      <c r="B250" s="12" t="s">
        <v>804</v>
      </c>
      <c r="C250" s="12" t="n">
        <v>1</v>
      </c>
      <c r="D250" s="12" t="s">
        <v>805</v>
      </c>
      <c r="E250" s="13" t="n">
        <v>0</v>
      </c>
      <c r="F250" s="13" t="n">
        <v>0</v>
      </c>
      <c r="G250" s="13" t="n">
        <v>0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0</v>
      </c>
      <c r="M250" s="13" t="n">
        <v>0</v>
      </c>
      <c r="N250" s="13" t="n">
        <v>0</v>
      </c>
      <c r="O250" s="13" t="n">
        <v>0</v>
      </c>
      <c r="P250" s="13" t="n">
        <v>0</v>
      </c>
      <c r="Q250" s="13" t="n">
        <v>0</v>
      </c>
      <c r="R250" s="13" t="n">
        <v>0</v>
      </c>
      <c r="S250" s="13" t="n">
        <v>0</v>
      </c>
      <c r="T250" s="13" t="n">
        <v>0</v>
      </c>
      <c r="U250" s="13" t="n">
        <v>0</v>
      </c>
      <c r="V250" s="13" t="n">
        <v>0</v>
      </c>
      <c r="W250" s="13" t="n">
        <v>0</v>
      </c>
      <c r="X250" s="13" t="n">
        <v>0</v>
      </c>
      <c r="Y250" s="13" t="n">
        <v>0</v>
      </c>
      <c r="Z250" s="13" t="n">
        <v>0</v>
      </c>
      <c r="AA250" s="13" t="n">
        <v>0</v>
      </c>
      <c r="AB250" s="13" t="n">
        <v>0</v>
      </c>
      <c r="AC250" s="13" t="n">
        <v>3870.0552</v>
      </c>
      <c r="AD250" s="13" t="n">
        <v>3869.905</v>
      </c>
      <c r="AE250" s="13" t="n">
        <v>4192.42068</v>
      </c>
      <c r="AF250" s="13" t="n">
        <v>4192.4696</v>
      </c>
      <c r="AG250" s="13" t="n">
        <v>4192.4905</v>
      </c>
      <c r="AH250" s="13" t="n">
        <v>4192.47</v>
      </c>
      <c r="AI250" s="13" t="n">
        <v>4192.48288</v>
      </c>
      <c r="AJ250" s="13" t="n">
        <v>4160.03841</v>
      </c>
      <c r="AK250" s="13" t="n">
        <v>4127.44155</v>
      </c>
      <c r="AL250" s="13" t="n">
        <v>2697.514926</v>
      </c>
      <c r="AM250" s="13" t="n">
        <v>2697.565698</v>
      </c>
      <c r="AN250" s="13" t="n">
        <v>2600.025514</v>
      </c>
      <c r="AO250" s="13" t="n">
        <v>2599.994562</v>
      </c>
      <c r="AP250" s="13" t="n">
        <v>0</v>
      </c>
      <c r="AQ250" s="13" t="n">
        <v>0</v>
      </c>
      <c r="AR250" s="13" t="n">
        <v>0</v>
      </c>
      <c r="AS250" s="13" t="n">
        <v>0</v>
      </c>
      <c r="AT250" s="13" t="n">
        <v>0</v>
      </c>
    </row>
    <row r="251" customFormat="false" ht="15" hidden="false" customHeight="true" outlineLevel="0" collapsed="false">
      <c r="A251" s="12" t="s">
        <v>806</v>
      </c>
      <c r="B251" s="12" t="s">
        <v>807</v>
      </c>
      <c r="C251" s="12" t="n">
        <v>1</v>
      </c>
      <c r="D251" s="12" t="s">
        <v>808</v>
      </c>
      <c r="E251" s="13" t="n">
        <v>0</v>
      </c>
      <c r="F251" s="13" t="n">
        <v>0</v>
      </c>
      <c r="G251" s="13" t="n">
        <v>0</v>
      </c>
      <c r="H251" s="13" t="n">
        <v>0</v>
      </c>
      <c r="I251" s="13" t="n">
        <v>0</v>
      </c>
      <c r="J251" s="13" t="n">
        <v>0</v>
      </c>
      <c r="K251" s="13" t="n">
        <v>0</v>
      </c>
      <c r="L251" s="13" t="n">
        <v>0</v>
      </c>
      <c r="M251" s="13" t="n">
        <v>0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  <c r="V251" s="13" t="n">
        <v>0</v>
      </c>
      <c r="W251" s="13" t="n">
        <v>0</v>
      </c>
      <c r="X251" s="13" t="n">
        <v>0</v>
      </c>
      <c r="Y251" s="13" t="n">
        <v>0</v>
      </c>
      <c r="Z251" s="13" t="n">
        <v>0</v>
      </c>
      <c r="AA251" s="13" t="n">
        <v>0</v>
      </c>
      <c r="AB251" s="13" t="n">
        <v>0</v>
      </c>
      <c r="AC251" s="13" t="n">
        <v>0</v>
      </c>
      <c r="AD251" s="13" t="n">
        <v>0</v>
      </c>
      <c r="AE251" s="13" t="n">
        <v>0</v>
      </c>
      <c r="AF251" s="13" t="n">
        <v>0</v>
      </c>
      <c r="AG251" s="13" t="n">
        <v>0</v>
      </c>
      <c r="AH251" s="13" t="n">
        <v>0</v>
      </c>
      <c r="AI251" s="13" t="n">
        <v>0</v>
      </c>
      <c r="AJ251" s="13" t="n">
        <v>0</v>
      </c>
      <c r="AK251" s="13" t="n">
        <v>0</v>
      </c>
      <c r="AL251" s="13" t="n">
        <v>0</v>
      </c>
      <c r="AM251" s="13" t="n">
        <v>0</v>
      </c>
      <c r="AN251" s="13" t="n">
        <v>0</v>
      </c>
      <c r="AO251" s="13" t="n">
        <v>0</v>
      </c>
      <c r="AP251" s="13" t="n">
        <v>0</v>
      </c>
      <c r="AQ251" s="13" t="n">
        <v>3612.044204</v>
      </c>
      <c r="AR251" s="13" t="n">
        <v>3108.022442</v>
      </c>
      <c r="AS251" s="13" t="n">
        <v>3024.00459</v>
      </c>
      <c r="AT251" s="13" t="n">
        <v>2939.918768</v>
      </c>
    </row>
    <row r="252" customFormat="false" ht="15" hidden="false" customHeight="true" outlineLevel="0" collapsed="false">
      <c r="A252" s="12" t="s">
        <v>809</v>
      </c>
      <c r="B252" s="12" t="s">
        <v>810</v>
      </c>
      <c r="C252" s="12" t="n">
        <v>1</v>
      </c>
      <c r="D252" s="12" t="s">
        <v>811</v>
      </c>
      <c r="E252" s="13" t="n">
        <v>0</v>
      </c>
      <c r="F252" s="13" t="n">
        <v>0</v>
      </c>
      <c r="G252" s="13" t="n">
        <v>0</v>
      </c>
      <c r="H252" s="13" t="n">
        <v>0</v>
      </c>
      <c r="I252" s="13" t="n">
        <v>0</v>
      </c>
      <c r="J252" s="13" t="n">
        <v>0</v>
      </c>
      <c r="K252" s="13" t="n">
        <v>0</v>
      </c>
      <c r="L252" s="13" t="n">
        <v>0</v>
      </c>
      <c r="M252" s="13" t="n">
        <v>0</v>
      </c>
      <c r="N252" s="13" t="n">
        <v>0</v>
      </c>
      <c r="O252" s="13" t="n">
        <v>0</v>
      </c>
      <c r="P252" s="13" t="n">
        <v>0</v>
      </c>
      <c r="Q252" s="13" t="n">
        <v>0</v>
      </c>
      <c r="R252" s="13" t="n">
        <v>0</v>
      </c>
      <c r="S252" s="13" t="n">
        <v>0</v>
      </c>
      <c r="T252" s="13" t="n">
        <v>1568.08064</v>
      </c>
      <c r="U252" s="13" t="n">
        <v>1301.997487</v>
      </c>
      <c r="V252" s="13" t="n">
        <v>1287.993876</v>
      </c>
      <c r="W252" s="13" t="n">
        <v>1287.964976</v>
      </c>
      <c r="X252" s="13" t="n">
        <v>0</v>
      </c>
      <c r="Y252" s="13" t="n">
        <v>0</v>
      </c>
      <c r="Z252" s="13" t="n">
        <v>0</v>
      </c>
      <c r="AA252" s="13" t="n">
        <v>0</v>
      </c>
      <c r="AB252" s="13" t="n">
        <v>0</v>
      </c>
      <c r="AC252" s="13" t="n">
        <v>0</v>
      </c>
      <c r="AD252" s="13" t="n">
        <v>0</v>
      </c>
      <c r="AE252" s="13" t="n">
        <v>0</v>
      </c>
      <c r="AF252" s="13" t="n">
        <v>0</v>
      </c>
      <c r="AG252" s="13" t="n">
        <v>0</v>
      </c>
      <c r="AH252" s="13" t="n">
        <v>0</v>
      </c>
      <c r="AI252" s="13" t="n">
        <v>0</v>
      </c>
      <c r="AJ252" s="13" t="n">
        <v>0</v>
      </c>
      <c r="AK252" s="13" t="n">
        <v>0</v>
      </c>
      <c r="AL252" s="13" t="n">
        <v>0</v>
      </c>
      <c r="AM252" s="13" t="n">
        <v>0</v>
      </c>
      <c r="AN252" s="13" t="n">
        <v>0</v>
      </c>
      <c r="AO252" s="13" t="n">
        <v>0</v>
      </c>
      <c r="AP252" s="13" t="n">
        <v>0</v>
      </c>
      <c r="AQ252" s="13" t="n">
        <v>0</v>
      </c>
      <c r="AR252" s="13" t="n">
        <v>0</v>
      </c>
      <c r="AS252" s="13" t="n">
        <v>0</v>
      </c>
      <c r="AT252" s="13" t="n">
        <v>0</v>
      </c>
    </row>
    <row r="253" customFormat="false" ht="15" hidden="false" customHeight="true" outlineLevel="0" collapsed="false">
      <c r="A253" s="12" t="s">
        <v>812</v>
      </c>
      <c r="B253" s="12" t="s">
        <v>813</v>
      </c>
      <c r="C253" s="12" t="n">
        <v>1</v>
      </c>
      <c r="D253" s="12" t="s">
        <v>814</v>
      </c>
      <c r="E253" s="13" t="n">
        <v>0</v>
      </c>
      <c r="F253" s="13" t="n">
        <v>0</v>
      </c>
      <c r="G253" s="13" t="n">
        <v>0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0</v>
      </c>
      <c r="M253" s="13" t="n">
        <v>0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3" t="n">
        <v>0</v>
      </c>
      <c r="V253" s="13" t="n">
        <v>0</v>
      </c>
      <c r="W253" s="13" t="n">
        <v>0</v>
      </c>
      <c r="X253" s="13" t="n">
        <v>0</v>
      </c>
      <c r="Y253" s="13" t="n">
        <v>0</v>
      </c>
      <c r="Z253" s="13" t="n">
        <v>0</v>
      </c>
      <c r="AA253" s="13" t="n">
        <v>0</v>
      </c>
      <c r="AB253" s="13" t="n">
        <v>0</v>
      </c>
      <c r="AC253" s="13" t="n">
        <v>0</v>
      </c>
      <c r="AD253" s="13" t="n">
        <v>0</v>
      </c>
      <c r="AE253" s="13" t="n">
        <v>0</v>
      </c>
      <c r="AF253" s="13" t="n">
        <v>0</v>
      </c>
      <c r="AG253" s="13" t="n">
        <v>0</v>
      </c>
      <c r="AH253" s="13" t="n">
        <v>0</v>
      </c>
      <c r="AI253" s="13" t="n">
        <v>0</v>
      </c>
      <c r="AJ253" s="13" t="n">
        <v>0</v>
      </c>
      <c r="AK253" s="13" t="n">
        <v>0</v>
      </c>
      <c r="AL253" s="13" t="n">
        <v>54687.943425</v>
      </c>
      <c r="AM253" s="13" t="n">
        <v>0</v>
      </c>
      <c r="AN253" s="13" t="n">
        <v>71136.000311</v>
      </c>
      <c r="AO253" s="13" t="n">
        <v>0</v>
      </c>
      <c r="AP253" s="13" t="n">
        <v>0</v>
      </c>
      <c r="AQ253" s="13" t="n">
        <v>15113.076872</v>
      </c>
      <c r="AR253" s="13" t="n">
        <v>19788.0528</v>
      </c>
      <c r="AS253" s="13" t="n">
        <v>15861.051207</v>
      </c>
      <c r="AT253" s="13" t="n">
        <v>16795.935488</v>
      </c>
    </row>
    <row r="254" customFormat="false" ht="15" hidden="false" customHeight="true" outlineLevel="0" collapsed="false">
      <c r="A254" s="12" t="s">
        <v>815</v>
      </c>
      <c r="B254" s="12" t="s">
        <v>816</v>
      </c>
      <c r="C254" s="12" t="n">
        <v>1</v>
      </c>
      <c r="D254" s="12" t="s">
        <v>817</v>
      </c>
      <c r="E254" s="13" t="n">
        <v>0</v>
      </c>
      <c r="F254" s="13" t="n">
        <v>0</v>
      </c>
      <c r="G254" s="13" t="n">
        <v>0</v>
      </c>
      <c r="H254" s="13" t="n">
        <v>0</v>
      </c>
      <c r="I254" s="13" t="n">
        <v>0</v>
      </c>
      <c r="J254" s="13" t="n">
        <v>0</v>
      </c>
      <c r="K254" s="13" t="n">
        <v>0</v>
      </c>
      <c r="L254" s="13" t="n">
        <v>0</v>
      </c>
      <c r="M254" s="13" t="n">
        <v>0</v>
      </c>
      <c r="N254" s="13" t="n">
        <v>0</v>
      </c>
      <c r="O254" s="13" t="n">
        <v>0</v>
      </c>
      <c r="P254" s="13" t="n">
        <v>0</v>
      </c>
      <c r="Q254" s="13" t="n">
        <v>0</v>
      </c>
      <c r="R254" s="13" t="n">
        <v>0</v>
      </c>
      <c r="S254" s="13" t="n">
        <v>0</v>
      </c>
      <c r="T254" s="13" t="n">
        <v>0</v>
      </c>
      <c r="U254" s="13" t="n">
        <v>0</v>
      </c>
      <c r="V254" s="13" t="n">
        <v>0</v>
      </c>
      <c r="W254" s="13" t="n">
        <v>0</v>
      </c>
      <c r="X254" s="13" t="n">
        <v>0</v>
      </c>
      <c r="Y254" s="13" t="n">
        <v>0</v>
      </c>
      <c r="Z254" s="13" t="n">
        <v>0</v>
      </c>
      <c r="AA254" s="13" t="n">
        <v>0</v>
      </c>
      <c r="AB254" s="13" t="n">
        <v>2024.956478</v>
      </c>
      <c r="AC254" s="13" t="n">
        <v>1889.9452</v>
      </c>
      <c r="AD254" s="13" t="n">
        <v>2115.0006</v>
      </c>
      <c r="AE254" s="13" t="n">
        <v>2250.01476</v>
      </c>
      <c r="AF254" s="13" t="n">
        <v>2249.9378</v>
      </c>
      <c r="AG254" s="13" t="n">
        <v>2160.02514</v>
      </c>
      <c r="AH254" s="13" t="n">
        <v>2384.98665</v>
      </c>
      <c r="AI254" s="13" t="n">
        <v>2655.07625</v>
      </c>
      <c r="AJ254" s="13" t="n">
        <v>2519.9928</v>
      </c>
      <c r="AK254" s="13" t="n">
        <v>2294.9595</v>
      </c>
      <c r="AL254" s="13" t="n">
        <v>2384.959769</v>
      </c>
      <c r="AM254" s="13" t="n">
        <v>2294.930263</v>
      </c>
      <c r="AN254" s="13" t="n">
        <v>2159.974163</v>
      </c>
      <c r="AO254" s="13" t="n">
        <v>2566.376172</v>
      </c>
      <c r="AP254" s="13" t="n">
        <v>2659.66728</v>
      </c>
      <c r="AQ254" s="13" t="n">
        <v>2799.569653</v>
      </c>
      <c r="AR254" s="13" t="n">
        <v>2566.306954</v>
      </c>
      <c r="AS254" s="13" t="n">
        <v>2706.198498</v>
      </c>
      <c r="AT254" s="13" t="n">
        <v>2799.555936</v>
      </c>
    </row>
    <row r="255" customFormat="false" ht="15" hidden="false" customHeight="true" outlineLevel="0" collapsed="false">
      <c r="A255" s="12" t="s">
        <v>818</v>
      </c>
      <c r="B255" s="12" t="s">
        <v>819</v>
      </c>
      <c r="C255" s="12" t="n">
        <v>1</v>
      </c>
      <c r="D255" s="12" t="s">
        <v>820</v>
      </c>
      <c r="E255" s="13" t="n">
        <v>0</v>
      </c>
      <c r="F255" s="13" t="n">
        <v>0</v>
      </c>
      <c r="G255" s="13" t="n">
        <v>0</v>
      </c>
      <c r="H255" s="13" t="n">
        <v>0</v>
      </c>
      <c r="I255" s="13" t="n">
        <v>0</v>
      </c>
      <c r="J255" s="13" t="n">
        <v>0</v>
      </c>
      <c r="K255" s="13" t="n">
        <v>0</v>
      </c>
      <c r="L255" s="13" t="n">
        <v>0</v>
      </c>
      <c r="M255" s="13" t="n">
        <v>0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0</v>
      </c>
      <c r="V255" s="13" t="n">
        <v>0</v>
      </c>
      <c r="W255" s="13" t="n">
        <v>0</v>
      </c>
      <c r="X255" s="13" t="n">
        <v>0</v>
      </c>
      <c r="Y255" s="13" t="n">
        <v>0</v>
      </c>
      <c r="Z255" s="13" t="n">
        <v>0</v>
      </c>
      <c r="AA255" s="13" t="n">
        <v>0</v>
      </c>
      <c r="AB255" s="13" t="n">
        <v>0</v>
      </c>
      <c r="AC255" s="13" t="n">
        <v>0</v>
      </c>
      <c r="AD255" s="13" t="n">
        <v>0</v>
      </c>
      <c r="AE255" s="13" t="n">
        <v>0</v>
      </c>
      <c r="AF255" s="13" t="n">
        <v>0</v>
      </c>
      <c r="AG255" s="13" t="n">
        <v>0</v>
      </c>
      <c r="AH255" s="13" t="n">
        <v>0</v>
      </c>
      <c r="AI255" s="13" t="n">
        <v>0</v>
      </c>
      <c r="AJ255" s="13" t="n">
        <v>0</v>
      </c>
      <c r="AK255" s="13" t="n">
        <v>0</v>
      </c>
      <c r="AL255" s="13" t="n">
        <v>699.8878</v>
      </c>
      <c r="AM255" s="13" t="n">
        <v>699.980328</v>
      </c>
      <c r="AN255" s="13" t="n">
        <v>699.910036</v>
      </c>
      <c r="AO255" s="13" t="n">
        <v>699.95212</v>
      </c>
      <c r="AP255" s="13" t="n">
        <v>699.90336</v>
      </c>
      <c r="AQ255" s="13" t="n">
        <v>699.847145</v>
      </c>
      <c r="AR255" s="13" t="n">
        <v>699.94974</v>
      </c>
      <c r="AS255" s="13" t="n">
        <v>622.110618</v>
      </c>
      <c r="AT255" s="13" t="n">
        <v>855.478208</v>
      </c>
    </row>
    <row r="256" customFormat="false" ht="15" hidden="false" customHeight="true" outlineLevel="0" collapsed="false">
      <c r="A256" s="12" t="s">
        <v>821</v>
      </c>
      <c r="B256" s="12" t="s">
        <v>822</v>
      </c>
      <c r="C256" s="12" t="n">
        <v>1</v>
      </c>
      <c r="D256" s="12" t="s">
        <v>823</v>
      </c>
      <c r="E256" s="13" t="n">
        <v>0</v>
      </c>
      <c r="F256" s="13" t="n">
        <v>0</v>
      </c>
      <c r="G256" s="13" t="n">
        <v>0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0</v>
      </c>
      <c r="M256" s="13" t="n">
        <v>0</v>
      </c>
      <c r="N256" s="13" t="n">
        <v>0</v>
      </c>
      <c r="O256" s="13" t="n">
        <v>0</v>
      </c>
      <c r="P256" s="13" t="n">
        <v>3725.917209</v>
      </c>
      <c r="Q256" s="13" t="n">
        <v>3527.947764</v>
      </c>
      <c r="R256" s="13" t="n">
        <v>3654.077568</v>
      </c>
      <c r="S256" s="13" t="n">
        <v>3420.079185</v>
      </c>
      <c r="T256" s="13" t="n">
        <v>3365.98528</v>
      </c>
      <c r="U256" s="13" t="n">
        <v>2721.664756</v>
      </c>
      <c r="V256" s="13" t="n">
        <v>2678.422968</v>
      </c>
      <c r="W256" s="13" t="n">
        <v>3348.071424</v>
      </c>
      <c r="X256" s="13" t="n">
        <v>3348.063432</v>
      </c>
      <c r="Y256" s="13" t="n">
        <v>3348.039244</v>
      </c>
      <c r="Z256" s="13" t="n">
        <v>3347.949264</v>
      </c>
      <c r="AA256" s="13" t="n">
        <v>0</v>
      </c>
      <c r="AB256" s="13" t="n">
        <v>0</v>
      </c>
      <c r="AC256" s="13" t="n">
        <v>0</v>
      </c>
      <c r="AD256" s="13" t="n">
        <v>0</v>
      </c>
      <c r="AE256" s="13" t="n">
        <v>0</v>
      </c>
      <c r="AF256" s="13" t="n">
        <v>0</v>
      </c>
      <c r="AG256" s="13" t="n">
        <v>0</v>
      </c>
      <c r="AH256" s="13" t="n">
        <v>0</v>
      </c>
      <c r="AI256" s="13" t="n">
        <v>0</v>
      </c>
      <c r="AJ256" s="13" t="n">
        <v>0</v>
      </c>
      <c r="AK256" s="13" t="n">
        <v>0</v>
      </c>
      <c r="AL256" s="13" t="n">
        <v>0</v>
      </c>
      <c r="AM256" s="13" t="n">
        <v>0</v>
      </c>
      <c r="AN256" s="13" t="n">
        <v>0</v>
      </c>
      <c r="AO256" s="13" t="n">
        <v>0</v>
      </c>
      <c r="AP256" s="13" t="n">
        <v>0</v>
      </c>
      <c r="AQ256" s="13" t="n">
        <v>0</v>
      </c>
      <c r="AR256" s="13" t="n">
        <v>0</v>
      </c>
      <c r="AS256" s="13" t="n">
        <v>0</v>
      </c>
      <c r="AT256" s="13" t="n">
        <v>0</v>
      </c>
    </row>
    <row r="257" customFormat="false" ht="15" hidden="false" customHeight="true" outlineLevel="0" collapsed="false">
      <c r="A257" s="12" t="s">
        <v>824</v>
      </c>
      <c r="B257" s="12" t="s">
        <v>825</v>
      </c>
      <c r="C257" s="12" t="n">
        <v>1</v>
      </c>
      <c r="D257" s="12" t="s">
        <v>826</v>
      </c>
      <c r="E257" s="13" t="n">
        <v>0</v>
      </c>
      <c r="F257" s="13" t="n">
        <v>0</v>
      </c>
      <c r="G257" s="13" t="n">
        <v>0</v>
      </c>
      <c r="H257" s="13" t="n">
        <v>0</v>
      </c>
      <c r="I257" s="13" t="n">
        <v>0</v>
      </c>
      <c r="J257" s="13" t="n">
        <v>0</v>
      </c>
      <c r="K257" s="13" t="n">
        <v>0</v>
      </c>
      <c r="L257" s="13" t="n">
        <v>0</v>
      </c>
      <c r="M257" s="13" t="n">
        <v>0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0</v>
      </c>
      <c r="X257" s="13" t="n">
        <v>0</v>
      </c>
      <c r="Y257" s="13" t="n">
        <v>0</v>
      </c>
      <c r="Z257" s="13" t="n">
        <v>0</v>
      </c>
      <c r="AA257" s="13" t="n">
        <v>0</v>
      </c>
      <c r="AB257" s="13" t="n">
        <v>0</v>
      </c>
      <c r="AC257" s="13" t="n">
        <v>0</v>
      </c>
      <c r="AD257" s="13" t="n">
        <v>0</v>
      </c>
      <c r="AE257" s="13" t="n">
        <v>0</v>
      </c>
      <c r="AF257" s="13" t="n">
        <v>0</v>
      </c>
      <c r="AG257" s="13" t="n">
        <v>0</v>
      </c>
      <c r="AH257" s="13" t="n">
        <v>0</v>
      </c>
      <c r="AI257" s="13" t="n">
        <v>0</v>
      </c>
      <c r="AJ257" s="13" t="n">
        <v>254.98152</v>
      </c>
      <c r="AK257" s="13" t="n">
        <v>254.9955</v>
      </c>
      <c r="AL257" s="13" t="n">
        <v>255.090685</v>
      </c>
      <c r="AM257" s="13" t="n">
        <v>254.97187</v>
      </c>
      <c r="AN257" s="13" t="n">
        <v>255.003194</v>
      </c>
      <c r="AO257" s="13" t="n">
        <v>264.464668</v>
      </c>
      <c r="AP257" s="13" t="n">
        <v>264.36192</v>
      </c>
      <c r="AQ257" s="13" t="n">
        <v>264.36658</v>
      </c>
      <c r="AR257" s="13" t="n">
        <v>264.366982</v>
      </c>
      <c r="AS257" s="13" t="n">
        <v>264.492216</v>
      </c>
      <c r="AT257" s="13" t="n">
        <v>264.449176</v>
      </c>
    </row>
    <row r="258" customFormat="false" ht="15" hidden="false" customHeight="true" outlineLevel="0" collapsed="false">
      <c r="A258" s="12" t="s">
        <v>827</v>
      </c>
      <c r="B258" s="12" t="s">
        <v>828</v>
      </c>
      <c r="C258" s="12" t="n">
        <v>1</v>
      </c>
      <c r="D258" s="12" t="s">
        <v>829</v>
      </c>
      <c r="E258" s="13" t="n">
        <v>0</v>
      </c>
      <c r="F258" s="13" t="n">
        <v>0</v>
      </c>
      <c r="G258" s="13" t="n">
        <v>0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  <c r="M258" s="13" t="n">
        <v>0</v>
      </c>
      <c r="N258" s="13" t="n">
        <v>0</v>
      </c>
      <c r="O258" s="13" t="n">
        <v>0</v>
      </c>
      <c r="P258" s="13" t="n">
        <v>0</v>
      </c>
      <c r="Q258" s="13" t="n">
        <v>0</v>
      </c>
      <c r="R258" s="13" t="n">
        <v>0</v>
      </c>
      <c r="S258" s="13" t="n">
        <v>0</v>
      </c>
      <c r="T258" s="13" t="n">
        <v>0</v>
      </c>
      <c r="U258" s="13" t="n">
        <v>0</v>
      </c>
      <c r="V258" s="13" t="n">
        <v>0</v>
      </c>
      <c r="W258" s="13" t="n">
        <v>0</v>
      </c>
      <c r="X258" s="13" t="n">
        <v>0</v>
      </c>
      <c r="Y258" s="13" t="n">
        <v>0</v>
      </c>
      <c r="Z258" s="13" t="n">
        <v>0</v>
      </c>
      <c r="AA258" s="13" t="n">
        <v>0</v>
      </c>
      <c r="AB258" s="13" t="n">
        <v>0</v>
      </c>
      <c r="AC258" s="13" t="n">
        <v>0</v>
      </c>
      <c r="AD258" s="13" t="n">
        <v>0</v>
      </c>
      <c r="AE258" s="13" t="n">
        <v>0</v>
      </c>
      <c r="AF258" s="13" t="n">
        <v>0</v>
      </c>
      <c r="AG258" s="13" t="n">
        <v>0</v>
      </c>
      <c r="AH258" s="13" t="n">
        <v>0</v>
      </c>
      <c r="AI258" s="13" t="n">
        <v>0</v>
      </c>
      <c r="AJ258" s="13" t="n">
        <v>0</v>
      </c>
      <c r="AK258" s="13" t="n">
        <v>0</v>
      </c>
      <c r="AL258" s="13" t="n">
        <v>0</v>
      </c>
      <c r="AM258" s="13" t="n">
        <v>0</v>
      </c>
      <c r="AN258" s="13" t="n">
        <v>0</v>
      </c>
      <c r="AO258" s="13" t="n">
        <v>0</v>
      </c>
      <c r="AP258" s="13" t="n">
        <v>0</v>
      </c>
      <c r="AQ258" s="13" t="n">
        <v>1519.926762</v>
      </c>
      <c r="AR258" s="13" t="n">
        <v>1520.06629</v>
      </c>
      <c r="AS258" s="13" t="n">
        <v>1519.964757</v>
      </c>
      <c r="AT258" s="13" t="n">
        <v>1520.01396</v>
      </c>
    </row>
    <row r="259" customFormat="false" ht="15" hidden="false" customHeight="true" outlineLevel="0" collapsed="false">
      <c r="A259" s="12" t="s">
        <v>830</v>
      </c>
      <c r="B259" s="12" t="s">
        <v>831</v>
      </c>
      <c r="C259" s="12" t="n">
        <v>1</v>
      </c>
      <c r="D259" s="12" t="s">
        <v>832</v>
      </c>
      <c r="E259" s="13" t="n">
        <v>4499.97552</v>
      </c>
      <c r="F259" s="13" t="n">
        <v>4499.987778</v>
      </c>
      <c r="G259" s="13" t="n">
        <v>4260.086608</v>
      </c>
      <c r="H259" s="13" t="n">
        <v>8040.028977</v>
      </c>
      <c r="I259" s="13" t="n">
        <v>0</v>
      </c>
      <c r="J259" s="13" t="n">
        <v>8220.01538</v>
      </c>
      <c r="K259" s="13" t="n">
        <v>0</v>
      </c>
      <c r="L259" s="13" t="n">
        <v>3899.999229</v>
      </c>
      <c r="M259" s="13" t="n">
        <v>3780.002925</v>
      </c>
      <c r="N259" s="13" t="n">
        <v>4020.0855</v>
      </c>
      <c r="O259" s="13" t="n">
        <v>4140.048661</v>
      </c>
      <c r="P259" s="13" t="n">
        <v>4379.978687</v>
      </c>
      <c r="Q259" s="13" t="n">
        <v>4079.940759</v>
      </c>
      <c r="R259" s="13" t="n">
        <v>4020.066531</v>
      </c>
      <c r="S259" s="13" t="n">
        <v>4139.921745</v>
      </c>
      <c r="T259" s="13" t="n">
        <v>4379.93472</v>
      </c>
      <c r="U259" s="13" t="n">
        <v>4139.975601</v>
      </c>
      <c r="V259" s="13" t="n">
        <v>4020.02952</v>
      </c>
      <c r="W259" s="13" t="n">
        <v>4559.909776</v>
      </c>
      <c r="X259" s="13" t="n">
        <v>4680.031098</v>
      </c>
      <c r="Y259" s="13" t="n">
        <v>4380.052752</v>
      </c>
      <c r="Z259" s="13" t="n">
        <v>4379.937936</v>
      </c>
      <c r="AA259" s="13" t="n">
        <v>4259.97057</v>
      </c>
      <c r="AB259" s="13" t="n">
        <v>4200.059624</v>
      </c>
      <c r="AC259" s="13" t="n">
        <v>4139.9292</v>
      </c>
      <c r="AD259" s="13" t="n">
        <v>4019.9793</v>
      </c>
      <c r="AE259" s="13" t="n">
        <v>3660.07572</v>
      </c>
      <c r="AF259" s="13" t="n">
        <v>3599.9788</v>
      </c>
      <c r="AG259" s="13" t="n">
        <v>3780.09224</v>
      </c>
      <c r="AH259" s="13" t="n">
        <v>3780.0216</v>
      </c>
      <c r="AI259" s="13" t="n">
        <v>3780.0767</v>
      </c>
      <c r="AJ259" s="13" t="n">
        <v>10739.97819</v>
      </c>
      <c r="AK259" s="13" t="n">
        <v>4560.01665</v>
      </c>
      <c r="AL259" s="13" t="n">
        <v>4259.922349</v>
      </c>
      <c r="AM259" s="13" t="n">
        <v>3540.073467</v>
      </c>
      <c r="AN259" s="13" t="n">
        <v>3540.012605</v>
      </c>
      <c r="AO259" s="13" t="n">
        <v>3919.214666</v>
      </c>
      <c r="AP259" s="13" t="n">
        <v>3919.18272</v>
      </c>
      <c r="AQ259" s="13" t="n">
        <v>3981.433124</v>
      </c>
      <c r="AR259" s="13" t="n">
        <v>3857.091462</v>
      </c>
      <c r="AS259" s="13" t="n">
        <v>3545.892045</v>
      </c>
      <c r="AT259" s="13" t="n">
        <v>3670.435552</v>
      </c>
    </row>
    <row r="260" customFormat="false" ht="15" hidden="false" customHeight="true" outlineLevel="0" collapsed="false">
      <c r="A260" s="12" t="s">
        <v>833</v>
      </c>
      <c r="B260" s="12" t="s">
        <v>834</v>
      </c>
      <c r="C260" s="12" t="n">
        <v>1</v>
      </c>
      <c r="D260" s="12" t="s">
        <v>835</v>
      </c>
      <c r="E260" s="13" t="n">
        <v>0</v>
      </c>
      <c r="F260" s="13" t="n">
        <v>0</v>
      </c>
      <c r="G260" s="13" t="n">
        <v>0</v>
      </c>
      <c r="H260" s="13" t="n">
        <v>0</v>
      </c>
      <c r="I260" s="13" t="n">
        <v>0</v>
      </c>
      <c r="J260" s="13" t="n">
        <v>0</v>
      </c>
      <c r="K260" s="13" t="n">
        <v>0</v>
      </c>
      <c r="L260" s="13" t="n">
        <v>0</v>
      </c>
      <c r="M260" s="13" t="n">
        <v>0</v>
      </c>
      <c r="N260" s="13" t="n">
        <v>0</v>
      </c>
      <c r="O260" s="13" t="n">
        <v>0</v>
      </c>
      <c r="P260" s="13" t="n">
        <v>0</v>
      </c>
      <c r="Q260" s="13" t="n">
        <v>0</v>
      </c>
      <c r="R260" s="13" t="n">
        <v>0</v>
      </c>
      <c r="S260" s="13" t="n">
        <v>0</v>
      </c>
      <c r="T260" s="13" t="n">
        <v>0</v>
      </c>
      <c r="U260" s="13" t="n">
        <v>0</v>
      </c>
      <c r="V260" s="13" t="n">
        <v>0</v>
      </c>
      <c r="W260" s="13" t="n">
        <v>0</v>
      </c>
      <c r="X260" s="13" t="n">
        <v>0</v>
      </c>
      <c r="Y260" s="13" t="n">
        <v>0</v>
      </c>
      <c r="Z260" s="13" t="n">
        <v>0</v>
      </c>
      <c r="AA260" s="13" t="n">
        <v>0</v>
      </c>
      <c r="AB260" s="13" t="n">
        <v>0</v>
      </c>
      <c r="AC260" s="13" t="n">
        <v>0</v>
      </c>
      <c r="AD260" s="13" t="n">
        <v>0</v>
      </c>
      <c r="AE260" s="13" t="n">
        <v>0</v>
      </c>
      <c r="AF260" s="13" t="n">
        <v>0</v>
      </c>
      <c r="AG260" s="13" t="n">
        <v>0</v>
      </c>
      <c r="AH260" s="13" t="n">
        <v>1260.0072</v>
      </c>
      <c r="AI260" s="13" t="n">
        <v>1305.07571</v>
      </c>
      <c r="AJ260" s="13" t="n">
        <v>1394.94276</v>
      </c>
      <c r="AK260" s="13" t="n">
        <v>2114.99505</v>
      </c>
      <c r="AL260" s="13" t="n">
        <v>2969.918625</v>
      </c>
      <c r="AM260" s="13" t="n">
        <v>3284.918164</v>
      </c>
      <c r="AN260" s="13" t="n">
        <v>3420.063994</v>
      </c>
      <c r="AO260" s="13" t="n">
        <v>5599.272156</v>
      </c>
      <c r="AP260" s="13" t="n">
        <v>5599.91712</v>
      </c>
      <c r="AQ260" s="13" t="n">
        <v>5719.914997</v>
      </c>
      <c r="AR260" s="13" t="n">
        <v>6404.978686</v>
      </c>
      <c r="AS260" s="13" t="n">
        <v>6475.039479</v>
      </c>
      <c r="AT260" s="13" t="n">
        <v>6510.070152</v>
      </c>
    </row>
    <row r="261" customFormat="false" ht="15" hidden="false" customHeight="true" outlineLevel="0" collapsed="false">
      <c r="A261" s="12" t="s">
        <v>836</v>
      </c>
      <c r="B261" s="12" t="s">
        <v>837</v>
      </c>
      <c r="C261" s="12" t="n">
        <v>1</v>
      </c>
      <c r="D261" s="12" t="s">
        <v>838</v>
      </c>
      <c r="E261" s="13" t="n">
        <v>0</v>
      </c>
      <c r="F261" s="13" t="n">
        <v>0</v>
      </c>
      <c r="G261" s="13" t="n">
        <v>0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  <c r="V261" s="13" t="n">
        <v>0</v>
      </c>
      <c r="W261" s="13" t="n">
        <v>0</v>
      </c>
      <c r="X261" s="13" t="n">
        <v>0</v>
      </c>
      <c r="Y261" s="13" t="n">
        <v>0</v>
      </c>
      <c r="Z261" s="13" t="n">
        <v>0</v>
      </c>
      <c r="AA261" s="13" t="n">
        <v>0</v>
      </c>
      <c r="AB261" s="13" t="n">
        <v>21259.918302</v>
      </c>
      <c r="AC261" s="13" t="n">
        <v>26419.9408</v>
      </c>
      <c r="AD261" s="13" t="n">
        <v>33880.0431</v>
      </c>
      <c r="AE261" s="13" t="n">
        <v>33780.02292</v>
      </c>
      <c r="AF261" s="13" t="n">
        <v>33760.0318</v>
      </c>
      <c r="AG261" s="13" t="n">
        <v>33379.94358</v>
      </c>
      <c r="AH261" s="13" t="n">
        <v>33660.05745</v>
      </c>
      <c r="AI261" s="13" t="n">
        <v>0</v>
      </c>
      <c r="AJ261" s="13" t="n">
        <v>35599.93083</v>
      </c>
      <c r="AK261" s="13" t="n">
        <v>35140.03095</v>
      </c>
      <c r="AL261" s="13" t="n">
        <v>32879.99212</v>
      </c>
      <c r="AM261" s="13" t="n">
        <v>32419.94842</v>
      </c>
      <c r="AN261" s="13" t="n">
        <v>32460.036333</v>
      </c>
      <c r="AO261" s="13" t="n">
        <v>34511.43236</v>
      </c>
      <c r="AP261" s="13" t="n">
        <v>34407.6012</v>
      </c>
      <c r="AQ261" s="13" t="n">
        <v>34262.451987</v>
      </c>
      <c r="AR261" s="13" t="n">
        <v>34615.05832</v>
      </c>
      <c r="AS261" s="13" t="n">
        <v>33909.875397</v>
      </c>
      <c r="AT261" s="13" t="n">
        <v>34054.963312</v>
      </c>
    </row>
    <row r="262" customFormat="false" ht="15" hidden="false" customHeight="true" outlineLevel="0" collapsed="false">
      <c r="A262" s="12" t="s">
        <v>839</v>
      </c>
      <c r="B262" s="12" t="s">
        <v>840</v>
      </c>
      <c r="C262" s="12" t="n">
        <v>1</v>
      </c>
      <c r="D262" s="12" t="s">
        <v>841</v>
      </c>
      <c r="E262" s="13" t="n">
        <v>0</v>
      </c>
      <c r="F262" s="13" t="n">
        <v>0</v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0</v>
      </c>
      <c r="R262" s="13" t="n">
        <v>0</v>
      </c>
      <c r="S262" s="13" t="n">
        <v>0</v>
      </c>
      <c r="T262" s="13" t="n">
        <v>0</v>
      </c>
      <c r="U262" s="13" t="n">
        <v>0</v>
      </c>
      <c r="V262" s="13" t="n">
        <v>0</v>
      </c>
      <c r="W262" s="13" t="n">
        <v>0</v>
      </c>
      <c r="X262" s="13" t="n">
        <v>0</v>
      </c>
      <c r="Y262" s="13" t="n">
        <v>0</v>
      </c>
      <c r="Z262" s="13" t="n">
        <v>0</v>
      </c>
      <c r="AA262" s="13" t="n">
        <v>0</v>
      </c>
      <c r="AB262" s="13" t="n">
        <v>0</v>
      </c>
      <c r="AC262" s="13" t="n">
        <v>0</v>
      </c>
      <c r="AD262" s="13" t="n">
        <v>4019.9793</v>
      </c>
      <c r="AE262" s="13" t="n">
        <v>4019.93928</v>
      </c>
      <c r="AF262" s="13" t="n">
        <v>4500.0714</v>
      </c>
      <c r="AG262" s="13" t="n">
        <v>4260.0335</v>
      </c>
      <c r="AH262" s="13" t="n">
        <v>4200.024</v>
      </c>
      <c r="AI262" s="13" t="n">
        <v>4200.00168</v>
      </c>
      <c r="AJ262" s="13" t="n">
        <v>0</v>
      </c>
      <c r="AK262" s="13" t="n">
        <v>0</v>
      </c>
      <c r="AL262" s="13" t="n">
        <v>0</v>
      </c>
      <c r="AM262" s="13" t="n">
        <v>0</v>
      </c>
      <c r="AN262" s="13" t="n">
        <v>0</v>
      </c>
      <c r="AO262" s="13" t="n">
        <v>0</v>
      </c>
      <c r="AP262" s="13" t="n">
        <v>0</v>
      </c>
      <c r="AQ262" s="13" t="n">
        <v>0</v>
      </c>
      <c r="AR262" s="13" t="n">
        <v>0</v>
      </c>
      <c r="AS262" s="13" t="n">
        <v>0</v>
      </c>
      <c r="AT262" s="13" t="n">
        <v>0</v>
      </c>
    </row>
    <row r="263" customFormat="false" ht="15" hidden="false" customHeight="true" outlineLevel="0" collapsed="false">
      <c r="A263" s="12" t="s">
        <v>842</v>
      </c>
      <c r="B263" s="12" t="s">
        <v>843</v>
      </c>
      <c r="C263" s="12" t="n">
        <v>1</v>
      </c>
      <c r="D263" s="12" t="s">
        <v>844</v>
      </c>
      <c r="E263" s="13" t="n">
        <v>0</v>
      </c>
      <c r="F263" s="13" t="n">
        <v>0</v>
      </c>
      <c r="G263" s="13" t="n">
        <v>0</v>
      </c>
      <c r="H263" s="13" t="n">
        <v>0</v>
      </c>
      <c r="I263" s="13" t="n">
        <v>0</v>
      </c>
      <c r="J263" s="13" t="n">
        <v>0</v>
      </c>
      <c r="K263" s="13" t="n">
        <v>0</v>
      </c>
      <c r="L263" s="13" t="n">
        <v>0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  <c r="V263" s="13" t="n">
        <v>0</v>
      </c>
      <c r="W263" s="13" t="n">
        <v>0</v>
      </c>
      <c r="X263" s="13" t="n">
        <v>0</v>
      </c>
      <c r="Y263" s="13" t="n">
        <v>0</v>
      </c>
      <c r="Z263" s="13" t="n">
        <v>0</v>
      </c>
      <c r="AA263" s="13" t="n">
        <v>0</v>
      </c>
      <c r="AB263" s="13" t="n">
        <v>0</v>
      </c>
      <c r="AC263" s="13" t="n">
        <v>0</v>
      </c>
      <c r="AD263" s="13" t="n">
        <v>0</v>
      </c>
      <c r="AE263" s="13" t="n">
        <v>0</v>
      </c>
      <c r="AF263" s="13" t="n">
        <v>0</v>
      </c>
      <c r="AG263" s="13" t="n">
        <v>0</v>
      </c>
      <c r="AH263" s="13" t="n">
        <v>0</v>
      </c>
      <c r="AI263" s="13" t="n">
        <v>0</v>
      </c>
      <c r="AJ263" s="13" t="n">
        <v>0</v>
      </c>
      <c r="AK263" s="13" t="n">
        <v>0</v>
      </c>
      <c r="AL263" s="13" t="n">
        <v>0</v>
      </c>
      <c r="AM263" s="13" t="n">
        <v>0</v>
      </c>
      <c r="AN263" s="13" t="n">
        <v>0</v>
      </c>
      <c r="AO263" s="13" t="n">
        <v>1520.068434</v>
      </c>
      <c r="AP263" s="13" t="n">
        <v>1440.0132</v>
      </c>
      <c r="AQ263" s="13" t="n">
        <v>1360.039303</v>
      </c>
      <c r="AR263" s="13" t="n">
        <v>1280.083522</v>
      </c>
      <c r="AS263" s="13" t="n">
        <v>1280.052315</v>
      </c>
      <c r="AT263" s="13" t="n">
        <v>1559.917608</v>
      </c>
    </row>
    <row r="264" customFormat="false" ht="15" hidden="false" customHeight="true" outlineLevel="0" collapsed="false">
      <c r="A264" s="12" t="s">
        <v>845</v>
      </c>
      <c r="B264" s="12" t="s">
        <v>846</v>
      </c>
      <c r="C264" s="12" t="n">
        <v>1</v>
      </c>
      <c r="D264" s="12" t="s">
        <v>847</v>
      </c>
      <c r="E264" s="13" t="n">
        <v>0</v>
      </c>
      <c r="F264" s="13" t="n">
        <v>0</v>
      </c>
      <c r="G264" s="13" t="n">
        <v>0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  <c r="M264" s="13" t="n">
        <v>0</v>
      </c>
      <c r="N264" s="13" t="n">
        <v>0</v>
      </c>
      <c r="O264" s="13" t="n">
        <v>0</v>
      </c>
      <c r="P264" s="13" t="n">
        <v>0</v>
      </c>
      <c r="Q264" s="13" t="n">
        <v>0</v>
      </c>
      <c r="R264" s="13" t="n">
        <v>0</v>
      </c>
      <c r="S264" s="13" t="n">
        <v>0</v>
      </c>
      <c r="T264" s="13" t="n">
        <v>0</v>
      </c>
      <c r="U264" s="13" t="n">
        <v>0</v>
      </c>
      <c r="V264" s="13" t="n">
        <v>0</v>
      </c>
      <c r="W264" s="13" t="n">
        <v>0</v>
      </c>
      <c r="X264" s="13" t="n">
        <v>0</v>
      </c>
      <c r="Y264" s="13" t="n">
        <v>0</v>
      </c>
      <c r="Z264" s="13" t="n">
        <v>0</v>
      </c>
      <c r="AA264" s="13" t="n">
        <v>2160.08856</v>
      </c>
      <c r="AB264" s="13" t="n">
        <v>3852.010744</v>
      </c>
      <c r="AC264" s="13" t="n">
        <v>4248.0856</v>
      </c>
      <c r="AD264" s="13" t="n">
        <v>3275.9721</v>
      </c>
      <c r="AE264" s="13" t="n">
        <v>3671.91468</v>
      </c>
      <c r="AF264" s="13" t="n">
        <v>3563.9516</v>
      </c>
      <c r="AG264" s="13" t="n">
        <v>3167.95968</v>
      </c>
      <c r="AH264" s="13" t="n">
        <v>2844.081</v>
      </c>
      <c r="AI264" s="13" t="n">
        <v>2915.97861</v>
      </c>
      <c r="AJ264" s="13" t="n">
        <v>2807.96535</v>
      </c>
      <c r="AK264" s="13" t="n">
        <v>2627.92125</v>
      </c>
      <c r="AL264" s="13" t="n">
        <v>2051.960521</v>
      </c>
      <c r="AM264" s="13" t="n">
        <v>1547.991087</v>
      </c>
      <c r="AN264" s="13" t="n">
        <v>1187.976798</v>
      </c>
      <c r="AO264" s="13" t="n">
        <v>1194.573458</v>
      </c>
      <c r="AP264" s="13" t="n">
        <v>1231.90584</v>
      </c>
      <c r="AQ264" s="13" t="n">
        <v>1269.140657</v>
      </c>
      <c r="AR264" s="13" t="n">
        <v>1194.475634</v>
      </c>
      <c r="AS264" s="13" t="n">
        <v>1194.542397</v>
      </c>
      <c r="AT264" s="13" t="n">
        <v>0</v>
      </c>
    </row>
    <row r="265" customFormat="false" ht="15" hidden="false" customHeight="true" outlineLevel="0" collapsed="false">
      <c r="A265" s="12" t="s">
        <v>848</v>
      </c>
      <c r="B265" s="12" t="s">
        <v>849</v>
      </c>
      <c r="C265" s="12" t="n">
        <v>1</v>
      </c>
      <c r="D265" s="12" t="s">
        <v>850</v>
      </c>
      <c r="E265" s="13" t="n">
        <v>1002.540456</v>
      </c>
      <c r="F265" s="13" t="n">
        <v>802.537386</v>
      </c>
      <c r="G265" s="13" t="n">
        <v>1002.575617</v>
      </c>
      <c r="H265" s="13" t="n">
        <v>802.541763</v>
      </c>
      <c r="I265" s="13" t="n">
        <v>802.41322</v>
      </c>
      <c r="J265" s="13" t="n">
        <v>1002.4409</v>
      </c>
      <c r="K265" s="13" t="n">
        <v>1002.472188</v>
      </c>
      <c r="L265" s="13" t="n">
        <v>802.473112</v>
      </c>
      <c r="M265" s="13" t="n">
        <v>1002.419055</v>
      </c>
      <c r="N265" s="13" t="n">
        <v>1002.582222</v>
      </c>
      <c r="O265" s="13" t="n">
        <v>1002.532254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0</v>
      </c>
      <c r="U265" s="13" t="n">
        <v>0</v>
      </c>
      <c r="V265" s="13" t="n">
        <v>0</v>
      </c>
      <c r="W265" s="13" t="n">
        <v>0</v>
      </c>
      <c r="X265" s="13" t="n">
        <v>0</v>
      </c>
      <c r="Y265" s="13" t="n">
        <v>0</v>
      </c>
      <c r="Z265" s="13" t="n">
        <v>0</v>
      </c>
      <c r="AA265" s="13" t="n">
        <v>0</v>
      </c>
      <c r="AB265" s="13" t="n">
        <v>0</v>
      </c>
      <c r="AC265" s="13" t="n">
        <v>0</v>
      </c>
      <c r="AD265" s="13" t="n">
        <v>0</v>
      </c>
      <c r="AE265" s="13" t="n">
        <v>0</v>
      </c>
      <c r="AF265" s="13" t="n">
        <v>0</v>
      </c>
      <c r="AG265" s="13" t="n">
        <v>0</v>
      </c>
      <c r="AH265" s="13" t="n">
        <v>0</v>
      </c>
      <c r="AI265" s="13" t="n">
        <v>0</v>
      </c>
      <c r="AJ265" s="13" t="n">
        <v>0</v>
      </c>
      <c r="AK265" s="13" t="n">
        <v>0</v>
      </c>
      <c r="AL265" s="13" t="n">
        <v>0</v>
      </c>
      <c r="AM265" s="13" t="n">
        <v>0</v>
      </c>
      <c r="AN265" s="13" t="n">
        <v>0</v>
      </c>
      <c r="AO265" s="13" t="n">
        <v>0</v>
      </c>
      <c r="AP265" s="13" t="n">
        <v>0</v>
      </c>
      <c r="AQ265" s="13" t="n">
        <v>0</v>
      </c>
      <c r="AR265" s="13" t="n">
        <v>0</v>
      </c>
      <c r="AS265" s="13" t="n">
        <v>0</v>
      </c>
      <c r="AT265" s="13" t="n">
        <v>0</v>
      </c>
    </row>
    <row r="266" customFormat="false" ht="15" hidden="false" customHeight="true" outlineLevel="0" collapsed="false">
      <c r="A266" s="12" t="s">
        <v>851</v>
      </c>
      <c r="B266" s="12" t="s">
        <v>852</v>
      </c>
      <c r="C266" s="12" t="n">
        <v>1</v>
      </c>
      <c r="D266" s="12" t="s">
        <v>853</v>
      </c>
      <c r="E266" s="13" t="n">
        <v>0</v>
      </c>
      <c r="F266" s="13" t="n">
        <v>0</v>
      </c>
      <c r="G266" s="13" t="n">
        <v>0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  <c r="M266" s="13" t="n">
        <v>0</v>
      </c>
      <c r="N266" s="13" t="n">
        <v>0</v>
      </c>
      <c r="O266" s="13" t="n">
        <v>0</v>
      </c>
      <c r="P266" s="13" t="n">
        <v>0</v>
      </c>
      <c r="Q266" s="13" t="n">
        <v>0</v>
      </c>
      <c r="R266" s="13" t="n">
        <v>0</v>
      </c>
      <c r="S266" s="13" t="n">
        <v>0</v>
      </c>
      <c r="T266" s="13" t="n">
        <v>1350.0032</v>
      </c>
      <c r="U266" s="13" t="n">
        <v>0</v>
      </c>
      <c r="V266" s="13" t="n">
        <v>810.085692</v>
      </c>
      <c r="W266" s="13" t="n">
        <v>810.01728</v>
      </c>
      <c r="X266" s="13" t="n">
        <v>810.04733</v>
      </c>
      <c r="Y266" s="13" t="n">
        <v>809.939636</v>
      </c>
      <c r="Z266" s="13" t="n">
        <v>810.075024</v>
      </c>
      <c r="AA266" s="13" t="n">
        <v>0</v>
      </c>
      <c r="AB266" s="13" t="n">
        <v>0</v>
      </c>
      <c r="AC266" s="13" t="n">
        <v>0</v>
      </c>
      <c r="AD266" s="13" t="n">
        <v>0</v>
      </c>
      <c r="AE266" s="13" t="n">
        <v>0</v>
      </c>
      <c r="AF266" s="13" t="n">
        <v>0</v>
      </c>
      <c r="AG266" s="13" t="n">
        <v>0</v>
      </c>
      <c r="AH266" s="13" t="n">
        <v>0</v>
      </c>
      <c r="AI266" s="13" t="n">
        <v>0</v>
      </c>
      <c r="AJ266" s="13" t="n">
        <v>0</v>
      </c>
      <c r="AK266" s="13" t="n">
        <v>0</v>
      </c>
      <c r="AL266" s="13" t="n">
        <v>0</v>
      </c>
      <c r="AM266" s="13" t="n">
        <v>0</v>
      </c>
      <c r="AN266" s="13" t="n">
        <v>0</v>
      </c>
      <c r="AO266" s="13" t="n">
        <v>0</v>
      </c>
      <c r="AP266" s="13" t="n">
        <v>0</v>
      </c>
      <c r="AQ266" s="13" t="n">
        <v>0</v>
      </c>
      <c r="AR266" s="13" t="n">
        <v>0</v>
      </c>
      <c r="AS266" s="13" t="n">
        <v>0</v>
      </c>
      <c r="AT266" s="13" t="n">
        <v>0</v>
      </c>
    </row>
    <row r="267" customFormat="false" ht="15" hidden="false" customHeight="true" outlineLevel="0" collapsed="false">
      <c r="A267" s="12" t="s">
        <v>854</v>
      </c>
      <c r="B267" s="12" t="s">
        <v>855</v>
      </c>
      <c r="C267" s="12" t="n">
        <v>1</v>
      </c>
      <c r="D267" s="12" t="s">
        <v>856</v>
      </c>
      <c r="E267" s="13" t="n">
        <v>0</v>
      </c>
      <c r="F267" s="13" t="n">
        <v>0</v>
      </c>
      <c r="G267" s="13" t="n">
        <v>0</v>
      </c>
      <c r="H267" s="13" t="n">
        <v>0</v>
      </c>
      <c r="I267" s="13" t="n">
        <v>0</v>
      </c>
      <c r="J267" s="13" t="n">
        <v>0</v>
      </c>
      <c r="K267" s="13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  <c r="V267" s="13" t="n">
        <v>0</v>
      </c>
      <c r="W267" s="13" t="n">
        <v>0</v>
      </c>
      <c r="X267" s="13" t="n">
        <v>0</v>
      </c>
      <c r="Y267" s="13" t="n">
        <v>0</v>
      </c>
      <c r="Z267" s="13" t="n">
        <v>0</v>
      </c>
      <c r="AA267" s="13" t="n">
        <v>0</v>
      </c>
      <c r="AB267" s="13" t="n">
        <v>0</v>
      </c>
      <c r="AC267" s="13" t="n">
        <v>0</v>
      </c>
      <c r="AD267" s="13" t="n">
        <v>0</v>
      </c>
      <c r="AE267" s="13" t="n">
        <v>0</v>
      </c>
      <c r="AF267" s="13" t="n">
        <v>0</v>
      </c>
      <c r="AG267" s="13" t="n">
        <v>0</v>
      </c>
      <c r="AH267" s="13" t="n">
        <v>0</v>
      </c>
      <c r="AI267" s="13" t="n">
        <v>1494.92541</v>
      </c>
      <c r="AJ267" s="13" t="n">
        <v>1495.03419</v>
      </c>
      <c r="AK267" s="13" t="n">
        <v>1429.99275</v>
      </c>
      <c r="AL267" s="13" t="n">
        <v>1429.981284</v>
      </c>
      <c r="AM267" s="13" t="n">
        <v>1430.043668</v>
      </c>
      <c r="AN267" s="13" t="n">
        <v>1430.032016</v>
      </c>
      <c r="AO267" s="13" t="n">
        <v>1482.829602</v>
      </c>
      <c r="AP267" s="13" t="n">
        <v>1482.80808</v>
      </c>
      <c r="AQ267" s="13" t="n">
        <v>1482.806797</v>
      </c>
      <c r="AR267" s="13" t="n">
        <v>1482.875978</v>
      </c>
      <c r="AS267" s="13" t="n">
        <v>1482.748902</v>
      </c>
      <c r="AT267" s="13" t="n">
        <v>1482.735552</v>
      </c>
    </row>
    <row r="268" customFormat="false" ht="15" hidden="false" customHeight="true" outlineLevel="0" collapsed="false">
      <c r="A268" s="12" t="s">
        <v>857</v>
      </c>
      <c r="B268" s="12" t="s">
        <v>858</v>
      </c>
      <c r="C268" s="12" t="n">
        <v>1</v>
      </c>
      <c r="D268" s="12" t="s">
        <v>859</v>
      </c>
      <c r="E268" s="13" t="n">
        <v>0</v>
      </c>
      <c r="F268" s="13" t="n">
        <v>0</v>
      </c>
      <c r="G268" s="13" t="n">
        <v>0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0</v>
      </c>
      <c r="M268" s="13" t="n">
        <v>0</v>
      </c>
      <c r="N268" s="13" t="n">
        <v>0</v>
      </c>
      <c r="O268" s="13" t="n">
        <v>0</v>
      </c>
      <c r="P268" s="13" t="n">
        <v>0</v>
      </c>
      <c r="Q268" s="13" t="n">
        <v>0</v>
      </c>
      <c r="R268" s="13" t="n">
        <v>0</v>
      </c>
      <c r="S268" s="13" t="n">
        <v>0</v>
      </c>
      <c r="T268" s="13" t="n">
        <v>0</v>
      </c>
      <c r="U268" s="13" t="n">
        <v>0</v>
      </c>
      <c r="V268" s="13" t="n">
        <v>0</v>
      </c>
      <c r="W268" s="13" t="n">
        <v>0</v>
      </c>
      <c r="X268" s="13" t="n">
        <v>0</v>
      </c>
      <c r="Y268" s="13" t="n">
        <v>0</v>
      </c>
      <c r="Z268" s="13" t="n">
        <v>0</v>
      </c>
      <c r="AA268" s="13" t="n">
        <v>0</v>
      </c>
      <c r="AB268" s="13" t="n">
        <v>0</v>
      </c>
      <c r="AC268" s="13" t="n">
        <v>0</v>
      </c>
      <c r="AD268" s="13" t="n">
        <v>0</v>
      </c>
      <c r="AE268" s="13" t="n">
        <v>0</v>
      </c>
      <c r="AF268" s="13" t="n">
        <v>0</v>
      </c>
      <c r="AG268" s="13" t="n">
        <v>0</v>
      </c>
      <c r="AH268" s="13" t="n">
        <v>0</v>
      </c>
      <c r="AI268" s="13" t="n">
        <v>0</v>
      </c>
      <c r="AJ268" s="13" t="n">
        <v>0</v>
      </c>
      <c r="AK268" s="13" t="n">
        <v>0</v>
      </c>
      <c r="AL268" s="13" t="n">
        <v>1690.044856</v>
      </c>
      <c r="AM268" s="13" t="n">
        <v>1755.086944</v>
      </c>
      <c r="AN268" s="13" t="n">
        <v>1560.051275</v>
      </c>
      <c r="AO268" s="13" t="n">
        <v>2275.016792</v>
      </c>
      <c r="AP268" s="13" t="n">
        <v>1690.05264</v>
      </c>
      <c r="AQ268" s="13" t="n">
        <v>1754.959516</v>
      </c>
      <c r="AR268" s="13" t="n">
        <v>1820.04475</v>
      </c>
      <c r="AS268" s="13" t="n">
        <v>2145.018024</v>
      </c>
      <c r="AT268" s="13" t="n">
        <v>2909.991032</v>
      </c>
    </row>
    <row r="269" customFormat="false" ht="15" hidden="false" customHeight="true" outlineLevel="0" collapsed="false">
      <c r="A269" s="12" t="s">
        <v>860</v>
      </c>
      <c r="B269" s="12" t="s">
        <v>861</v>
      </c>
      <c r="C269" s="12" t="n">
        <v>1</v>
      </c>
      <c r="D269" s="12" t="s">
        <v>862</v>
      </c>
      <c r="E269" s="13" t="n">
        <v>0</v>
      </c>
      <c r="F269" s="13" t="n">
        <v>0</v>
      </c>
      <c r="G269" s="13" t="n">
        <v>0</v>
      </c>
      <c r="H269" s="13" t="n">
        <v>0</v>
      </c>
      <c r="I269" s="13" t="n">
        <v>0</v>
      </c>
      <c r="J269" s="13" t="n">
        <v>0</v>
      </c>
      <c r="K269" s="13" t="n">
        <v>0</v>
      </c>
      <c r="L269" s="13" t="n">
        <v>0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3" t="n">
        <v>0</v>
      </c>
      <c r="U269" s="13" t="n">
        <v>0</v>
      </c>
      <c r="V269" s="13" t="n">
        <v>0</v>
      </c>
      <c r="W269" s="13" t="n">
        <v>0</v>
      </c>
      <c r="X269" s="13" t="n">
        <v>0</v>
      </c>
      <c r="Y269" s="13" t="n">
        <v>0</v>
      </c>
      <c r="Z269" s="13" t="n">
        <v>0</v>
      </c>
      <c r="AA269" s="13" t="n">
        <v>0</v>
      </c>
      <c r="AB269" s="13" t="n">
        <v>0</v>
      </c>
      <c r="AC269" s="13" t="n">
        <v>0</v>
      </c>
      <c r="AD269" s="13" t="n">
        <v>0</v>
      </c>
      <c r="AE269" s="13" t="n">
        <v>0</v>
      </c>
      <c r="AF269" s="13" t="n">
        <v>0</v>
      </c>
      <c r="AG269" s="13" t="n">
        <v>0</v>
      </c>
      <c r="AH269" s="13" t="n">
        <v>0</v>
      </c>
      <c r="AI269" s="13" t="n">
        <v>0</v>
      </c>
      <c r="AJ269" s="13" t="n">
        <v>0</v>
      </c>
      <c r="AK269" s="13" t="n">
        <v>0</v>
      </c>
      <c r="AL269" s="13" t="n">
        <v>0</v>
      </c>
      <c r="AM269" s="13" t="n">
        <v>0</v>
      </c>
      <c r="AN269" s="13" t="n">
        <v>0</v>
      </c>
      <c r="AO269" s="13" t="n">
        <v>0</v>
      </c>
      <c r="AP269" s="13" t="n">
        <v>0</v>
      </c>
      <c r="AQ269" s="13" t="n">
        <v>0</v>
      </c>
      <c r="AR269" s="13" t="n">
        <v>0</v>
      </c>
      <c r="AS269" s="13" t="n">
        <v>0</v>
      </c>
      <c r="AT269" s="13" t="n">
        <v>0</v>
      </c>
    </row>
    <row r="270" customFormat="false" ht="15" hidden="false" customHeight="true" outlineLevel="0" collapsed="false">
      <c r="A270" s="12" t="s">
        <v>863</v>
      </c>
      <c r="B270" s="12" t="s">
        <v>864</v>
      </c>
      <c r="C270" s="12" t="n">
        <v>1</v>
      </c>
      <c r="D270" s="12" t="s">
        <v>865</v>
      </c>
      <c r="E270" s="13" t="n">
        <v>0</v>
      </c>
      <c r="F270" s="13" t="n">
        <v>0</v>
      </c>
      <c r="G270" s="13" t="n">
        <v>0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0</v>
      </c>
      <c r="M270" s="13" t="n">
        <v>0</v>
      </c>
      <c r="N270" s="13" t="n">
        <v>0</v>
      </c>
      <c r="O270" s="13" t="n">
        <v>0</v>
      </c>
      <c r="P270" s="13" t="n">
        <v>0</v>
      </c>
      <c r="Q270" s="13" t="n">
        <v>0</v>
      </c>
      <c r="R270" s="13" t="n">
        <v>0</v>
      </c>
      <c r="S270" s="13" t="n">
        <v>0</v>
      </c>
      <c r="T270" s="13" t="n">
        <v>0</v>
      </c>
      <c r="U270" s="13" t="n">
        <v>0</v>
      </c>
      <c r="V270" s="13" t="n">
        <v>0</v>
      </c>
      <c r="W270" s="13" t="n">
        <v>0</v>
      </c>
      <c r="X270" s="13" t="n">
        <v>0</v>
      </c>
      <c r="Y270" s="13" t="n">
        <v>0</v>
      </c>
      <c r="Z270" s="13" t="n">
        <v>0</v>
      </c>
      <c r="AA270" s="13" t="n">
        <v>0</v>
      </c>
      <c r="AB270" s="13" t="n">
        <v>0</v>
      </c>
      <c r="AC270" s="13" t="n">
        <v>0</v>
      </c>
      <c r="AD270" s="13" t="n">
        <v>0</v>
      </c>
      <c r="AE270" s="13" t="n">
        <v>0</v>
      </c>
      <c r="AF270" s="13" t="n">
        <v>0</v>
      </c>
      <c r="AG270" s="13" t="n">
        <v>0</v>
      </c>
      <c r="AH270" s="13" t="n">
        <v>0</v>
      </c>
      <c r="AI270" s="13" t="n">
        <v>0</v>
      </c>
      <c r="AJ270" s="13" t="n">
        <v>0</v>
      </c>
      <c r="AK270" s="13" t="n">
        <v>0</v>
      </c>
      <c r="AL270" s="13" t="n">
        <v>0</v>
      </c>
      <c r="AM270" s="13" t="n">
        <v>930.00531</v>
      </c>
      <c r="AN270" s="13" t="n">
        <v>929.916443</v>
      </c>
      <c r="AO270" s="13" t="n">
        <v>929.936388</v>
      </c>
      <c r="AP270" s="13" t="n">
        <v>1425.00048</v>
      </c>
      <c r="AQ270" s="13" t="n">
        <v>1155.064667</v>
      </c>
      <c r="AR270" s="13" t="n">
        <v>0</v>
      </c>
      <c r="AS270" s="13" t="n">
        <v>0</v>
      </c>
      <c r="AT270" s="13" t="n">
        <v>0</v>
      </c>
    </row>
    <row r="271" customFormat="false" ht="15" hidden="false" customHeight="true" outlineLevel="0" collapsed="false">
      <c r="A271" s="12" t="s">
        <v>866</v>
      </c>
      <c r="B271" s="12" t="s">
        <v>867</v>
      </c>
      <c r="C271" s="12" t="n">
        <v>1</v>
      </c>
      <c r="D271" s="12" t="s">
        <v>868</v>
      </c>
      <c r="E271" s="13" t="n">
        <v>15023.833128</v>
      </c>
      <c r="F271" s="13" t="n">
        <v>15023.698614</v>
      </c>
      <c r="G271" s="13" t="n">
        <v>15023.792009</v>
      </c>
      <c r="H271" s="13" t="n">
        <v>15023.711682</v>
      </c>
      <c r="I271" s="13" t="n">
        <v>21164.97425</v>
      </c>
      <c r="J271" s="13" t="n">
        <v>21165.017125</v>
      </c>
      <c r="K271" s="13" t="n">
        <v>21165.0633</v>
      </c>
      <c r="L271" s="13" t="n">
        <v>21165.060868</v>
      </c>
      <c r="M271" s="13" t="n">
        <v>21165.019875</v>
      </c>
      <c r="N271" s="13" t="n">
        <v>21164.982276</v>
      </c>
      <c r="O271" s="13" t="n">
        <v>21165.028684</v>
      </c>
      <c r="P271" s="13" t="n">
        <v>21164.962483</v>
      </c>
      <c r="Q271" s="13" t="n">
        <v>21164.939496</v>
      </c>
      <c r="R271" s="13" t="n">
        <v>21164.965659</v>
      </c>
      <c r="S271" s="13" t="n">
        <v>21165.058395</v>
      </c>
      <c r="T271" s="13" t="n">
        <v>21164.91776</v>
      </c>
      <c r="U271" s="13" t="n">
        <v>9753.705878</v>
      </c>
      <c r="V271" s="13" t="n">
        <v>9753.822312</v>
      </c>
      <c r="W271" s="13" t="n">
        <v>9753.770576</v>
      </c>
      <c r="X271" s="13" t="n">
        <v>9753.683726</v>
      </c>
      <c r="Y271" s="13" t="n">
        <v>9753.728582</v>
      </c>
      <c r="Z271" s="13" t="n">
        <v>9753.776384</v>
      </c>
      <c r="AA271" s="13" t="n">
        <v>9753.66519</v>
      </c>
      <c r="AB271" s="13" t="n">
        <v>9753.665154</v>
      </c>
      <c r="AC271" s="13" t="n">
        <v>9753.722</v>
      </c>
      <c r="AD271" s="13" t="n">
        <v>9753.803</v>
      </c>
      <c r="AE271" s="13" t="n">
        <v>9753.67008</v>
      </c>
      <c r="AF271" s="13" t="n">
        <v>9753.777</v>
      </c>
      <c r="AG271" s="13" t="n">
        <v>0</v>
      </c>
      <c r="AH271" s="13" t="n">
        <v>0</v>
      </c>
      <c r="AI271" s="13" t="n">
        <v>0</v>
      </c>
      <c r="AJ271" s="13" t="n">
        <v>0</v>
      </c>
      <c r="AK271" s="13" t="n">
        <v>0</v>
      </c>
      <c r="AL271" s="13" t="n">
        <v>0</v>
      </c>
      <c r="AM271" s="13" t="n">
        <v>0</v>
      </c>
      <c r="AN271" s="13" t="n">
        <v>0</v>
      </c>
      <c r="AO271" s="13" t="n">
        <v>0</v>
      </c>
      <c r="AP271" s="13" t="n">
        <v>0</v>
      </c>
      <c r="AQ271" s="13" t="n">
        <v>0</v>
      </c>
      <c r="AR271" s="13" t="n">
        <v>0</v>
      </c>
      <c r="AS271" s="13" t="n">
        <v>14363.935254</v>
      </c>
      <c r="AT271" s="13" t="n">
        <v>14363.913152</v>
      </c>
    </row>
    <row r="272" customFormat="false" ht="15" hidden="false" customHeight="true" outlineLevel="0" collapsed="false">
      <c r="A272" s="12" t="s">
        <v>869</v>
      </c>
      <c r="B272" s="12" t="s">
        <v>870</v>
      </c>
      <c r="C272" s="12" t="n">
        <v>1</v>
      </c>
      <c r="D272" s="12" t="s">
        <v>871</v>
      </c>
      <c r="E272" s="13" t="n">
        <v>0</v>
      </c>
      <c r="F272" s="13" t="n">
        <v>0</v>
      </c>
      <c r="G272" s="13" t="n">
        <v>0</v>
      </c>
      <c r="H272" s="13" t="n">
        <v>0</v>
      </c>
      <c r="I272" s="13" t="n">
        <v>0</v>
      </c>
      <c r="J272" s="13" t="n">
        <v>0</v>
      </c>
      <c r="K272" s="13" t="n">
        <v>0</v>
      </c>
      <c r="L272" s="13" t="n">
        <v>0</v>
      </c>
      <c r="M272" s="13" t="n">
        <v>0</v>
      </c>
      <c r="N272" s="13" t="n">
        <v>0</v>
      </c>
      <c r="O272" s="13" t="n">
        <v>0</v>
      </c>
      <c r="P272" s="13" t="n">
        <v>0</v>
      </c>
      <c r="Q272" s="13" t="n">
        <v>0</v>
      </c>
      <c r="R272" s="13" t="n">
        <v>0</v>
      </c>
      <c r="S272" s="13" t="n">
        <v>0</v>
      </c>
      <c r="T272" s="13" t="n">
        <v>0</v>
      </c>
      <c r="U272" s="13" t="n">
        <v>0</v>
      </c>
      <c r="V272" s="13" t="n">
        <v>0</v>
      </c>
      <c r="W272" s="13" t="n">
        <v>0</v>
      </c>
      <c r="X272" s="13" t="n">
        <v>0</v>
      </c>
      <c r="Y272" s="13" t="n">
        <v>0</v>
      </c>
      <c r="Z272" s="13" t="n">
        <v>0</v>
      </c>
      <c r="AA272" s="13" t="n">
        <v>900.0369</v>
      </c>
      <c r="AB272" s="13" t="n">
        <v>900.070592</v>
      </c>
      <c r="AC272" s="13" t="n">
        <v>899.9936</v>
      </c>
      <c r="AD272" s="13" t="n">
        <v>900.0352</v>
      </c>
      <c r="AE272" s="13" t="n">
        <v>899.96508</v>
      </c>
      <c r="AF272" s="13" t="n">
        <v>900.0926</v>
      </c>
      <c r="AG272" s="13" t="n">
        <v>900.05872</v>
      </c>
      <c r="AH272" s="13" t="n">
        <v>900.0591</v>
      </c>
      <c r="AI272" s="13" t="n">
        <v>900.00036</v>
      </c>
      <c r="AJ272" s="13" t="n">
        <v>900.07731</v>
      </c>
      <c r="AK272" s="13" t="n">
        <v>900.0057</v>
      </c>
      <c r="AL272" s="13" t="n">
        <v>899.908366</v>
      </c>
      <c r="AM272" s="13" t="n">
        <v>899.922298</v>
      </c>
      <c r="AN272" s="13" t="n">
        <v>900.064165</v>
      </c>
      <c r="AO272" s="13" t="n">
        <v>933.384428</v>
      </c>
      <c r="AP272" s="13" t="n">
        <v>933.37704</v>
      </c>
      <c r="AQ272" s="13" t="n">
        <v>964.394798</v>
      </c>
      <c r="AR272" s="13" t="n">
        <v>964.492148</v>
      </c>
      <c r="AS272" s="13" t="n">
        <v>964.496484</v>
      </c>
      <c r="AT272" s="13" t="n">
        <v>964.33816</v>
      </c>
    </row>
    <row r="273" customFormat="false" ht="15" hidden="false" customHeight="true" outlineLevel="0" collapsed="false">
      <c r="A273" s="12" t="s">
        <v>872</v>
      </c>
      <c r="B273" s="12" t="s">
        <v>873</v>
      </c>
      <c r="C273" s="12" t="n">
        <v>1</v>
      </c>
      <c r="D273" s="12" t="s">
        <v>874</v>
      </c>
      <c r="E273" s="13" t="n">
        <v>0</v>
      </c>
      <c r="F273" s="13" t="n">
        <v>0</v>
      </c>
      <c r="G273" s="13" t="n">
        <v>0</v>
      </c>
      <c r="H273" s="13" t="n">
        <v>0</v>
      </c>
      <c r="I273" s="13" t="n">
        <v>0</v>
      </c>
      <c r="J273" s="13" t="n">
        <v>0</v>
      </c>
      <c r="K273" s="13" t="n">
        <v>0</v>
      </c>
      <c r="L273" s="13" t="n">
        <v>0</v>
      </c>
      <c r="M273" s="13" t="n">
        <v>0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  <c r="V273" s="13" t="n">
        <v>0</v>
      </c>
      <c r="W273" s="13" t="n">
        <v>0</v>
      </c>
      <c r="X273" s="13" t="n">
        <v>0</v>
      </c>
      <c r="Y273" s="13" t="n">
        <v>0</v>
      </c>
      <c r="Z273" s="13" t="n">
        <v>0</v>
      </c>
      <c r="AA273" s="13" t="n">
        <v>0</v>
      </c>
      <c r="AB273" s="13" t="n">
        <v>0</v>
      </c>
      <c r="AC273" s="13" t="n">
        <v>0</v>
      </c>
      <c r="AD273" s="13" t="n">
        <v>0</v>
      </c>
      <c r="AE273" s="13" t="n">
        <v>0</v>
      </c>
      <c r="AF273" s="13" t="n">
        <v>0</v>
      </c>
      <c r="AG273" s="13" t="n">
        <v>0</v>
      </c>
      <c r="AH273" s="13" t="n">
        <v>0</v>
      </c>
      <c r="AI273" s="13" t="n">
        <v>0</v>
      </c>
      <c r="AJ273" s="13" t="n">
        <v>0</v>
      </c>
      <c r="AK273" s="13" t="n">
        <v>0</v>
      </c>
      <c r="AL273" s="13" t="n">
        <v>0</v>
      </c>
      <c r="AM273" s="13" t="n">
        <v>0</v>
      </c>
      <c r="AN273" s="13" t="n">
        <v>0</v>
      </c>
      <c r="AO273" s="13" t="n">
        <v>0</v>
      </c>
      <c r="AP273" s="13" t="n">
        <v>0</v>
      </c>
      <c r="AQ273" s="13" t="n">
        <v>0</v>
      </c>
      <c r="AR273" s="13" t="n">
        <v>0</v>
      </c>
      <c r="AS273" s="13" t="n">
        <v>0</v>
      </c>
      <c r="AT273" s="13" t="n">
        <v>2499.928544</v>
      </c>
    </row>
    <row r="274" customFormat="false" ht="15" hidden="false" customHeight="true" outlineLevel="0" collapsed="false">
      <c r="A274" s="12" t="s">
        <v>875</v>
      </c>
      <c r="B274" s="12" t="s">
        <v>876</v>
      </c>
      <c r="C274" s="12" t="n">
        <v>1</v>
      </c>
      <c r="D274" s="12" t="s">
        <v>877</v>
      </c>
      <c r="E274" s="13" t="n">
        <v>0</v>
      </c>
      <c r="F274" s="13" t="n">
        <v>0</v>
      </c>
      <c r="G274" s="13" t="n">
        <v>0</v>
      </c>
      <c r="H274" s="13" t="n">
        <v>0</v>
      </c>
      <c r="I274" s="13" t="n">
        <v>0</v>
      </c>
      <c r="J274" s="13" t="n">
        <v>0</v>
      </c>
      <c r="K274" s="13" t="n">
        <v>0</v>
      </c>
      <c r="L274" s="13" t="n">
        <v>0</v>
      </c>
      <c r="M274" s="13" t="n">
        <v>0</v>
      </c>
      <c r="N274" s="13" t="n">
        <v>0</v>
      </c>
      <c r="O274" s="13" t="n">
        <v>0</v>
      </c>
      <c r="P274" s="13" t="n">
        <v>0</v>
      </c>
      <c r="Q274" s="13" t="n">
        <v>0</v>
      </c>
      <c r="R274" s="13" t="n">
        <v>0</v>
      </c>
      <c r="S274" s="13" t="n">
        <v>0</v>
      </c>
      <c r="T274" s="13" t="n">
        <v>0</v>
      </c>
      <c r="U274" s="13" t="n">
        <v>0</v>
      </c>
      <c r="V274" s="13" t="n">
        <v>0</v>
      </c>
      <c r="W274" s="13" t="n">
        <v>549.949232</v>
      </c>
      <c r="X274" s="13" t="n">
        <v>550.078652</v>
      </c>
      <c r="Y274" s="13" t="n">
        <v>550.065956</v>
      </c>
      <c r="Z274" s="13" t="n">
        <v>0</v>
      </c>
      <c r="AA274" s="13" t="n">
        <v>0</v>
      </c>
      <c r="AB274" s="13" t="n">
        <v>0</v>
      </c>
      <c r="AC274" s="13" t="n">
        <v>0</v>
      </c>
      <c r="AD274" s="13" t="n">
        <v>0</v>
      </c>
      <c r="AE274" s="13" t="n">
        <v>0</v>
      </c>
      <c r="AF274" s="13" t="n">
        <v>0</v>
      </c>
      <c r="AG274" s="13" t="n">
        <v>0</v>
      </c>
      <c r="AH274" s="13" t="n">
        <v>0</v>
      </c>
      <c r="AI274" s="13" t="n">
        <v>0</v>
      </c>
      <c r="AJ274" s="13" t="n">
        <v>0</v>
      </c>
      <c r="AK274" s="13" t="n">
        <v>0</v>
      </c>
      <c r="AL274" s="13" t="n">
        <v>0</v>
      </c>
      <c r="AM274" s="13" t="n">
        <v>0</v>
      </c>
      <c r="AN274" s="13" t="n">
        <v>0</v>
      </c>
      <c r="AO274" s="13" t="n">
        <v>0</v>
      </c>
      <c r="AP274" s="13" t="n">
        <v>0</v>
      </c>
      <c r="AQ274" s="13" t="n">
        <v>0</v>
      </c>
      <c r="AR274" s="13" t="n">
        <v>0</v>
      </c>
      <c r="AS274" s="13" t="n">
        <v>0</v>
      </c>
      <c r="AT274" s="13" t="n">
        <v>0</v>
      </c>
    </row>
    <row r="275" customFormat="false" ht="15" hidden="false" customHeight="true" outlineLevel="0" collapsed="false">
      <c r="A275" s="12" t="s">
        <v>878</v>
      </c>
      <c r="B275" s="12" t="s">
        <v>879</v>
      </c>
      <c r="C275" s="12" t="n">
        <v>1</v>
      </c>
      <c r="D275" s="12" t="s">
        <v>880</v>
      </c>
      <c r="E275" s="13" t="n">
        <v>0</v>
      </c>
      <c r="F275" s="13" t="n">
        <v>0</v>
      </c>
      <c r="G275" s="13" t="n">
        <v>0</v>
      </c>
      <c r="H275" s="13" t="n">
        <v>0</v>
      </c>
      <c r="I275" s="13" t="n">
        <v>0</v>
      </c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0</v>
      </c>
      <c r="W275" s="13" t="n">
        <v>0</v>
      </c>
      <c r="X275" s="13" t="n">
        <v>0</v>
      </c>
      <c r="Y275" s="13" t="n">
        <v>0</v>
      </c>
      <c r="Z275" s="13" t="n">
        <v>0</v>
      </c>
      <c r="AA275" s="13" t="n">
        <v>0</v>
      </c>
      <c r="AB275" s="13" t="n">
        <v>0</v>
      </c>
      <c r="AC275" s="13" t="n">
        <v>0</v>
      </c>
      <c r="AD275" s="13" t="n">
        <v>0</v>
      </c>
      <c r="AE275" s="13" t="n">
        <v>0</v>
      </c>
      <c r="AF275" s="13" t="n">
        <v>0</v>
      </c>
      <c r="AG275" s="13" t="n">
        <v>0</v>
      </c>
      <c r="AH275" s="13" t="n">
        <v>0</v>
      </c>
      <c r="AI275" s="13" t="n">
        <v>0</v>
      </c>
      <c r="AJ275" s="13" t="n">
        <v>764.94456</v>
      </c>
      <c r="AK275" s="13" t="n">
        <v>764.9865</v>
      </c>
      <c r="AL275" s="13" t="n">
        <v>765.087874</v>
      </c>
      <c r="AM275" s="13" t="n">
        <v>764.91561</v>
      </c>
      <c r="AN275" s="13" t="n">
        <v>765.009582</v>
      </c>
      <c r="AO275" s="13" t="n">
        <v>0</v>
      </c>
      <c r="AP275" s="13" t="n">
        <v>0</v>
      </c>
      <c r="AQ275" s="13" t="n">
        <v>0</v>
      </c>
      <c r="AR275" s="13" t="n">
        <v>0</v>
      </c>
      <c r="AS275" s="13" t="n">
        <v>0</v>
      </c>
      <c r="AT275" s="13" t="n">
        <v>0</v>
      </c>
    </row>
    <row r="276" customFormat="false" ht="15" hidden="false" customHeight="true" outlineLevel="0" collapsed="false">
      <c r="A276" s="12" t="s">
        <v>881</v>
      </c>
      <c r="B276" s="12" t="s">
        <v>882</v>
      </c>
      <c r="C276" s="12" t="n">
        <v>1</v>
      </c>
      <c r="D276" s="12" t="s">
        <v>883</v>
      </c>
      <c r="E276" s="13" t="n">
        <v>0</v>
      </c>
      <c r="F276" s="13" t="n">
        <v>0</v>
      </c>
      <c r="G276" s="13" t="n">
        <v>0</v>
      </c>
      <c r="H276" s="13" t="n">
        <v>0</v>
      </c>
      <c r="I276" s="13" t="n">
        <v>0</v>
      </c>
      <c r="J276" s="13" t="n">
        <v>2330.93169</v>
      </c>
      <c r="K276" s="13" t="n">
        <v>2404.965324</v>
      </c>
      <c r="L276" s="13" t="n">
        <v>2123.740402</v>
      </c>
      <c r="M276" s="13" t="n">
        <v>2330.92836</v>
      </c>
      <c r="N276" s="13" t="n">
        <v>2330.926878</v>
      </c>
      <c r="O276" s="13" t="n">
        <v>2515.967059</v>
      </c>
      <c r="P276" s="13" t="n">
        <v>2627.073624</v>
      </c>
      <c r="Q276" s="13" t="n">
        <v>2836.024974</v>
      </c>
      <c r="R276" s="13" t="n">
        <v>2564.145</v>
      </c>
      <c r="S276" s="13" t="n">
        <v>2525.238135</v>
      </c>
      <c r="T276" s="13" t="n">
        <v>2680.59904</v>
      </c>
      <c r="U276" s="13" t="n">
        <v>2525.322382</v>
      </c>
      <c r="V276" s="13" t="n">
        <v>2602.886208</v>
      </c>
      <c r="W276" s="13" t="n">
        <v>2525.303872</v>
      </c>
      <c r="X276" s="13" t="n">
        <v>2564.191438</v>
      </c>
      <c r="Y276" s="13" t="n">
        <v>2527.074664</v>
      </c>
      <c r="Z276" s="13" t="n">
        <v>2408.775424</v>
      </c>
      <c r="AA276" s="13" t="n">
        <v>2602.96386</v>
      </c>
      <c r="AB276" s="13" t="n">
        <v>2719.435406</v>
      </c>
      <c r="AC276" s="13" t="n">
        <v>2348.4208</v>
      </c>
      <c r="AD276" s="13" t="n">
        <v>971.6849</v>
      </c>
      <c r="AE276" s="13" t="n">
        <v>2226.9492</v>
      </c>
      <c r="AF276" s="13" t="n">
        <v>2071.3682</v>
      </c>
      <c r="AG276" s="13" t="n">
        <v>2108.3065</v>
      </c>
      <c r="AH276" s="13" t="n">
        <v>2148.7353</v>
      </c>
      <c r="AI276" s="13" t="n">
        <v>2267.48211</v>
      </c>
      <c r="AJ276" s="13" t="n">
        <v>2267.43435</v>
      </c>
      <c r="AK276" s="13" t="n">
        <v>2267.442</v>
      </c>
      <c r="AL276" s="13" t="n">
        <v>2388.82757</v>
      </c>
      <c r="AM276" s="13" t="n">
        <v>2267.415313</v>
      </c>
      <c r="AN276" s="13" t="n">
        <v>2267.514297</v>
      </c>
      <c r="AO276" s="13" t="n">
        <v>2350.873672</v>
      </c>
      <c r="AP276" s="13" t="n">
        <v>2350.95744</v>
      </c>
      <c r="AQ276" s="13" t="n">
        <v>2266.852887</v>
      </c>
      <c r="AR276" s="13" t="n">
        <v>2224.927958</v>
      </c>
      <c r="AS276" s="13" t="n">
        <v>2266.878312</v>
      </c>
      <c r="AT276" s="13" t="n">
        <v>2224.978408</v>
      </c>
    </row>
    <row r="277" customFormat="false" ht="15" hidden="false" customHeight="true" outlineLevel="0" collapsed="false">
      <c r="A277" s="12" t="s">
        <v>884</v>
      </c>
      <c r="B277" s="12" t="s">
        <v>885</v>
      </c>
      <c r="C277" s="12" t="n">
        <v>1</v>
      </c>
      <c r="D277" s="12" t="s">
        <v>886</v>
      </c>
      <c r="E277" s="13" t="n">
        <v>3145.851</v>
      </c>
      <c r="F277" s="13" t="n">
        <v>0</v>
      </c>
      <c r="G277" s="13" t="n">
        <v>0</v>
      </c>
      <c r="H277" s="13" t="n">
        <v>1925.991999</v>
      </c>
      <c r="I277" s="13" t="n">
        <v>2953.198787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</row>
    <row r="278" customFormat="false" ht="15" hidden="false" customHeight="true" outlineLevel="0" collapsed="false">
      <c r="A278" s="12" t="s">
        <v>887</v>
      </c>
      <c r="B278" s="12" t="s">
        <v>888</v>
      </c>
      <c r="C278" s="12" t="n">
        <v>1</v>
      </c>
      <c r="D278" s="12" t="s">
        <v>889</v>
      </c>
      <c r="E278" s="13" t="n">
        <v>0</v>
      </c>
      <c r="F278" s="13" t="n">
        <v>0</v>
      </c>
      <c r="G278" s="13" t="n">
        <v>0</v>
      </c>
      <c r="H278" s="13" t="n">
        <v>0</v>
      </c>
      <c r="I278" s="13" t="n">
        <v>0</v>
      </c>
      <c r="J278" s="13" t="n">
        <v>0</v>
      </c>
      <c r="K278" s="13" t="n">
        <v>0</v>
      </c>
      <c r="L278" s="13" t="n">
        <v>0</v>
      </c>
      <c r="M278" s="13" t="n">
        <v>0</v>
      </c>
      <c r="N278" s="13" t="n">
        <v>0</v>
      </c>
      <c r="O278" s="13" t="n">
        <v>0</v>
      </c>
      <c r="P278" s="13" t="n">
        <v>0</v>
      </c>
      <c r="Q278" s="13" t="n">
        <v>0</v>
      </c>
      <c r="R278" s="13" t="n">
        <v>0</v>
      </c>
      <c r="S278" s="13" t="n">
        <v>0</v>
      </c>
      <c r="T278" s="13" t="n">
        <v>0</v>
      </c>
      <c r="U278" s="13" t="n">
        <v>0</v>
      </c>
      <c r="V278" s="13" t="n">
        <v>0</v>
      </c>
      <c r="W278" s="13" t="n">
        <v>0</v>
      </c>
      <c r="X278" s="13" t="n">
        <v>0</v>
      </c>
      <c r="Y278" s="13" t="n">
        <v>0</v>
      </c>
      <c r="Z278" s="13" t="n">
        <v>0</v>
      </c>
      <c r="AA278" s="13" t="n">
        <v>0</v>
      </c>
      <c r="AB278" s="13" t="n">
        <v>0</v>
      </c>
      <c r="AC278" s="13" t="n">
        <v>0</v>
      </c>
      <c r="AD278" s="13" t="n">
        <v>0</v>
      </c>
      <c r="AE278" s="13" t="n">
        <v>0</v>
      </c>
      <c r="AF278" s="13" t="n">
        <v>0</v>
      </c>
      <c r="AG278" s="13" t="n">
        <v>0</v>
      </c>
      <c r="AH278" s="13" t="n">
        <v>0</v>
      </c>
      <c r="AI278" s="13" t="n">
        <v>0</v>
      </c>
      <c r="AJ278" s="13" t="n">
        <v>0</v>
      </c>
      <c r="AK278" s="13" t="n">
        <v>0</v>
      </c>
      <c r="AL278" s="13" t="n">
        <v>0</v>
      </c>
      <c r="AM278" s="13" t="n">
        <v>0</v>
      </c>
      <c r="AN278" s="13" t="n">
        <v>0</v>
      </c>
      <c r="AO278" s="13" t="n">
        <v>0</v>
      </c>
      <c r="AP278" s="13" t="n">
        <v>0</v>
      </c>
      <c r="AQ278" s="13" t="n">
        <v>0</v>
      </c>
      <c r="AR278" s="13" t="n">
        <v>0</v>
      </c>
      <c r="AS278" s="13" t="n">
        <v>0</v>
      </c>
      <c r="AT278" s="13" t="n">
        <v>0</v>
      </c>
    </row>
    <row r="279" customFormat="false" ht="15" hidden="false" customHeight="true" outlineLevel="0" collapsed="false">
      <c r="A279" s="12" t="s">
        <v>890</v>
      </c>
      <c r="B279" s="12" t="s">
        <v>891</v>
      </c>
      <c r="C279" s="12" t="n">
        <v>1</v>
      </c>
      <c r="D279" s="12" t="s">
        <v>892</v>
      </c>
      <c r="E279" s="13" t="n">
        <v>0</v>
      </c>
      <c r="F279" s="13" t="n">
        <v>0</v>
      </c>
      <c r="G279" s="13" t="n">
        <v>0</v>
      </c>
      <c r="H279" s="13" t="n">
        <v>0</v>
      </c>
      <c r="I279" s="13" t="n">
        <v>0</v>
      </c>
      <c r="J279" s="13" t="n">
        <v>0</v>
      </c>
      <c r="K279" s="13" t="n">
        <v>0</v>
      </c>
      <c r="L279" s="13" t="n">
        <v>0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0</v>
      </c>
      <c r="V279" s="13" t="n">
        <v>0</v>
      </c>
      <c r="W279" s="13" t="n">
        <v>0</v>
      </c>
      <c r="X279" s="13" t="n">
        <v>0</v>
      </c>
      <c r="Y279" s="13" t="n">
        <v>0</v>
      </c>
      <c r="Z279" s="13" t="n">
        <v>0</v>
      </c>
      <c r="AA279" s="13" t="n">
        <v>0</v>
      </c>
      <c r="AB279" s="13" t="n">
        <v>0</v>
      </c>
      <c r="AC279" s="13" t="n">
        <v>0</v>
      </c>
      <c r="AD279" s="13" t="n">
        <v>0</v>
      </c>
      <c r="AE279" s="13" t="n">
        <v>0</v>
      </c>
      <c r="AF279" s="13" t="n">
        <v>0</v>
      </c>
      <c r="AG279" s="13" t="n">
        <v>0</v>
      </c>
      <c r="AH279" s="13" t="n">
        <v>0</v>
      </c>
      <c r="AI279" s="13" t="n">
        <v>0</v>
      </c>
      <c r="AJ279" s="13" t="n">
        <v>0</v>
      </c>
      <c r="AK279" s="13" t="n">
        <v>0</v>
      </c>
      <c r="AL279" s="13" t="n">
        <v>0</v>
      </c>
      <c r="AM279" s="13" t="n">
        <v>0</v>
      </c>
      <c r="AN279" s="13" t="n">
        <v>1064.971026</v>
      </c>
      <c r="AO279" s="13" t="n">
        <v>1129.922708</v>
      </c>
      <c r="AP279" s="13" t="n">
        <v>1129.92288</v>
      </c>
      <c r="AQ279" s="13" t="n">
        <v>1130.076593</v>
      </c>
      <c r="AR279" s="13" t="n">
        <v>1065.011246</v>
      </c>
      <c r="AS279" s="13" t="n">
        <v>1065.065841</v>
      </c>
      <c r="AT279" s="13" t="n">
        <v>1064.97236</v>
      </c>
    </row>
    <row r="280" customFormat="false" ht="15" hidden="false" customHeight="true" outlineLevel="0" collapsed="false">
      <c r="A280" s="12" t="s">
        <v>893</v>
      </c>
      <c r="B280" s="12" t="s">
        <v>894</v>
      </c>
      <c r="C280" s="12" t="n">
        <v>1</v>
      </c>
      <c r="D280" s="12" t="s">
        <v>895</v>
      </c>
      <c r="E280" s="13" t="n">
        <v>0</v>
      </c>
      <c r="F280" s="13" t="n">
        <v>0</v>
      </c>
      <c r="G280" s="13" t="n">
        <v>0</v>
      </c>
      <c r="H280" s="13" t="n">
        <v>0</v>
      </c>
      <c r="I280" s="13" t="n">
        <v>0</v>
      </c>
      <c r="J280" s="13" t="n">
        <v>1079.933345</v>
      </c>
      <c r="K280" s="13" t="n">
        <v>1440.042036</v>
      </c>
      <c r="L280" s="13" t="n">
        <v>2099.96094</v>
      </c>
      <c r="M280" s="13" t="n">
        <v>2459.95434</v>
      </c>
      <c r="N280" s="13" t="n">
        <v>3420.053862</v>
      </c>
      <c r="O280" s="13" t="n">
        <v>2280.04675</v>
      </c>
      <c r="P280" s="13" t="n">
        <v>0</v>
      </c>
      <c r="Q280" s="13" t="n">
        <v>2160.069633</v>
      </c>
      <c r="R280" s="13" t="n">
        <v>1920.031776</v>
      </c>
      <c r="S280" s="13" t="n">
        <v>1619.97657</v>
      </c>
      <c r="T280" s="13" t="n">
        <v>1379.96544</v>
      </c>
      <c r="U280" s="13" t="n">
        <v>696.184618</v>
      </c>
      <c r="V280" s="13" t="n">
        <v>696.227844</v>
      </c>
      <c r="W280" s="13" t="n">
        <v>696.202352</v>
      </c>
      <c r="X280" s="13" t="n">
        <v>1499.926072</v>
      </c>
      <c r="Y280" s="13" t="n">
        <v>1080.050764</v>
      </c>
      <c r="Z280" s="13" t="n">
        <v>715.055088</v>
      </c>
      <c r="AA280" s="13" t="n">
        <v>787.58331</v>
      </c>
      <c r="AB280" s="13" t="n">
        <v>787.561768</v>
      </c>
      <c r="AC280" s="13" t="n">
        <v>820.5824</v>
      </c>
      <c r="AD280" s="13" t="n">
        <v>820.5841</v>
      </c>
      <c r="AE280" s="13" t="n">
        <v>820.5624</v>
      </c>
      <c r="AF280" s="13" t="n">
        <v>820.5978</v>
      </c>
      <c r="AG280" s="13" t="n">
        <v>1641.2949</v>
      </c>
      <c r="AH280" s="13" t="n">
        <v>820.7421</v>
      </c>
      <c r="AI280" s="13" t="n">
        <v>820.67702</v>
      </c>
      <c r="AJ280" s="13" t="n">
        <v>1000.72791</v>
      </c>
      <c r="AK280" s="13" t="n">
        <v>1000.71975</v>
      </c>
      <c r="AL280" s="13" t="n">
        <v>1000.655373</v>
      </c>
      <c r="AM280" s="13" t="n">
        <v>940.644424</v>
      </c>
      <c r="AN280" s="13" t="n">
        <v>940.706423</v>
      </c>
      <c r="AO280" s="13" t="n">
        <v>975.278114</v>
      </c>
      <c r="AP280" s="13" t="n">
        <v>975.30912</v>
      </c>
      <c r="AQ280" s="13" t="n">
        <v>975.440251</v>
      </c>
      <c r="AR280" s="13" t="n">
        <v>1099.745594</v>
      </c>
      <c r="AS280" s="13" t="n">
        <v>1286.456904</v>
      </c>
      <c r="AT280" s="13" t="n">
        <v>1286.3676</v>
      </c>
    </row>
    <row r="281" customFormat="false" ht="15" hidden="false" customHeight="true" outlineLevel="0" collapsed="false">
      <c r="A281" s="12" t="s">
        <v>896</v>
      </c>
      <c r="B281" s="12" t="s">
        <v>897</v>
      </c>
      <c r="C281" s="12" t="n">
        <v>1</v>
      </c>
      <c r="D281" s="12" t="s">
        <v>898</v>
      </c>
      <c r="E281" s="13" t="n">
        <v>0</v>
      </c>
      <c r="F281" s="13" t="n">
        <v>0</v>
      </c>
      <c r="G281" s="13" t="n">
        <v>0</v>
      </c>
      <c r="H281" s="13" t="n">
        <v>0</v>
      </c>
      <c r="I281" s="13" t="n">
        <v>0</v>
      </c>
      <c r="J281" s="13" t="n">
        <v>0</v>
      </c>
      <c r="K281" s="13" t="n">
        <v>0</v>
      </c>
      <c r="L281" s="13" t="n">
        <v>0</v>
      </c>
      <c r="M281" s="13" t="n">
        <v>0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10208.032188</v>
      </c>
      <c r="S281" s="13" t="n">
        <v>10031.978655</v>
      </c>
      <c r="T281" s="13" t="n">
        <v>9944.05888</v>
      </c>
      <c r="U281" s="13" t="n">
        <v>9460.040082</v>
      </c>
      <c r="V281" s="13" t="n">
        <v>9328.052916</v>
      </c>
      <c r="W281" s="13" t="n">
        <v>9944.087136</v>
      </c>
      <c r="X281" s="13" t="n">
        <v>9283.915764</v>
      </c>
      <c r="Y281" s="13" t="n">
        <v>9240.084316</v>
      </c>
      <c r="Z281" s="13" t="n">
        <v>9196.085536</v>
      </c>
      <c r="AA281" s="13" t="n">
        <v>8579.9436</v>
      </c>
      <c r="AB281" s="13" t="n">
        <v>8711.946762</v>
      </c>
      <c r="AC281" s="13" t="n">
        <v>8757.3596</v>
      </c>
      <c r="AD281" s="13" t="n">
        <v>8619.7258</v>
      </c>
      <c r="AE281" s="13" t="n">
        <v>8757.36036</v>
      </c>
      <c r="AF281" s="13" t="n">
        <v>8711.5336</v>
      </c>
      <c r="AG281" s="13" t="n">
        <v>8619.83766</v>
      </c>
      <c r="AH281" s="13" t="n">
        <v>8849.1333</v>
      </c>
      <c r="AI281" s="13" t="n">
        <v>8253.01082</v>
      </c>
      <c r="AJ281" s="13" t="n">
        <v>8252.97642</v>
      </c>
      <c r="AK281" s="13" t="n">
        <v>8298.9111</v>
      </c>
      <c r="AL281" s="13" t="n">
        <v>8252.966429</v>
      </c>
      <c r="AM281" s="13" t="n">
        <v>8023.726286</v>
      </c>
      <c r="AN281" s="13" t="n">
        <v>8115.503624</v>
      </c>
      <c r="AO281" s="13" t="n">
        <v>8176.854458</v>
      </c>
      <c r="AP281" s="13" t="n">
        <v>8034.22104</v>
      </c>
      <c r="AQ281" s="13" t="n">
        <v>7701.396836</v>
      </c>
      <c r="AR281" s="13" t="n">
        <v>7891.714036</v>
      </c>
      <c r="AS281" s="13" t="n">
        <v>7321.137615</v>
      </c>
      <c r="AT281" s="13" t="n">
        <v>7226.060608</v>
      </c>
    </row>
    <row r="282" customFormat="false" ht="15" hidden="false" customHeight="true" outlineLevel="0" collapsed="false">
      <c r="A282" s="12" t="s">
        <v>899</v>
      </c>
      <c r="B282" s="12" t="s">
        <v>900</v>
      </c>
      <c r="C282" s="12" t="n">
        <v>1</v>
      </c>
      <c r="D282" s="12" t="s">
        <v>901</v>
      </c>
      <c r="E282" s="13" t="n">
        <v>0</v>
      </c>
      <c r="F282" s="13" t="n">
        <v>0</v>
      </c>
      <c r="G282" s="13" t="n">
        <v>0</v>
      </c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v>0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v>0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22351.9083</v>
      </c>
      <c r="AI282" s="13" t="n">
        <v>22231.96378</v>
      </c>
      <c r="AJ282" s="13" t="n">
        <v>25572.52161</v>
      </c>
      <c r="AK282" s="13" t="n">
        <v>24683.5644</v>
      </c>
      <c r="AL282" s="13" t="n">
        <v>22818.552452</v>
      </c>
      <c r="AM282" s="13" t="n">
        <v>22456.418159</v>
      </c>
      <c r="AN282" s="13" t="n">
        <v>19957.506674</v>
      </c>
      <c r="AO282" s="13" t="n">
        <v>19987.081066</v>
      </c>
      <c r="AP282" s="13" t="n">
        <v>16083.97248</v>
      </c>
      <c r="AQ282" s="13" t="n">
        <v>16562.566237</v>
      </c>
      <c r="AR282" s="13" t="n">
        <v>16841.422278</v>
      </c>
      <c r="AS282" s="13" t="n">
        <v>16148.565324</v>
      </c>
      <c r="AT282" s="13" t="n">
        <v>15742.514184</v>
      </c>
    </row>
    <row r="283" customFormat="false" ht="15" hidden="false" customHeight="true" outlineLevel="0" collapsed="false">
      <c r="A283" s="12" t="s">
        <v>902</v>
      </c>
      <c r="B283" s="12" t="s">
        <v>903</v>
      </c>
      <c r="C283" s="12" t="n">
        <v>1</v>
      </c>
      <c r="D283" s="12" t="s">
        <v>904</v>
      </c>
      <c r="E283" s="13" t="n">
        <v>17067.603312</v>
      </c>
      <c r="F283" s="13" t="n">
        <v>17568.410142</v>
      </c>
      <c r="G283" s="13" t="n">
        <v>17735.216949</v>
      </c>
      <c r="H283" s="13" t="n">
        <v>17359.723332</v>
      </c>
      <c r="I283" s="13" t="n">
        <v>20280.729021</v>
      </c>
      <c r="J283" s="13" t="n">
        <v>19946.86326</v>
      </c>
      <c r="K283" s="13" t="n">
        <v>21365.824752</v>
      </c>
      <c r="L283" s="13" t="n">
        <v>19112.32393</v>
      </c>
      <c r="M283" s="13" t="n">
        <v>19529.633205</v>
      </c>
      <c r="N283" s="13" t="n">
        <v>18319.484454</v>
      </c>
      <c r="O283" s="13" t="n">
        <v>18486.44697</v>
      </c>
      <c r="P283" s="13" t="n">
        <v>18152.489985</v>
      </c>
      <c r="Q283" s="13" t="n">
        <v>19195.792479</v>
      </c>
      <c r="R283" s="13" t="n">
        <v>18778.430436</v>
      </c>
      <c r="S283" s="13" t="n">
        <v>19696.592805</v>
      </c>
      <c r="T283" s="13" t="n">
        <v>19654.88896</v>
      </c>
      <c r="U283" s="13" t="n">
        <v>20406.042656</v>
      </c>
      <c r="V283" s="13" t="n">
        <v>20906.732808</v>
      </c>
      <c r="W283" s="13" t="n">
        <v>25037.971632</v>
      </c>
      <c r="X283" s="13" t="n">
        <v>26832.297274</v>
      </c>
      <c r="Y283" s="13" t="n">
        <v>26957.563072</v>
      </c>
      <c r="Z283" s="13" t="n">
        <v>24662.484528</v>
      </c>
      <c r="AA283" s="13" t="n">
        <v>22367.24355</v>
      </c>
      <c r="AB283" s="13" t="n">
        <v>20489.35427</v>
      </c>
      <c r="AC283" s="13" t="n">
        <v>22310.4112</v>
      </c>
      <c r="AD283" s="13" t="n">
        <v>24658.7883</v>
      </c>
      <c r="AE283" s="13" t="n">
        <v>25180.65144</v>
      </c>
      <c r="AF283" s="13" t="n">
        <v>26528.942</v>
      </c>
      <c r="AG283" s="13" t="n">
        <v>28920.75472</v>
      </c>
      <c r="AH283" s="13" t="n">
        <v>29964.64065</v>
      </c>
      <c r="AI283" s="13" t="n">
        <v>30486.47836</v>
      </c>
      <c r="AJ283" s="13" t="n">
        <v>31747.62231</v>
      </c>
      <c r="AK283" s="13" t="n">
        <v>30008.0172</v>
      </c>
      <c r="AL283" s="13" t="n">
        <v>29486.273014</v>
      </c>
      <c r="AM283" s="13" t="n">
        <v>28877.306891</v>
      </c>
      <c r="AN283" s="13" t="n">
        <v>27224.738037</v>
      </c>
      <c r="AO283" s="13" t="n">
        <v>29084.044998</v>
      </c>
      <c r="AP283" s="13" t="n">
        <v>31112.05032</v>
      </c>
      <c r="AQ283" s="13" t="n">
        <v>32419.672066</v>
      </c>
      <c r="AR283" s="13" t="n">
        <v>32870.622176</v>
      </c>
      <c r="AS283" s="13" t="n">
        <v>33005.962863</v>
      </c>
      <c r="AT283" s="13" t="n">
        <v>32419.788824</v>
      </c>
    </row>
    <row r="284" customFormat="false" ht="15" hidden="false" customHeight="true" outlineLevel="0" collapsed="false">
      <c r="A284" s="12" t="s">
        <v>905</v>
      </c>
      <c r="B284" s="12" t="s">
        <v>906</v>
      </c>
      <c r="C284" s="12" t="n">
        <v>1</v>
      </c>
      <c r="D284" s="12" t="s">
        <v>907</v>
      </c>
      <c r="E284" s="13" t="n">
        <v>0</v>
      </c>
      <c r="F284" s="13" t="n">
        <v>0</v>
      </c>
      <c r="G284" s="13" t="n">
        <v>0</v>
      </c>
      <c r="H284" s="13" t="n">
        <v>0</v>
      </c>
      <c r="I284" s="13" t="n">
        <v>0</v>
      </c>
      <c r="J284" s="13" t="n">
        <v>0</v>
      </c>
      <c r="K284" s="13" t="n">
        <v>0</v>
      </c>
      <c r="L284" s="13" t="n">
        <v>0</v>
      </c>
      <c r="M284" s="13" t="n">
        <v>0</v>
      </c>
      <c r="N284" s="13" t="n">
        <v>0</v>
      </c>
      <c r="O284" s="13" t="n">
        <v>0</v>
      </c>
      <c r="P284" s="13" t="n">
        <v>0</v>
      </c>
      <c r="Q284" s="13" t="n">
        <v>0</v>
      </c>
      <c r="R284" s="13" t="n">
        <v>0</v>
      </c>
      <c r="S284" s="13" t="n">
        <v>0</v>
      </c>
      <c r="T284" s="13" t="n">
        <v>0</v>
      </c>
      <c r="U284" s="13" t="n">
        <v>0</v>
      </c>
      <c r="V284" s="13" t="n">
        <v>0</v>
      </c>
      <c r="W284" s="13" t="n">
        <v>0</v>
      </c>
      <c r="X284" s="13" t="n">
        <v>0</v>
      </c>
      <c r="Y284" s="13" t="n">
        <v>0</v>
      </c>
      <c r="Z284" s="13" t="n">
        <v>0</v>
      </c>
      <c r="AA284" s="13" t="n">
        <v>0</v>
      </c>
      <c r="AB284" s="13" t="n">
        <v>0</v>
      </c>
      <c r="AC284" s="13" t="n">
        <v>0</v>
      </c>
      <c r="AD284" s="13" t="n">
        <v>0</v>
      </c>
      <c r="AE284" s="13" t="n">
        <v>0</v>
      </c>
      <c r="AF284" s="13" t="n">
        <v>0</v>
      </c>
      <c r="AG284" s="13" t="n">
        <v>0</v>
      </c>
      <c r="AH284" s="13" t="n">
        <v>1435.07115</v>
      </c>
      <c r="AI284" s="13" t="n">
        <v>1434.96298</v>
      </c>
      <c r="AJ284" s="13" t="n">
        <v>1435.01661</v>
      </c>
      <c r="AK284" s="13" t="n">
        <v>1434.9459</v>
      </c>
      <c r="AL284" s="13" t="n">
        <v>0</v>
      </c>
      <c r="AM284" s="13" t="n">
        <v>0</v>
      </c>
      <c r="AN284" s="13" t="n">
        <v>0</v>
      </c>
      <c r="AO284" s="13" t="n">
        <v>0</v>
      </c>
      <c r="AP284" s="13" t="n">
        <v>0</v>
      </c>
      <c r="AQ284" s="13" t="n">
        <v>0</v>
      </c>
      <c r="AR284" s="13" t="n">
        <v>0</v>
      </c>
      <c r="AS284" s="13" t="n">
        <v>0</v>
      </c>
      <c r="AT284" s="13" t="n">
        <v>0</v>
      </c>
    </row>
    <row r="285" customFormat="false" ht="15" hidden="false" customHeight="true" outlineLevel="0" collapsed="false">
      <c r="A285" s="12" t="s">
        <v>908</v>
      </c>
      <c r="B285" s="12" t="s">
        <v>909</v>
      </c>
      <c r="C285" s="12" t="n">
        <v>1</v>
      </c>
      <c r="D285" s="12" t="s">
        <v>910</v>
      </c>
      <c r="E285" s="13" t="n">
        <v>0</v>
      </c>
      <c r="F285" s="13" t="n">
        <v>0</v>
      </c>
      <c r="G285" s="13" t="n">
        <v>37425.085295</v>
      </c>
      <c r="H285" s="13" t="n">
        <v>49799.980251</v>
      </c>
      <c r="I285" s="13" t="n">
        <v>47465.039622</v>
      </c>
      <c r="J285" s="13" t="n">
        <v>67230.084585</v>
      </c>
      <c r="K285" s="13" t="n">
        <v>51250.0764</v>
      </c>
      <c r="L285" s="13" t="n">
        <v>51644.9724</v>
      </c>
      <c r="M285" s="13" t="n">
        <v>49934.993175</v>
      </c>
      <c r="N285" s="13" t="n">
        <v>60212.027568</v>
      </c>
      <c r="O285" s="13" t="n">
        <v>72354.05713</v>
      </c>
      <c r="P285" s="13" t="n">
        <v>46569.989312</v>
      </c>
      <c r="Q285" s="13" t="n">
        <v>49885.572843</v>
      </c>
      <c r="R285" s="13" t="n">
        <v>50284.421937</v>
      </c>
      <c r="S285" s="13" t="n">
        <v>49633.574565</v>
      </c>
      <c r="T285" s="13" t="n">
        <v>46483.52128</v>
      </c>
      <c r="U285" s="13" t="n">
        <v>44688.066892</v>
      </c>
      <c r="V285" s="13" t="n">
        <v>41054.966004</v>
      </c>
      <c r="W285" s="13" t="n">
        <v>39731.910096</v>
      </c>
      <c r="X285" s="13" t="n">
        <v>37873.529914</v>
      </c>
      <c r="Y285" s="13" t="n">
        <v>36918.009354</v>
      </c>
      <c r="Z285" s="13" t="n">
        <v>36623.970944</v>
      </c>
      <c r="AA285" s="13" t="n">
        <v>35710.44366</v>
      </c>
      <c r="AB285" s="13" t="n">
        <v>33306.051922</v>
      </c>
      <c r="AC285" s="13" t="n">
        <v>33453.002</v>
      </c>
      <c r="AD285" s="13" t="n">
        <v>33484.43</v>
      </c>
      <c r="AE285" s="13" t="n">
        <v>34398.09828</v>
      </c>
      <c r="AF285" s="13" t="n">
        <v>34061.9554</v>
      </c>
      <c r="AG285" s="13" t="n">
        <v>32696.98736</v>
      </c>
      <c r="AH285" s="13" t="n">
        <v>32613.07305</v>
      </c>
      <c r="AI285" s="13" t="n">
        <v>32077.45644</v>
      </c>
      <c r="AJ285" s="13" t="n">
        <v>29735.91504</v>
      </c>
      <c r="AK285" s="13" t="n">
        <v>29043.0702</v>
      </c>
      <c r="AL285" s="13" t="n">
        <v>28885.474592</v>
      </c>
      <c r="AM285" s="13" t="n">
        <v>28612.429639</v>
      </c>
      <c r="AN285" s="13" t="n">
        <v>28570.428376</v>
      </c>
      <c r="AO285" s="13" t="n">
        <v>28066.528394</v>
      </c>
      <c r="AP285" s="13" t="n">
        <v>28539.00816</v>
      </c>
      <c r="AQ285" s="13" t="n">
        <v>28654.440104</v>
      </c>
      <c r="AR285" s="13" t="n">
        <v>28570.580064</v>
      </c>
      <c r="AS285" s="13" t="n">
        <v>28738.429425</v>
      </c>
      <c r="AT285" s="13" t="n">
        <v>28580.98788</v>
      </c>
    </row>
    <row r="286" customFormat="false" ht="15" hidden="false" customHeight="true" outlineLevel="0" collapsed="false">
      <c r="A286" s="12" t="s">
        <v>911</v>
      </c>
      <c r="B286" s="12" t="s">
        <v>912</v>
      </c>
      <c r="C286" s="12" t="n">
        <v>1</v>
      </c>
      <c r="D286" s="12" t="s">
        <v>913</v>
      </c>
      <c r="E286" s="13" t="n">
        <v>0</v>
      </c>
      <c r="F286" s="13" t="n">
        <v>0</v>
      </c>
      <c r="G286" s="13" t="n">
        <v>0</v>
      </c>
      <c r="H286" s="13" t="n">
        <v>0</v>
      </c>
      <c r="I286" s="13" t="n">
        <v>0</v>
      </c>
      <c r="J286" s="13" t="n">
        <v>0</v>
      </c>
      <c r="K286" s="13" t="n">
        <v>14977.171464</v>
      </c>
      <c r="L286" s="13" t="n">
        <v>7847.389921</v>
      </c>
      <c r="M286" s="13" t="n">
        <v>5471.441865</v>
      </c>
      <c r="N286" s="13" t="n">
        <v>0</v>
      </c>
      <c r="O286" s="13" t="n">
        <v>0</v>
      </c>
      <c r="P286" s="13" t="n">
        <v>0</v>
      </c>
      <c r="Q286" s="13" t="n">
        <v>0</v>
      </c>
      <c r="R286" s="13" t="n">
        <v>0</v>
      </c>
      <c r="S286" s="13" t="n">
        <v>0</v>
      </c>
      <c r="T286" s="13" t="n">
        <v>0</v>
      </c>
      <c r="U286" s="13" t="n">
        <v>0</v>
      </c>
      <c r="V286" s="13" t="n">
        <v>0</v>
      </c>
      <c r="W286" s="13" t="n">
        <v>0</v>
      </c>
      <c r="X286" s="13" t="n">
        <v>0</v>
      </c>
      <c r="Y286" s="13" t="n">
        <v>0</v>
      </c>
      <c r="Z286" s="13" t="n">
        <v>0</v>
      </c>
      <c r="AA286" s="13" t="n">
        <v>0</v>
      </c>
      <c r="AB286" s="13" t="n">
        <v>0</v>
      </c>
      <c r="AC286" s="13" t="n">
        <v>0</v>
      </c>
      <c r="AD286" s="13" t="n">
        <v>0</v>
      </c>
      <c r="AE286" s="13" t="n">
        <v>0</v>
      </c>
      <c r="AF286" s="13" t="n">
        <v>0</v>
      </c>
      <c r="AG286" s="13" t="n">
        <v>0</v>
      </c>
      <c r="AH286" s="13" t="n">
        <v>0</v>
      </c>
      <c r="AI286" s="13" t="n">
        <v>0</v>
      </c>
      <c r="AJ286" s="13" t="n">
        <v>0</v>
      </c>
      <c r="AK286" s="13" t="n">
        <v>0</v>
      </c>
      <c r="AL286" s="13" t="n">
        <v>0</v>
      </c>
      <c r="AM286" s="13" t="n">
        <v>0</v>
      </c>
      <c r="AN286" s="13" t="n">
        <v>0</v>
      </c>
      <c r="AO286" s="13" t="n">
        <v>0</v>
      </c>
      <c r="AP286" s="13" t="n">
        <v>0</v>
      </c>
      <c r="AQ286" s="13" t="n">
        <v>0</v>
      </c>
      <c r="AR286" s="13" t="n">
        <v>0</v>
      </c>
      <c r="AS286" s="13" t="n">
        <v>0</v>
      </c>
      <c r="AT286" s="13" t="n">
        <v>0</v>
      </c>
    </row>
    <row r="287" customFormat="false" ht="15" hidden="false" customHeight="true" outlineLevel="0" collapsed="false">
      <c r="A287" s="12" t="s">
        <v>914</v>
      </c>
      <c r="B287" s="12" t="s">
        <v>915</v>
      </c>
      <c r="C287" s="12" t="n">
        <v>1</v>
      </c>
      <c r="D287" s="12" t="s">
        <v>916</v>
      </c>
      <c r="E287" s="13" t="n">
        <v>1500.054444</v>
      </c>
      <c r="F287" s="13" t="n">
        <v>1440.00345</v>
      </c>
      <c r="G287" s="13" t="n">
        <v>1499.971861</v>
      </c>
      <c r="H287" s="13" t="n">
        <v>1559.986776</v>
      </c>
      <c r="I287" s="13" t="n">
        <v>1559.933718</v>
      </c>
      <c r="J287" s="13" t="n">
        <v>1559.941735</v>
      </c>
      <c r="K287" s="13" t="n">
        <v>1560.031632</v>
      </c>
      <c r="L287" s="13" t="n">
        <v>1560.066676</v>
      </c>
      <c r="M287" s="13" t="n">
        <v>1559.94525</v>
      </c>
      <c r="N287" s="13" t="n">
        <v>1559.973852</v>
      </c>
      <c r="O287" s="13" t="n">
        <v>1560.068214</v>
      </c>
      <c r="P287" s="13" t="n">
        <v>1619.927225</v>
      </c>
      <c r="Q287" s="13" t="n">
        <v>1619.923455</v>
      </c>
      <c r="R287" s="13" t="n">
        <v>1620.026811</v>
      </c>
      <c r="S287" s="13" t="n">
        <v>1619.97657</v>
      </c>
      <c r="T287" s="13" t="n">
        <v>1620.00384</v>
      </c>
      <c r="U287" s="13" t="n">
        <v>1620.078915</v>
      </c>
      <c r="V287" s="13" t="n">
        <v>1619.987148</v>
      </c>
      <c r="W287" s="13" t="n">
        <v>1620.03456</v>
      </c>
      <c r="X287" s="13" t="n">
        <v>1620.09466</v>
      </c>
      <c r="Y287" s="13" t="n">
        <v>1620.076146</v>
      </c>
      <c r="Z287" s="13" t="n">
        <v>1619.949584</v>
      </c>
      <c r="AA287" s="13" t="n">
        <v>1620.06642</v>
      </c>
      <c r="AB287" s="13" t="n">
        <v>0</v>
      </c>
      <c r="AC287" s="13" t="n">
        <v>0</v>
      </c>
      <c r="AD287" s="13" t="n">
        <v>0</v>
      </c>
      <c r="AE287" s="13" t="n">
        <v>0</v>
      </c>
      <c r="AF287" s="13" t="n">
        <v>0</v>
      </c>
      <c r="AG287" s="13" t="n">
        <v>0</v>
      </c>
      <c r="AH287" s="13" t="n">
        <v>0</v>
      </c>
      <c r="AI287" s="13" t="n">
        <v>0</v>
      </c>
      <c r="AJ287" s="13" t="n">
        <v>0</v>
      </c>
      <c r="AK287" s="13" t="n">
        <v>0</v>
      </c>
      <c r="AL287" s="13" t="n">
        <v>0</v>
      </c>
      <c r="AM287" s="13" t="n">
        <v>0</v>
      </c>
      <c r="AN287" s="13" t="n">
        <v>0</v>
      </c>
      <c r="AO287" s="13" t="n">
        <v>0</v>
      </c>
      <c r="AP287" s="13" t="n">
        <v>0</v>
      </c>
      <c r="AQ287" s="13" t="n">
        <v>0</v>
      </c>
      <c r="AR287" s="13" t="n">
        <v>0</v>
      </c>
      <c r="AS287" s="13" t="n">
        <v>0</v>
      </c>
      <c r="AT287" s="13" t="n">
        <v>0</v>
      </c>
    </row>
    <row r="288" customFormat="false" ht="15" hidden="false" customHeight="true" outlineLevel="0" collapsed="false">
      <c r="A288" s="12" t="s">
        <v>917</v>
      </c>
      <c r="B288" s="12" t="s">
        <v>918</v>
      </c>
      <c r="C288" s="12" t="n">
        <v>1</v>
      </c>
      <c r="D288" s="12" t="s">
        <v>919</v>
      </c>
      <c r="E288" s="13" t="n">
        <v>0</v>
      </c>
      <c r="F288" s="13" t="n">
        <v>0</v>
      </c>
      <c r="G288" s="13" t="n">
        <v>0</v>
      </c>
      <c r="H288" s="13" t="n">
        <v>0</v>
      </c>
      <c r="I288" s="13" t="n">
        <v>0</v>
      </c>
      <c r="J288" s="13" t="n">
        <v>0</v>
      </c>
      <c r="K288" s="13" t="n">
        <v>0</v>
      </c>
      <c r="L288" s="13" t="n">
        <v>0</v>
      </c>
      <c r="M288" s="13" t="n">
        <v>0</v>
      </c>
      <c r="N288" s="13" t="n">
        <v>0</v>
      </c>
      <c r="O288" s="13" t="n">
        <v>0</v>
      </c>
      <c r="P288" s="13" t="n">
        <v>0</v>
      </c>
      <c r="Q288" s="13" t="n">
        <v>0</v>
      </c>
      <c r="R288" s="13" t="n">
        <v>0</v>
      </c>
      <c r="S288" s="13" t="n">
        <v>0</v>
      </c>
      <c r="T288" s="13" t="n">
        <v>0</v>
      </c>
      <c r="U288" s="13" t="n">
        <v>0</v>
      </c>
      <c r="V288" s="13" t="n">
        <v>0</v>
      </c>
      <c r="W288" s="13" t="n">
        <v>0</v>
      </c>
      <c r="X288" s="13" t="n">
        <v>0</v>
      </c>
      <c r="Y288" s="13" t="n">
        <v>0</v>
      </c>
      <c r="Z288" s="13" t="n">
        <v>0</v>
      </c>
      <c r="AA288" s="13" t="n">
        <v>0</v>
      </c>
      <c r="AB288" s="13" t="n">
        <v>755.994544</v>
      </c>
      <c r="AC288" s="13" t="n">
        <v>756.0608</v>
      </c>
      <c r="AD288" s="13" t="n">
        <v>818.9417</v>
      </c>
      <c r="AE288" s="13" t="n">
        <v>818.92944</v>
      </c>
      <c r="AF288" s="13" t="n">
        <v>819.0314</v>
      </c>
      <c r="AG288" s="13" t="n">
        <v>819.00712</v>
      </c>
      <c r="AH288" s="13" t="n">
        <v>819.04245</v>
      </c>
      <c r="AI288" s="13" t="n">
        <v>818.98529</v>
      </c>
      <c r="AJ288" s="13" t="n">
        <v>818.99766</v>
      </c>
      <c r="AK288" s="13" t="n">
        <v>818.9208</v>
      </c>
      <c r="AL288" s="13" t="n">
        <v>819.052907</v>
      </c>
      <c r="AM288" s="13" t="n">
        <v>819.028345</v>
      </c>
      <c r="AN288" s="13" t="n">
        <v>818.959482</v>
      </c>
      <c r="AO288" s="13" t="n">
        <v>718.571536</v>
      </c>
      <c r="AP288" s="13" t="n">
        <v>0</v>
      </c>
      <c r="AQ288" s="13" t="n">
        <v>0</v>
      </c>
      <c r="AR288" s="13" t="n">
        <v>0</v>
      </c>
      <c r="AS288" s="13" t="n">
        <v>0</v>
      </c>
      <c r="AT288" s="13" t="n">
        <v>0</v>
      </c>
    </row>
    <row r="289" customFormat="false" ht="15" hidden="false" customHeight="true" outlineLevel="0" collapsed="false">
      <c r="A289" s="12" t="s">
        <v>920</v>
      </c>
      <c r="B289" s="12" t="s">
        <v>921</v>
      </c>
      <c r="C289" s="12" t="n">
        <v>1</v>
      </c>
      <c r="D289" s="12" t="s">
        <v>922</v>
      </c>
      <c r="E289" s="13" t="n">
        <v>0</v>
      </c>
      <c r="F289" s="13" t="n">
        <v>0</v>
      </c>
      <c r="G289" s="13" t="n">
        <v>0</v>
      </c>
      <c r="H289" s="13" t="n">
        <v>0</v>
      </c>
      <c r="I289" s="13" t="n">
        <v>0</v>
      </c>
      <c r="J289" s="13" t="n">
        <v>0</v>
      </c>
      <c r="K289" s="13" t="n">
        <v>0</v>
      </c>
      <c r="L289" s="13" t="n">
        <v>0</v>
      </c>
      <c r="M289" s="13" t="n">
        <v>0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0</v>
      </c>
      <c r="W289" s="13" t="n">
        <v>0</v>
      </c>
      <c r="X289" s="13" t="n">
        <v>0</v>
      </c>
      <c r="Y289" s="13" t="n">
        <v>0</v>
      </c>
      <c r="Z289" s="13" t="n">
        <v>0</v>
      </c>
      <c r="AA289" s="13" t="n">
        <v>0</v>
      </c>
      <c r="AB289" s="13" t="n">
        <v>0</v>
      </c>
      <c r="AC289" s="13" t="n">
        <v>0</v>
      </c>
      <c r="AD289" s="13" t="n">
        <v>0</v>
      </c>
      <c r="AE289" s="13" t="n">
        <v>0</v>
      </c>
      <c r="AF289" s="13" t="n">
        <v>0</v>
      </c>
      <c r="AG289" s="13" t="n">
        <v>0</v>
      </c>
      <c r="AH289" s="13" t="n">
        <v>0</v>
      </c>
      <c r="AI289" s="13" t="n">
        <v>0</v>
      </c>
      <c r="AJ289" s="13" t="n">
        <v>0</v>
      </c>
      <c r="AK289" s="13" t="n">
        <v>0</v>
      </c>
      <c r="AL289" s="13" t="n">
        <v>0</v>
      </c>
      <c r="AM289" s="13" t="n">
        <v>0</v>
      </c>
      <c r="AN289" s="13" t="n">
        <v>0</v>
      </c>
      <c r="AO289" s="13" t="n">
        <v>0</v>
      </c>
      <c r="AP289" s="13" t="n">
        <v>0</v>
      </c>
      <c r="AQ289" s="13" t="n">
        <v>5449.935154</v>
      </c>
      <c r="AR289" s="13" t="n">
        <v>5772.041678</v>
      </c>
      <c r="AS289" s="13" t="n">
        <v>5996.08008</v>
      </c>
      <c r="AT289" s="13" t="n">
        <v>5982.04688</v>
      </c>
    </row>
    <row r="290" customFormat="false" ht="15" hidden="false" customHeight="true" outlineLevel="0" collapsed="false">
      <c r="A290" s="12" t="s">
        <v>923</v>
      </c>
      <c r="B290" s="12" t="s">
        <v>924</v>
      </c>
      <c r="C290" s="12" t="n">
        <v>1</v>
      </c>
      <c r="D290" s="12" t="s">
        <v>925</v>
      </c>
      <c r="E290" s="13" t="n">
        <v>11299.145544</v>
      </c>
      <c r="F290" s="13" t="n">
        <v>11436.111744</v>
      </c>
      <c r="G290" s="13" t="n">
        <v>11504.55068</v>
      </c>
      <c r="H290" s="13" t="n">
        <v>11367.627966</v>
      </c>
      <c r="I290" s="13" t="n">
        <v>11436.155815</v>
      </c>
      <c r="J290" s="13" t="n">
        <v>11641.65751</v>
      </c>
      <c r="K290" s="13" t="n">
        <v>11778.505836</v>
      </c>
      <c r="L290" s="13" t="n">
        <v>11504.5707</v>
      </c>
      <c r="M290" s="13" t="n">
        <v>11984.081085</v>
      </c>
      <c r="N290" s="13" t="n">
        <v>12052.487346</v>
      </c>
      <c r="O290" s="13" t="n">
        <v>11847.122913</v>
      </c>
      <c r="P290" s="13" t="n">
        <v>11847.039575</v>
      </c>
      <c r="Q290" s="13" t="n">
        <v>12189.516228</v>
      </c>
      <c r="R290" s="13" t="n">
        <v>11641.560186</v>
      </c>
      <c r="S290" s="13" t="n">
        <v>11983.92306</v>
      </c>
      <c r="T290" s="13" t="n">
        <v>12326.39744</v>
      </c>
      <c r="U290" s="13" t="n">
        <v>11847.007216</v>
      </c>
      <c r="V290" s="13" t="n">
        <v>12052.534884</v>
      </c>
      <c r="W290" s="13" t="n">
        <v>12052.569616</v>
      </c>
      <c r="X290" s="13" t="n">
        <v>12257.989168</v>
      </c>
      <c r="Y290" s="13" t="n">
        <v>11915.601976</v>
      </c>
      <c r="Z290" s="13" t="n">
        <v>11641.545872</v>
      </c>
      <c r="AA290" s="13" t="n">
        <v>11367.60891</v>
      </c>
      <c r="AB290" s="13" t="n">
        <v>11230.647</v>
      </c>
      <c r="AC290" s="13" t="n">
        <v>12416.6856</v>
      </c>
      <c r="AD290" s="13" t="n">
        <v>12059.9379</v>
      </c>
      <c r="AE290" s="13" t="n">
        <v>12916.10124</v>
      </c>
      <c r="AF290" s="13" t="n">
        <v>13272.8904</v>
      </c>
      <c r="AG290" s="13" t="n">
        <v>13130.16622</v>
      </c>
      <c r="AH290" s="13" t="n">
        <v>12702.051</v>
      </c>
      <c r="AI290" s="13" t="n">
        <v>13130.26841</v>
      </c>
      <c r="AJ290" s="13" t="n">
        <v>13058.85618</v>
      </c>
      <c r="AK290" s="13" t="n">
        <v>13130.2503</v>
      </c>
      <c r="AL290" s="13" t="n">
        <v>12773.504893</v>
      </c>
      <c r="AM290" s="13" t="n">
        <v>12844.712392</v>
      </c>
      <c r="AN290" s="13" t="n">
        <v>12844.751858</v>
      </c>
      <c r="AO290" s="13" t="n">
        <v>14723.99281</v>
      </c>
      <c r="AP290" s="13" t="n">
        <v>15611.84832</v>
      </c>
      <c r="AQ290" s="13" t="n">
        <v>15833.928485</v>
      </c>
      <c r="AR290" s="13" t="n">
        <v>15241.88801</v>
      </c>
      <c r="AS290" s="13" t="n">
        <v>15315.968754</v>
      </c>
      <c r="AT290" s="13" t="n">
        <v>16573.840184</v>
      </c>
    </row>
    <row r="291" customFormat="false" ht="15" hidden="false" customHeight="true" outlineLevel="0" collapsed="false">
      <c r="A291" s="12" t="s">
        <v>926</v>
      </c>
      <c r="B291" s="12" t="s">
        <v>927</v>
      </c>
      <c r="C291" s="12" t="n">
        <v>1</v>
      </c>
      <c r="D291" s="12" t="s">
        <v>928</v>
      </c>
      <c r="E291" s="13" t="n">
        <v>0</v>
      </c>
      <c r="F291" s="13" t="n">
        <v>0</v>
      </c>
      <c r="G291" s="13" t="n">
        <v>0</v>
      </c>
      <c r="H291" s="13" t="n">
        <v>0</v>
      </c>
      <c r="I291" s="13" t="n">
        <v>0</v>
      </c>
      <c r="J291" s="13" t="n">
        <v>0</v>
      </c>
      <c r="K291" s="13" t="n">
        <v>0</v>
      </c>
      <c r="L291" s="13" t="n">
        <v>0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  <c r="V291" s="13" t="n">
        <v>0</v>
      </c>
      <c r="W291" s="13" t="n">
        <v>0</v>
      </c>
      <c r="X291" s="13" t="n">
        <v>0</v>
      </c>
      <c r="Y291" s="13" t="n">
        <v>0</v>
      </c>
      <c r="Z291" s="13" t="n">
        <v>0</v>
      </c>
      <c r="AA291" s="13" t="n">
        <v>0</v>
      </c>
      <c r="AB291" s="13" t="n">
        <v>0</v>
      </c>
      <c r="AC291" s="13" t="n">
        <v>0</v>
      </c>
      <c r="AD291" s="13" t="n">
        <v>0</v>
      </c>
      <c r="AE291" s="13" t="n">
        <v>0</v>
      </c>
      <c r="AF291" s="13" t="n">
        <v>0</v>
      </c>
      <c r="AG291" s="13" t="n">
        <v>0</v>
      </c>
      <c r="AH291" s="13" t="n">
        <v>0</v>
      </c>
      <c r="AI291" s="13" t="n">
        <v>0</v>
      </c>
      <c r="AJ291" s="13" t="n">
        <v>0</v>
      </c>
      <c r="AK291" s="13" t="n">
        <v>0</v>
      </c>
      <c r="AL291" s="13" t="n">
        <v>0</v>
      </c>
      <c r="AM291" s="13" t="n">
        <v>20000.066856</v>
      </c>
      <c r="AN291" s="13" t="n">
        <v>19560.075744</v>
      </c>
      <c r="AO291" s="13" t="n">
        <v>20999.942816</v>
      </c>
      <c r="AP291" s="13" t="n">
        <v>20200.04616</v>
      </c>
      <c r="AQ291" s="13" t="n">
        <v>20559.933785</v>
      </c>
      <c r="AR291" s="13" t="n">
        <v>23079.92169</v>
      </c>
      <c r="AS291" s="13" t="n">
        <v>25040.038923</v>
      </c>
      <c r="AT291" s="13" t="n">
        <v>24840.02088</v>
      </c>
    </row>
    <row r="292" customFormat="false" ht="15" hidden="false" customHeight="true" outlineLevel="0" collapsed="false">
      <c r="A292" s="12" t="s">
        <v>929</v>
      </c>
      <c r="B292" s="12" t="s">
        <v>930</v>
      </c>
      <c r="C292" s="12" t="n">
        <v>1</v>
      </c>
      <c r="D292" s="12" t="s">
        <v>931</v>
      </c>
      <c r="E292" s="13" t="n">
        <v>0</v>
      </c>
      <c r="F292" s="13" t="n">
        <v>0</v>
      </c>
      <c r="G292" s="13" t="n">
        <v>0</v>
      </c>
      <c r="H292" s="13" t="n">
        <v>0</v>
      </c>
      <c r="I292" s="13" t="n">
        <v>0</v>
      </c>
      <c r="J292" s="13" t="n">
        <v>0</v>
      </c>
      <c r="K292" s="13" t="n">
        <v>0</v>
      </c>
      <c r="L292" s="13" t="n">
        <v>0</v>
      </c>
      <c r="M292" s="13" t="n">
        <v>0</v>
      </c>
      <c r="N292" s="13" t="n">
        <v>1780.039656</v>
      </c>
      <c r="O292" s="13" t="n">
        <v>2139.974444</v>
      </c>
      <c r="P292" s="13" t="n">
        <v>1799.937937</v>
      </c>
      <c r="Q292" s="13" t="n">
        <v>2120.065164</v>
      </c>
      <c r="R292" s="13" t="n">
        <v>2540.042037</v>
      </c>
      <c r="S292" s="13" t="n">
        <v>2079.967875</v>
      </c>
      <c r="T292" s="13" t="n">
        <v>2160.00512</v>
      </c>
      <c r="U292" s="13" t="n">
        <v>2360.008207</v>
      </c>
      <c r="V292" s="13" t="n">
        <v>2279.9205</v>
      </c>
      <c r="W292" s="13" t="n">
        <v>2319.986992</v>
      </c>
      <c r="X292" s="13" t="n">
        <v>2379.972596</v>
      </c>
      <c r="Y292" s="13" t="n">
        <v>2340.044364</v>
      </c>
      <c r="Z292" s="13" t="n">
        <v>2360.062672</v>
      </c>
      <c r="AA292" s="13" t="n">
        <v>2060.08446</v>
      </c>
      <c r="AB292" s="13" t="n">
        <v>1860.037968</v>
      </c>
      <c r="AC292" s="13" t="n">
        <v>2042.3568</v>
      </c>
      <c r="AD292" s="13" t="n">
        <v>1958.9726</v>
      </c>
      <c r="AE292" s="13" t="n">
        <v>1979.75988</v>
      </c>
      <c r="AF292" s="13" t="n">
        <v>2146.5554</v>
      </c>
      <c r="AG292" s="13" t="n">
        <v>1938.09814</v>
      </c>
      <c r="AH292" s="13" t="n">
        <v>1625.43195</v>
      </c>
      <c r="AI292" s="13" t="n">
        <v>1750.56461</v>
      </c>
      <c r="AJ292" s="13" t="n">
        <v>1604.63151</v>
      </c>
      <c r="AK292" s="13" t="n">
        <v>1542.0807</v>
      </c>
      <c r="AL292" s="13" t="n">
        <v>1521.33506</v>
      </c>
      <c r="AM292" s="13" t="n">
        <v>1542.121231</v>
      </c>
      <c r="AN292" s="13" t="n">
        <v>1437.944668</v>
      </c>
      <c r="AO292" s="13" t="n">
        <v>1426.281746</v>
      </c>
      <c r="AP292" s="13" t="n">
        <v>1491.09096</v>
      </c>
      <c r="AQ292" s="13" t="n">
        <v>1491.136155</v>
      </c>
      <c r="AR292" s="13" t="n">
        <v>1404.635982</v>
      </c>
      <c r="AS292" s="13" t="n">
        <v>1447.956405</v>
      </c>
      <c r="AT292" s="13" t="n">
        <v>1469.434336</v>
      </c>
    </row>
    <row r="293" customFormat="false" ht="15" hidden="false" customHeight="true" outlineLevel="0" collapsed="false">
      <c r="A293" s="12" t="s">
        <v>932</v>
      </c>
      <c r="B293" s="12" t="s">
        <v>933</v>
      </c>
      <c r="C293" s="12" t="n">
        <v>1</v>
      </c>
      <c r="D293" s="12" t="s">
        <v>934</v>
      </c>
      <c r="E293" s="13" t="n">
        <v>0</v>
      </c>
      <c r="F293" s="13" t="n">
        <v>0</v>
      </c>
      <c r="G293" s="13" t="n">
        <v>0</v>
      </c>
      <c r="H293" s="13" t="n">
        <v>0</v>
      </c>
      <c r="I293" s="13" t="n">
        <v>0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  <c r="V293" s="13" t="n">
        <v>0</v>
      </c>
      <c r="W293" s="13" t="n">
        <v>0</v>
      </c>
      <c r="X293" s="13" t="n">
        <v>0</v>
      </c>
      <c r="Y293" s="13" t="n">
        <v>0</v>
      </c>
      <c r="Z293" s="13" t="n">
        <v>0</v>
      </c>
      <c r="AA293" s="13" t="n">
        <v>0</v>
      </c>
      <c r="AB293" s="13" t="n">
        <v>0</v>
      </c>
      <c r="AC293" s="13" t="n">
        <v>8039.9704</v>
      </c>
      <c r="AD293" s="13" t="n">
        <v>8039.9586</v>
      </c>
      <c r="AE293" s="13" t="n">
        <v>8070.08832</v>
      </c>
      <c r="AF293" s="13" t="n">
        <v>8220.0756</v>
      </c>
      <c r="AG293" s="13" t="n">
        <v>8190.0712</v>
      </c>
      <c r="AH293" s="13" t="n">
        <v>8430.07515</v>
      </c>
      <c r="AI293" s="13" t="n">
        <v>8369.92816</v>
      </c>
      <c r="AJ293" s="13" t="n">
        <v>8609.91327</v>
      </c>
      <c r="AK293" s="13" t="n">
        <v>8790.00675</v>
      </c>
      <c r="AL293" s="13" t="n">
        <v>8850.081231</v>
      </c>
      <c r="AM293" s="13" t="n">
        <v>8700.043757</v>
      </c>
      <c r="AN293" s="13" t="n">
        <v>8760.025096</v>
      </c>
      <c r="AO293" s="13" t="n">
        <v>8897.494818</v>
      </c>
      <c r="AP293" s="13" t="n">
        <v>8617.47384</v>
      </c>
      <c r="AQ293" s="13" t="n">
        <v>8990.817669</v>
      </c>
      <c r="AR293" s="13" t="n">
        <v>8959.707524</v>
      </c>
      <c r="AS293" s="13" t="n">
        <v>8555.319225</v>
      </c>
      <c r="AT293" s="13" t="n">
        <v>8835.157712</v>
      </c>
    </row>
    <row r="294" customFormat="false" ht="15" hidden="false" customHeight="true" outlineLevel="0" collapsed="false">
      <c r="A294" s="12" t="s">
        <v>935</v>
      </c>
      <c r="B294" s="12" t="s">
        <v>936</v>
      </c>
      <c r="C294" s="12" t="n">
        <v>1</v>
      </c>
      <c r="D294" s="12" t="s">
        <v>937</v>
      </c>
      <c r="E294" s="13" t="n">
        <v>0</v>
      </c>
      <c r="F294" s="13" t="n">
        <v>0</v>
      </c>
      <c r="G294" s="13" t="n">
        <v>0</v>
      </c>
      <c r="H294" s="13" t="n">
        <v>0</v>
      </c>
      <c r="I294" s="13" t="n">
        <v>0</v>
      </c>
      <c r="J294" s="13" t="n">
        <v>0</v>
      </c>
      <c r="K294" s="13" t="n">
        <v>0</v>
      </c>
      <c r="L294" s="13" t="n">
        <v>0</v>
      </c>
      <c r="M294" s="13" t="n">
        <v>0</v>
      </c>
      <c r="N294" s="13" t="n">
        <v>0</v>
      </c>
      <c r="O294" s="13" t="n">
        <v>0</v>
      </c>
      <c r="P294" s="13" t="n">
        <v>0</v>
      </c>
      <c r="Q294" s="13" t="n">
        <v>0</v>
      </c>
      <c r="R294" s="13" t="n">
        <v>0</v>
      </c>
      <c r="S294" s="13" t="n">
        <v>0</v>
      </c>
      <c r="T294" s="13" t="n">
        <v>0</v>
      </c>
      <c r="U294" s="13" t="n">
        <v>0</v>
      </c>
      <c r="V294" s="13" t="n">
        <v>0</v>
      </c>
      <c r="W294" s="13" t="n">
        <v>3550.013232</v>
      </c>
      <c r="X294" s="13" t="n">
        <v>3924.912314</v>
      </c>
      <c r="Y294" s="13" t="n">
        <v>3675.046958</v>
      </c>
      <c r="Z294" s="13" t="n">
        <v>3699.964048</v>
      </c>
      <c r="AA294" s="13" t="n">
        <v>3725.05068</v>
      </c>
      <c r="AB294" s="13" t="n">
        <v>3475.025242</v>
      </c>
      <c r="AC294" s="13" t="n">
        <v>4089.8836</v>
      </c>
      <c r="AD294" s="13" t="n">
        <v>4141.9275</v>
      </c>
      <c r="AE294" s="13" t="n">
        <v>4142.00304</v>
      </c>
      <c r="AF294" s="13" t="n">
        <v>3985.7048</v>
      </c>
      <c r="AG294" s="13" t="n">
        <v>3881.40674</v>
      </c>
      <c r="AH294" s="13" t="n">
        <v>3907.49535</v>
      </c>
      <c r="AI294" s="13" t="n">
        <v>4506.58075</v>
      </c>
      <c r="AJ294" s="13" t="n">
        <v>6277.98798</v>
      </c>
      <c r="AK294" s="13" t="n">
        <v>8362.0179</v>
      </c>
      <c r="AL294" s="13" t="n">
        <v>8987.296076</v>
      </c>
      <c r="AM294" s="13" t="n">
        <v>8752.872461</v>
      </c>
      <c r="AN294" s="13" t="n">
        <v>12365.137247</v>
      </c>
      <c r="AO294" s="13" t="n">
        <v>12833.777282</v>
      </c>
      <c r="AP294" s="13" t="n">
        <v>12437.262</v>
      </c>
      <c r="AQ294" s="13" t="n">
        <v>12689.59584</v>
      </c>
      <c r="AR294" s="13" t="n">
        <v>12725.577466</v>
      </c>
      <c r="AS294" s="13" t="n">
        <v>13158.314649</v>
      </c>
      <c r="AT294" s="13" t="n">
        <v>12869.80156</v>
      </c>
    </row>
    <row r="295" customFormat="false" ht="15" hidden="false" customHeight="true" outlineLevel="0" collapsed="false">
      <c r="A295" s="12" t="s">
        <v>938</v>
      </c>
      <c r="B295" s="12" t="s">
        <v>939</v>
      </c>
      <c r="C295" s="12" t="n">
        <v>1</v>
      </c>
      <c r="D295" s="12" t="s">
        <v>940</v>
      </c>
      <c r="E295" s="13" t="n">
        <v>0</v>
      </c>
      <c r="F295" s="13" t="n">
        <v>0</v>
      </c>
      <c r="G295" s="13" t="n">
        <v>0</v>
      </c>
      <c r="H295" s="13" t="n">
        <v>0</v>
      </c>
      <c r="I295" s="13" t="n">
        <v>0</v>
      </c>
      <c r="J295" s="13" t="n">
        <v>0</v>
      </c>
      <c r="K295" s="13" t="n">
        <v>0</v>
      </c>
      <c r="L295" s="13" t="n">
        <v>0</v>
      </c>
      <c r="M295" s="13" t="n">
        <v>7999.96329</v>
      </c>
      <c r="N295" s="13" t="n">
        <v>11999.910048</v>
      </c>
      <c r="O295" s="13" t="n">
        <v>2000.074217</v>
      </c>
      <c r="P295" s="13" t="n">
        <v>2365.009157</v>
      </c>
      <c r="Q295" s="13" t="n">
        <v>2365.071075</v>
      </c>
      <c r="R295" s="13" t="n">
        <v>0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0</v>
      </c>
      <c r="X295" s="13" t="n">
        <v>0</v>
      </c>
      <c r="Y295" s="13" t="n">
        <v>0</v>
      </c>
      <c r="Z295" s="13" t="n">
        <v>0</v>
      </c>
      <c r="AA295" s="13" t="n">
        <v>0</v>
      </c>
      <c r="AB295" s="13" t="n">
        <v>0</v>
      </c>
      <c r="AC295" s="13" t="n">
        <v>0</v>
      </c>
      <c r="AD295" s="13" t="n">
        <v>0</v>
      </c>
      <c r="AE295" s="13" t="n">
        <v>0</v>
      </c>
      <c r="AF295" s="13" t="n">
        <v>0</v>
      </c>
      <c r="AG295" s="13" t="n">
        <v>0</v>
      </c>
      <c r="AH295" s="13" t="n">
        <v>0</v>
      </c>
      <c r="AI295" s="13" t="n">
        <v>0</v>
      </c>
      <c r="AJ295" s="13" t="n">
        <v>0</v>
      </c>
      <c r="AK295" s="13" t="n">
        <v>0</v>
      </c>
      <c r="AL295" s="13" t="n">
        <v>0</v>
      </c>
      <c r="AM295" s="13" t="n">
        <v>0</v>
      </c>
      <c r="AN295" s="13" t="n">
        <v>0</v>
      </c>
      <c r="AO295" s="13" t="n">
        <v>0</v>
      </c>
      <c r="AP295" s="13" t="n">
        <v>0</v>
      </c>
      <c r="AQ295" s="13" t="n">
        <v>0</v>
      </c>
      <c r="AR295" s="13" t="n">
        <v>0</v>
      </c>
      <c r="AS295" s="13" t="n">
        <v>0</v>
      </c>
      <c r="AT295" s="13" t="n">
        <v>0</v>
      </c>
    </row>
    <row r="296" customFormat="false" ht="15" hidden="false" customHeight="true" outlineLevel="0" collapsed="false">
      <c r="A296" s="12" t="s">
        <v>941</v>
      </c>
      <c r="B296" s="12" t="s">
        <v>942</v>
      </c>
      <c r="C296" s="12" t="n">
        <v>1</v>
      </c>
      <c r="D296" s="12" t="s">
        <v>943</v>
      </c>
      <c r="E296" s="13" t="n">
        <v>0</v>
      </c>
      <c r="F296" s="13" t="n">
        <v>0</v>
      </c>
      <c r="G296" s="13" t="n">
        <v>0</v>
      </c>
      <c r="H296" s="13" t="n">
        <v>0</v>
      </c>
      <c r="I296" s="13" t="n">
        <v>0</v>
      </c>
      <c r="J296" s="13" t="n">
        <v>0</v>
      </c>
      <c r="K296" s="13" t="n">
        <v>0</v>
      </c>
      <c r="L296" s="13" t="n">
        <v>0</v>
      </c>
      <c r="M296" s="13" t="n">
        <v>0</v>
      </c>
      <c r="N296" s="13" t="n">
        <v>0</v>
      </c>
      <c r="O296" s="13" t="n">
        <v>0</v>
      </c>
      <c r="P296" s="13" t="n">
        <v>0</v>
      </c>
      <c r="Q296" s="13" t="n">
        <v>0</v>
      </c>
      <c r="R296" s="13" t="n">
        <v>0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0</v>
      </c>
      <c r="X296" s="13" t="n">
        <v>0</v>
      </c>
      <c r="Y296" s="13" t="n">
        <v>0</v>
      </c>
      <c r="Z296" s="13" t="n">
        <v>0</v>
      </c>
      <c r="AA296" s="13" t="n">
        <v>0</v>
      </c>
      <c r="AB296" s="13" t="n">
        <v>0</v>
      </c>
      <c r="AC296" s="13" t="n">
        <v>0</v>
      </c>
      <c r="AD296" s="13" t="n">
        <v>0</v>
      </c>
      <c r="AE296" s="13" t="n">
        <v>0</v>
      </c>
      <c r="AF296" s="13" t="n">
        <v>0</v>
      </c>
      <c r="AG296" s="13" t="n">
        <v>0</v>
      </c>
      <c r="AH296" s="13" t="n">
        <v>0</v>
      </c>
      <c r="AI296" s="13" t="n">
        <v>0</v>
      </c>
      <c r="AJ296" s="13" t="n">
        <v>5390.02602</v>
      </c>
      <c r="AK296" s="13" t="n">
        <v>0</v>
      </c>
      <c r="AL296" s="13" t="n">
        <v>1230.513261</v>
      </c>
      <c r="AM296" s="13" t="n">
        <v>4030.389876</v>
      </c>
      <c r="AN296" s="13" t="n">
        <v>1125.394914</v>
      </c>
      <c r="AO296" s="13" t="n">
        <v>1755.397164</v>
      </c>
      <c r="AP296" s="13" t="n">
        <v>1755.45288</v>
      </c>
      <c r="AQ296" s="13" t="n">
        <v>1230.391035</v>
      </c>
      <c r="AR296" s="13" t="n">
        <v>1265.523164</v>
      </c>
      <c r="AS296" s="13" t="n">
        <v>1230.373476</v>
      </c>
      <c r="AT296" s="13" t="n">
        <v>1230.537496</v>
      </c>
    </row>
    <row r="297" customFormat="false" ht="15" hidden="false" customHeight="true" outlineLevel="0" collapsed="false">
      <c r="A297" s="12" t="s">
        <v>944</v>
      </c>
      <c r="B297" s="12" t="s">
        <v>945</v>
      </c>
      <c r="C297" s="12" t="n">
        <v>1</v>
      </c>
      <c r="D297" s="12" t="s">
        <v>946</v>
      </c>
      <c r="E297" s="13" t="n">
        <v>0</v>
      </c>
      <c r="F297" s="13" t="n">
        <v>0</v>
      </c>
      <c r="G297" s="13" t="n">
        <v>0</v>
      </c>
      <c r="H297" s="13" t="n">
        <v>0</v>
      </c>
      <c r="I297" s="13" t="n">
        <v>0</v>
      </c>
      <c r="J297" s="13" t="n">
        <v>0</v>
      </c>
      <c r="K297" s="13" t="n">
        <v>0</v>
      </c>
      <c r="L297" s="13" t="n">
        <v>0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0</v>
      </c>
      <c r="V297" s="13" t="n">
        <v>0</v>
      </c>
      <c r="W297" s="13" t="n">
        <v>0</v>
      </c>
      <c r="X297" s="13" t="n">
        <v>0</v>
      </c>
      <c r="Y297" s="13" t="n">
        <v>0</v>
      </c>
      <c r="Z297" s="13" t="n">
        <v>0</v>
      </c>
      <c r="AA297" s="13" t="n">
        <v>0</v>
      </c>
      <c r="AB297" s="13" t="n">
        <v>2208.086848</v>
      </c>
      <c r="AC297" s="13" t="n">
        <v>2351.9364</v>
      </c>
      <c r="AD297" s="13" t="n">
        <v>2111.9211</v>
      </c>
      <c r="AE297" s="13" t="n">
        <v>2352.07476</v>
      </c>
      <c r="AF297" s="13" t="n">
        <v>2160.0656</v>
      </c>
      <c r="AG297" s="13" t="n">
        <v>2591.91438</v>
      </c>
      <c r="AH297" s="13" t="n">
        <v>2448.06255</v>
      </c>
      <c r="AI297" s="13" t="n">
        <v>2447.93331</v>
      </c>
      <c r="AJ297" s="13" t="n">
        <v>2448.04626</v>
      </c>
      <c r="AK297" s="13" t="n">
        <v>2447.9568</v>
      </c>
      <c r="AL297" s="13" t="n">
        <v>2736.008755</v>
      </c>
      <c r="AM297" s="13" t="n">
        <v>2351.977926</v>
      </c>
      <c r="AN297" s="13" t="n">
        <v>2352.035807</v>
      </c>
      <c r="AO297" s="13" t="n">
        <v>2438.798692</v>
      </c>
      <c r="AP297" s="13" t="n">
        <v>2438.79048</v>
      </c>
      <c r="AQ297" s="13" t="n">
        <v>2438.691164</v>
      </c>
      <c r="AR297" s="13" t="n">
        <v>14344.057742</v>
      </c>
      <c r="AS297" s="13" t="n">
        <v>14623.061463</v>
      </c>
      <c r="AT297" s="13" t="n">
        <v>14497.45036</v>
      </c>
    </row>
    <row r="298" customFormat="false" ht="15" hidden="false" customHeight="true" outlineLevel="0" collapsed="false">
      <c r="A298" s="12" t="s">
        <v>947</v>
      </c>
      <c r="B298" s="12" t="s">
        <v>948</v>
      </c>
      <c r="C298" s="12" t="n">
        <v>1</v>
      </c>
      <c r="D298" s="12" t="s">
        <v>949</v>
      </c>
      <c r="E298" s="13" t="n">
        <v>802.520676</v>
      </c>
      <c r="F298" s="13" t="n">
        <v>802.537386</v>
      </c>
      <c r="G298" s="13" t="n">
        <v>802.567302</v>
      </c>
      <c r="H298" s="13" t="n">
        <v>802.541763</v>
      </c>
      <c r="I298" s="13" t="n">
        <v>802.41322</v>
      </c>
      <c r="J298" s="13" t="n">
        <v>802.465915</v>
      </c>
      <c r="K298" s="13" t="n">
        <v>802.545156</v>
      </c>
      <c r="L298" s="13" t="n">
        <v>802.473112</v>
      </c>
      <c r="M298" s="13" t="n">
        <v>802.534545</v>
      </c>
      <c r="N298" s="13" t="n">
        <v>802.571676</v>
      </c>
      <c r="O298" s="13" t="n">
        <v>802.576456</v>
      </c>
      <c r="P298" s="13" t="n">
        <v>802.434969</v>
      </c>
      <c r="Q298" s="13" t="n">
        <v>842.669244</v>
      </c>
      <c r="R298" s="13" t="n">
        <v>842.578047</v>
      </c>
      <c r="S298" s="13" t="n">
        <v>842.57307</v>
      </c>
      <c r="T298" s="13" t="n">
        <v>842.688</v>
      </c>
      <c r="U298" s="13" t="n">
        <v>842.67841</v>
      </c>
      <c r="V298" s="13" t="n">
        <v>842.695464</v>
      </c>
      <c r="W298" s="13" t="n">
        <v>842.642976</v>
      </c>
      <c r="X298" s="13" t="n">
        <v>842.568202</v>
      </c>
      <c r="Y298" s="13" t="n">
        <v>659.921648</v>
      </c>
      <c r="Z298" s="13" t="n">
        <v>842.550192</v>
      </c>
      <c r="AA298" s="13" t="n">
        <v>842.68761</v>
      </c>
      <c r="AB298" s="13" t="n">
        <v>842.602056</v>
      </c>
      <c r="AC298" s="13" t="n">
        <v>878.0728</v>
      </c>
      <c r="AD298" s="13" t="n">
        <v>878.0681</v>
      </c>
      <c r="AE298" s="13" t="n">
        <v>878.12424</v>
      </c>
      <c r="AF298" s="13" t="n">
        <v>878.163</v>
      </c>
      <c r="AG298" s="13" t="n">
        <v>878.059</v>
      </c>
      <c r="AH298" s="13" t="n">
        <v>878.1525</v>
      </c>
      <c r="AI298" s="13" t="n">
        <v>878.19584</v>
      </c>
      <c r="AJ298" s="13" t="n">
        <v>878.08329</v>
      </c>
      <c r="AK298" s="13" t="n">
        <v>878.17515</v>
      </c>
      <c r="AL298" s="13" t="n">
        <v>878.175008</v>
      </c>
      <c r="AM298" s="13" t="n">
        <v>878.093771</v>
      </c>
      <c r="AN298" s="13" t="n">
        <v>0</v>
      </c>
      <c r="AO298" s="13" t="n">
        <v>0</v>
      </c>
      <c r="AP298" s="13" t="n">
        <v>0</v>
      </c>
      <c r="AQ298" s="13" t="n">
        <v>0</v>
      </c>
      <c r="AR298" s="13" t="n">
        <v>0</v>
      </c>
      <c r="AS298" s="13" t="n">
        <v>0</v>
      </c>
      <c r="AT298" s="13" t="n">
        <v>0</v>
      </c>
    </row>
    <row r="299" customFormat="false" ht="15" hidden="false" customHeight="true" outlineLevel="0" collapsed="false">
      <c r="A299" s="12" t="s">
        <v>950</v>
      </c>
      <c r="B299" s="12" t="s">
        <v>951</v>
      </c>
      <c r="C299" s="12" t="n">
        <v>1</v>
      </c>
      <c r="D299" s="12" t="s">
        <v>952</v>
      </c>
      <c r="E299" s="13" t="n">
        <v>0</v>
      </c>
      <c r="F299" s="13" t="n">
        <v>0</v>
      </c>
      <c r="G299" s="13" t="n">
        <v>0</v>
      </c>
      <c r="H299" s="13" t="n">
        <v>0</v>
      </c>
      <c r="I299" s="13" t="n">
        <v>0</v>
      </c>
      <c r="J299" s="13" t="n">
        <v>0</v>
      </c>
      <c r="K299" s="13" t="n">
        <v>0</v>
      </c>
      <c r="L299" s="13" t="n">
        <v>0</v>
      </c>
      <c r="M299" s="13" t="n">
        <v>0</v>
      </c>
      <c r="N299" s="13" t="n">
        <v>0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0</v>
      </c>
      <c r="V299" s="13" t="n">
        <v>0</v>
      </c>
      <c r="W299" s="13" t="n">
        <v>0</v>
      </c>
      <c r="X299" s="13" t="n">
        <v>0</v>
      </c>
      <c r="Y299" s="13" t="n">
        <v>0</v>
      </c>
      <c r="Z299" s="13" t="n">
        <v>0</v>
      </c>
      <c r="AA299" s="13" t="n">
        <v>0</v>
      </c>
      <c r="AB299" s="13" t="n">
        <v>0</v>
      </c>
      <c r="AC299" s="13" t="n">
        <v>0</v>
      </c>
      <c r="AD299" s="13" t="n">
        <v>0</v>
      </c>
      <c r="AE299" s="13" t="n">
        <v>0</v>
      </c>
      <c r="AF299" s="13" t="n">
        <v>0</v>
      </c>
      <c r="AG299" s="13" t="n">
        <v>0</v>
      </c>
      <c r="AH299" s="13" t="n">
        <v>0</v>
      </c>
      <c r="AI299" s="13" t="n">
        <v>0</v>
      </c>
      <c r="AJ299" s="13" t="n">
        <v>0</v>
      </c>
      <c r="AK299" s="13" t="n">
        <v>0</v>
      </c>
      <c r="AL299" s="13" t="n">
        <v>0</v>
      </c>
      <c r="AM299" s="13" t="n">
        <v>0</v>
      </c>
      <c r="AN299" s="13" t="n">
        <v>0</v>
      </c>
      <c r="AO299" s="13" t="n">
        <v>0</v>
      </c>
      <c r="AP299" s="13" t="n">
        <v>974.964</v>
      </c>
      <c r="AQ299" s="13" t="n">
        <v>975.078105</v>
      </c>
      <c r="AR299" s="13" t="n">
        <v>0</v>
      </c>
      <c r="AS299" s="13" t="n">
        <v>0</v>
      </c>
      <c r="AT299" s="13" t="n">
        <v>0</v>
      </c>
    </row>
    <row r="300" customFormat="false" ht="15" hidden="false" customHeight="true" outlineLevel="0" collapsed="false">
      <c r="A300" s="12" t="s">
        <v>953</v>
      </c>
      <c r="B300" s="12" t="s">
        <v>954</v>
      </c>
      <c r="C300" s="12" t="n">
        <v>1</v>
      </c>
      <c r="D300" s="12" t="s">
        <v>955</v>
      </c>
      <c r="E300" s="13" t="n">
        <v>0</v>
      </c>
      <c r="F300" s="13" t="n">
        <v>0</v>
      </c>
      <c r="G300" s="13" t="n">
        <v>0</v>
      </c>
      <c r="H300" s="13" t="n">
        <v>0</v>
      </c>
      <c r="I300" s="13" t="n">
        <v>0</v>
      </c>
      <c r="J300" s="13" t="n">
        <v>0</v>
      </c>
      <c r="K300" s="13" t="n">
        <v>0</v>
      </c>
      <c r="L300" s="13" t="n">
        <v>0</v>
      </c>
      <c r="M300" s="13" t="n">
        <v>0</v>
      </c>
      <c r="N300" s="13" t="n">
        <v>0</v>
      </c>
      <c r="O300" s="13" t="n">
        <v>0</v>
      </c>
      <c r="P300" s="13" t="n">
        <v>0</v>
      </c>
      <c r="Q300" s="13" t="n">
        <v>0</v>
      </c>
      <c r="R300" s="13" t="n">
        <v>0</v>
      </c>
      <c r="S300" s="13" t="n">
        <v>0</v>
      </c>
      <c r="T300" s="13" t="n">
        <v>0</v>
      </c>
      <c r="U300" s="13" t="n">
        <v>0</v>
      </c>
      <c r="V300" s="13" t="n">
        <v>0</v>
      </c>
      <c r="W300" s="13" t="n">
        <v>0</v>
      </c>
      <c r="X300" s="13" t="n">
        <v>0</v>
      </c>
      <c r="Y300" s="13" t="n">
        <v>0</v>
      </c>
      <c r="Z300" s="13" t="n">
        <v>0</v>
      </c>
      <c r="AA300" s="13" t="n">
        <v>0</v>
      </c>
      <c r="AB300" s="13" t="n">
        <v>0</v>
      </c>
      <c r="AC300" s="13" t="n">
        <v>0</v>
      </c>
      <c r="AD300" s="13" t="n">
        <v>0</v>
      </c>
      <c r="AE300" s="13" t="n">
        <v>0</v>
      </c>
      <c r="AF300" s="13" t="n">
        <v>0</v>
      </c>
      <c r="AG300" s="13" t="n">
        <v>0</v>
      </c>
      <c r="AH300" s="13" t="n">
        <v>0</v>
      </c>
      <c r="AI300" s="13" t="n">
        <v>0</v>
      </c>
      <c r="AJ300" s="13" t="n">
        <v>0</v>
      </c>
      <c r="AK300" s="13" t="n">
        <v>0</v>
      </c>
      <c r="AL300" s="13" t="n">
        <v>0</v>
      </c>
      <c r="AM300" s="13" t="n">
        <v>0</v>
      </c>
      <c r="AN300" s="13" t="n">
        <v>0</v>
      </c>
      <c r="AO300" s="13" t="n">
        <v>0</v>
      </c>
      <c r="AP300" s="13" t="n">
        <v>0</v>
      </c>
      <c r="AQ300" s="13" t="n">
        <v>0</v>
      </c>
      <c r="AR300" s="13" t="n">
        <v>0</v>
      </c>
      <c r="AS300" s="13" t="n">
        <v>0</v>
      </c>
      <c r="AT300" s="13" t="n">
        <v>4899.922952</v>
      </c>
    </row>
    <row r="301" customFormat="false" ht="15" hidden="false" customHeight="true" outlineLevel="0" collapsed="false">
      <c r="A301" s="12" t="s">
        <v>956</v>
      </c>
      <c r="B301" s="12" t="s">
        <v>957</v>
      </c>
      <c r="C301" s="12" t="n">
        <v>1</v>
      </c>
      <c r="D301" s="12" t="s">
        <v>958</v>
      </c>
      <c r="E301" s="13" t="n">
        <v>0</v>
      </c>
      <c r="F301" s="13" t="n">
        <v>1200.033546</v>
      </c>
      <c r="G301" s="13" t="n">
        <v>1248.015685</v>
      </c>
      <c r="H301" s="13" t="n">
        <v>1679.944131</v>
      </c>
      <c r="I301" s="13" t="n">
        <v>2015.930658</v>
      </c>
      <c r="J301" s="13" t="n">
        <v>1920.03356</v>
      </c>
      <c r="K301" s="13" t="n">
        <v>2208.042204</v>
      </c>
      <c r="L301" s="13" t="n">
        <v>2351.989745</v>
      </c>
      <c r="M301" s="13" t="n">
        <v>2447.96832</v>
      </c>
      <c r="N301" s="13" t="n">
        <v>2016.005124</v>
      </c>
      <c r="O301" s="13" t="n">
        <v>1968.067523</v>
      </c>
      <c r="P301" s="13" t="n">
        <v>1823.961923</v>
      </c>
      <c r="Q301" s="13" t="n">
        <v>2116.802997</v>
      </c>
      <c r="R301" s="13" t="n">
        <v>2066.358984</v>
      </c>
      <c r="S301" s="13" t="n">
        <v>2015.95614</v>
      </c>
      <c r="T301" s="13" t="n">
        <v>1915.2</v>
      </c>
      <c r="U301" s="13" t="n">
        <v>1915.270688</v>
      </c>
      <c r="V301" s="13" t="n">
        <v>0</v>
      </c>
      <c r="W301" s="13" t="n">
        <v>0</v>
      </c>
      <c r="X301" s="13" t="n">
        <v>0</v>
      </c>
      <c r="Y301" s="13" t="n">
        <v>0</v>
      </c>
      <c r="Z301" s="13" t="n">
        <v>0</v>
      </c>
      <c r="AA301" s="13" t="n">
        <v>0</v>
      </c>
      <c r="AB301" s="13" t="n">
        <v>0</v>
      </c>
      <c r="AC301" s="13" t="n">
        <v>0</v>
      </c>
      <c r="AD301" s="13" t="n">
        <v>0</v>
      </c>
      <c r="AE301" s="13" t="n">
        <v>0</v>
      </c>
      <c r="AF301" s="13" t="n">
        <v>0</v>
      </c>
      <c r="AG301" s="13" t="n">
        <v>0</v>
      </c>
      <c r="AH301" s="13" t="n">
        <v>0</v>
      </c>
      <c r="AI301" s="13" t="n">
        <v>0</v>
      </c>
      <c r="AJ301" s="13" t="n">
        <v>0</v>
      </c>
      <c r="AK301" s="13" t="n">
        <v>0</v>
      </c>
      <c r="AL301" s="13" t="n">
        <v>0</v>
      </c>
      <c r="AM301" s="13" t="n">
        <v>0</v>
      </c>
      <c r="AN301" s="13" t="n">
        <v>0</v>
      </c>
      <c r="AO301" s="13" t="n">
        <v>0</v>
      </c>
      <c r="AP301" s="13" t="n">
        <v>0</v>
      </c>
      <c r="AQ301" s="13" t="n">
        <v>0</v>
      </c>
      <c r="AR301" s="13" t="n">
        <v>0</v>
      </c>
      <c r="AS301" s="13" t="n">
        <v>0</v>
      </c>
      <c r="AT301" s="13" t="n">
        <v>0</v>
      </c>
    </row>
    <row r="302" customFormat="false" ht="15" hidden="false" customHeight="true" outlineLevel="0" collapsed="false">
      <c r="A302" s="12" t="s">
        <v>959</v>
      </c>
      <c r="B302" s="12" t="s">
        <v>960</v>
      </c>
      <c r="C302" s="12" t="n">
        <v>1</v>
      </c>
      <c r="D302" s="12" t="s">
        <v>961</v>
      </c>
      <c r="E302" s="13" t="n">
        <v>0</v>
      </c>
      <c r="F302" s="13" t="n">
        <v>0</v>
      </c>
      <c r="G302" s="13" t="n">
        <v>0</v>
      </c>
      <c r="H302" s="13" t="n">
        <v>0</v>
      </c>
      <c r="I302" s="13" t="n">
        <v>0</v>
      </c>
      <c r="J302" s="13" t="n">
        <v>0</v>
      </c>
      <c r="K302" s="13" t="n">
        <v>0</v>
      </c>
      <c r="L302" s="13" t="n">
        <v>0</v>
      </c>
      <c r="M302" s="13" t="n">
        <v>0</v>
      </c>
      <c r="N302" s="13" t="n">
        <v>0</v>
      </c>
      <c r="O302" s="13" t="n">
        <v>0</v>
      </c>
      <c r="P302" s="13" t="n">
        <v>0</v>
      </c>
      <c r="Q302" s="13" t="n">
        <v>0</v>
      </c>
      <c r="R302" s="13" t="n">
        <v>0</v>
      </c>
      <c r="S302" s="13" t="n">
        <v>0</v>
      </c>
      <c r="T302" s="13" t="n">
        <v>0</v>
      </c>
      <c r="U302" s="13" t="n">
        <v>0</v>
      </c>
      <c r="V302" s="13" t="n">
        <v>12180.026196</v>
      </c>
      <c r="W302" s="13" t="n">
        <v>12420.077456</v>
      </c>
      <c r="X302" s="13" t="n">
        <v>13199.904668</v>
      </c>
      <c r="Y302" s="13" t="n">
        <v>12359.946594</v>
      </c>
      <c r="Z302" s="13" t="n">
        <v>14430.000112</v>
      </c>
      <c r="AA302" s="13" t="n">
        <v>0</v>
      </c>
      <c r="AB302" s="13" t="n">
        <v>0</v>
      </c>
      <c r="AC302" s="13" t="n">
        <v>0</v>
      </c>
      <c r="AD302" s="13" t="n">
        <v>0</v>
      </c>
      <c r="AE302" s="13" t="n">
        <v>0</v>
      </c>
      <c r="AF302" s="13" t="n">
        <v>0</v>
      </c>
      <c r="AG302" s="13" t="n">
        <v>0</v>
      </c>
      <c r="AH302" s="13" t="n">
        <v>0</v>
      </c>
      <c r="AI302" s="13" t="n">
        <v>0</v>
      </c>
      <c r="AJ302" s="13" t="n">
        <v>0</v>
      </c>
      <c r="AK302" s="13" t="n">
        <v>0</v>
      </c>
      <c r="AL302" s="13" t="n">
        <v>0</v>
      </c>
      <c r="AM302" s="13" t="n">
        <v>0</v>
      </c>
      <c r="AN302" s="13" t="n">
        <v>0</v>
      </c>
      <c r="AO302" s="13" t="n">
        <v>0</v>
      </c>
      <c r="AP302" s="13" t="n">
        <v>0</v>
      </c>
      <c r="AQ302" s="13" t="n">
        <v>0</v>
      </c>
      <c r="AR302" s="13" t="n">
        <v>0</v>
      </c>
      <c r="AS302" s="13" t="n">
        <v>0</v>
      </c>
      <c r="AT302" s="13" t="n">
        <v>0</v>
      </c>
    </row>
    <row r="303" customFormat="false" ht="15" hidden="false" customHeight="true" outlineLevel="0" collapsed="false">
      <c r="A303" s="12" t="s">
        <v>962</v>
      </c>
      <c r="B303" s="12" t="s">
        <v>963</v>
      </c>
      <c r="C303" s="12" t="n">
        <v>1</v>
      </c>
      <c r="D303" s="12" t="s">
        <v>964</v>
      </c>
      <c r="E303" s="13" t="n">
        <v>0</v>
      </c>
      <c r="F303" s="13" t="n">
        <v>0</v>
      </c>
      <c r="G303" s="13" t="n">
        <v>0</v>
      </c>
      <c r="H303" s="13" t="n">
        <v>0</v>
      </c>
      <c r="I303" s="13" t="n">
        <v>0</v>
      </c>
      <c r="J303" s="13" t="n">
        <v>0</v>
      </c>
      <c r="K303" s="13" t="n">
        <v>0</v>
      </c>
      <c r="L303" s="13" t="n">
        <v>0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1530.046272</v>
      </c>
      <c r="V303" s="13" t="n">
        <v>1530.07998</v>
      </c>
      <c r="W303" s="13" t="n">
        <v>1530.03264</v>
      </c>
      <c r="X303" s="13" t="n">
        <v>1530.067368</v>
      </c>
      <c r="Y303" s="13" t="n">
        <v>1529.907854</v>
      </c>
      <c r="Z303" s="13" t="n">
        <v>1845.070656</v>
      </c>
      <c r="AA303" s="13" t="n">
        <v>1710.07011</v>
      </c>
      <c r="AB303" s="13" t="n">
        <v>1710.093654</v>
      </c>
      <c r="AC303" s="13" t="n">
        <v>1734.8452</v>
      </c>
      <c r="AD303" s="13" t="n">
        <v>1641.1682</v>
      </c>
      <c r="AE303" s="13" t="n">
        <v>1735.02</v>
      </c>
      <c r="AF303" s="13" t="n">
        <v>1734.9838</v>
      </c>
      <c r="AG303" s="13" t="n">
        <v>1875.57262</v>
      </c>
      <c r="AH303" s="13" t="n">
        <v>1875.6582</v>
      </c>
      <c r="AI303" s="13" t="n">
        <v>1875.56466</v>
      </c>
      <c r="AJ303" s="13" t="n">
        <v>1875.64257</v>
      </c>
      <c r="AK303" s="13" t="n">
        <v>1922.556</v>
      </c>
      <c r="AL303" s="13" t="n">
        <v>1359.808323</v>
      </c>
      <c r="AM303" s="13" t="n">
        <v>1359.788829</v>
      </c>
      <c r="AN303" s="13" t="n">
        <v>1406.653726</v>
      </c>
      <c r="AO303" s="13" t="n">
        <v>1604.545414</v>
      </c>
      <c r="AP303" s="13" t="n">
        <v>1555.80096</v>
      </c>
      <c r="AQ303" s="13" t="n">
        <v>1604.487853</v>
      </c>
      <c r="AR303" s="13" t="n">
        <v>1604.446196</v>
      </c>
      <c r="AS303" s="13" t="n">
        <v>1507.155579</v>
      </c>
      <c r="AT303" s="13" t="n">
        <v>1166.831672</v>
      </c>
    </row>
    <row r="304" customFormat="false" ht="15" hidden="false" customHeight="true" outlineLevel="0" collapsed="false">
      <c r="A304" s="12" t="s">
        <v>965</v>
      </c>
      <c r="B304" s="12" t="s">
        <v>966</v>
      </c>
      <c r="C304" s="12" t="n">
        <v>1</v>
      </c>
      <c r="D304" s="12" t="s">
        <v>967</v>
      </c>
      <c r="E304" s="13" t="n">
        <v>0</v>
      </c>
      <c r="F304" s="13" t="n">
        <v>0</v>
      </c>
      <c r="G304" s="13" t="n">
        <v>0</v>
      </c>
      <c r="H304" s="13" t="n">
        <v>0</v>
      </c>
      <c r="I304" s="13" t="n">
        <v>0</v>
      </c>
      <c r="J304" s="13" t="n">
        <v>0</v>
      </c>
      <c r="K304" s="13" t="n">
        <v>0</v>
      </c>
      <c r="L304" s="13" t="n">
        <v>0</v>
      </c>
      <c r="M304" s="13" t="n">
        <v>0</v>
      </c>
      <c r="N304" s="13" t="n">
        <v>0</v>
      </c>
      <c r="O304" s="13" t="n">
        <v>0</v>
      </c>
      <c r="P304" s="13" t="n">
        <v>0</v>
      </c>
      <c r="Q304" s="13" t="n">
        <v>5799.961233</v>
      </c>
      <c r="R304" s="13" t="n">
        <v>5759.924385</v>
      </c>
      <c r="S304" s="13" t="n">
        <v>5319.921015</v>
      </c>
      <c r="T304" s="13" t="n">
        <v>4752.07936</v>
      </c>
      <c r="U304" s="13" t="n">
        <v>5320.064481</v>
      </c>
      <c r="V304" s="13" t="n">
        <v>5359.977948</v>
      </c>
      <c r="W304" s="13" t="n">
        <v>5359.989344</v>
      </c>
      <c r="X304" s="13" t="n">
        <v>5319.938744</v>
      </c>
      <c r="Y304" s="13" t="n">
        <v>5319.929228</v>
      </c>
      <c r="Z304" s="13" t="n">
        <v>5519.976704</v>
      </c>
      <c r="AA304" s="13" t="n">
        <v>5520.02223</v>
      </c>
      <c r="AB304" s="13" t="n">
        <v>5760.00661</v>
      </c>
      <c r="AC304" s="13" t="n">
        <v>5879.9444</v>
      </c>
      <c r="AD304" s="13" t="n">
        <v>6000.0978</v>
      </c>
      <c r="AE304" s="13" t="n">
        <v>5960.09988</v>
      </c>
      <c r="AF304" s="13" t="n">
        <v>5959.9562</v>
      </c>
      <c r="AG304" s="13" t="n">
        <v>5999.94118</v>
      </c>
      <c r="AH304" s="13" t="n">
        <v>5999.95335</v>
      </c>
      <c r="AI304" s="13" t="n">
        <v>5840.03993</v>
      </c>
      <c r="AJ304" s="13" t="n">
        <v>5960.00664</v>
      </c>
      <c r="AK304" s="13" t="n">
        <v>5759.9631</v>
      </c>
      <c r="AL304" s="13" t="n">
        <v>5760.076594</v>
      </c>
      <c r="AM304" s="13" t="n">
        <v>5799.968027</v>
      </c>
      <c r="AN304" s="13" t="n">
        <v>5760.05099</v>
      </c>
      <c r="AO304" s="13" t="n">
        <v>5879.942612</v>
      </c>
      <c r="AP304" s="13" t="n">
        <v>5760.0528</v>
      </c>
      <c r="AQ304" s="13" t="n">
        <v>5799.949263</v>
      </c>
      <c r="AR304" s="13" t="n">
        <v>5759.937284</v>
      </c>
      <c r="AS304" s="13" t="n">
        <v>5719.990365</v>
      </c>
      <c r="AT304" s="13" t="n">
        <v>5720.047928</v>
      </c>
    </row>
    <row r="305" customFormat="false" ht="15" hidden="false" customHeight="true" outlineLevel="0" collapsed="false">
      <c r="A305" s="12" t="s">
        <v>968</v>
      </c>
      <c r="B305" s="12" t="s">
        <v>969</v>
      </c>
      <c r="C305" s="12" t="n">
        <v>1</v>
      </c>
      <c r="D305" s="12" t="s">
        <v>970</v>
      </c>
      <c r="E305" s="13" t="n">
        <v>0</v>
      </c>
      <c r="F305" s="13" t="n">
        <v>0</v>
      </c>
      <c r="G305" s="13" t="n">
        <v>0</v>
      </c>
      <c r="H305" s="13" t="n">
        <v>0</v>
      </c>
      <c r="I305" s="13" t="n">
        <v>0</v>
      </c>
      <c r="J305" s="13" t="n">
        <v>0</v>
      </c>
      <c r="K305" s="13" t="n">
        <v>0</v>
      </c>
      <c r="L305" s="13" t="n">
        <v>0</v>
      </c>
      <c r="M305" s="13" t="n">
        <v>0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  <c r="V305" s="13" t="n">
        <v>0</v>
      </c>
      <c r="W305" s="13" t="n">
        <v>0</v>
      </c>
      <c r="X305" s="13" t="n">
        <v>0</v>
      </c>
      <c r="Y305" s="13" t="n">
        <v>0</v>
      </c>
      <c r="Z305" s="13" t="n">
        <v>0</v>
      </c>
      <c r="AA305" s="13" t="n">
        <v>0</v>
      </c>
      <c r="AB305" s="13" t="n">
        <v>0</v>
      </c>
      <c r="AC305" s="13" t="n">
        <v>0</v>
      </c>
      <c r="AD305" s="13" t="n">
        <v>0</v>
      </c>
      <c r="AE305" s="13" t="n">
        <v>0</v>
      </c>
      <c r="AF305" s="13" t="n">
        <v>0</v>
      </c>
      <c r="AG305" s="13" t="n">
        <v>0</v>
      </c>
      <c r="AH305" s="13" t="n">
        <v>0</v>
      </c>
      <c r="AI305" s="13" t="n">
        <v>0</v>
      </c>
      <c r="AJ305" s="13" t="n">
        <v>0</v>
      </c>
      <c r="AK305" s="13" t="n">
        <v>0</v>
      </c>
      <c r="AL305" s="13" t="n">
        <v>0</v>
      </c>
      <c r="AM305" s="13" t="n">
        <v>0</v>
      </c>
      <c r="AN305" s="13" t="n">
        <v>0</v>
      </c>
      <c r="AO305" s="13" t="n">
        <v>0</v>
      </c>
      <c r="AP305" s="13" t="n">
        <v>0</v>
      </c>
      <c r="AQ305" s="13" t="n">
        <v>28499.984835</v>
      </c>
      <c r="AR305" s="13" t="n">
        <v>13259.925062</v>
      </c>
      <c r="AS305" s="13" t="n">
        <v>13110.020586</v>
      </c>
      <c r="AT305" s="13" t="n">
        <v>12930.007064</v>
      </c>
    </row>
    <row r="306" customFormat="false" ht="15" hidden="false" customHeight="true" outlineLevel="0" collapsed="false">
      <c r="A306" s="12" t="s">
        <v>971</v>
      </c>
      <c r="B306" s="12" t="s">
        <v>972</v>
      </c>
      <c r="C306" s="12" t="n">
        <v>1</v>
      </c>
      <c r="D306" s="12" t="s">
        <v>973</v>
      </c>
      <c r="E306" s="13" t="n">
        <v>0</v>
      </c>
      <c r="F306" s="13" t="n">
        <v>0</v>
      </c>
      <c r="G306" s="13" t="n">
        <v>0</v>
      </c>
      <c r="H306" s="13" t="n">
        <v>2599.917831</v>
      </c>
      <c r="I306" s="13" t="n">
        <v>2249.93839</v>
      </c>
      <c r="J306" s="13" t="n">
        <v>3049.917885</v>
      </c>
      <c r="K306" s="13" t="n">
        <v>3250.0659</v>
      </c>
      <c r="L306" s="13" t="n">
        <v>3149.94141</v>
      </c>
      <c r="M306" s="13" t="n">
        <v>3000.0303</v>
      </c>
      <c r="N306" s="13" t="n">
        <v>2799.966966</v>
      </c>
      <c r="O306" s="13" t="n">
        <v>2800.069488</v>
      </c>
      <c r="P306" s="13" t="n">
        <v>2750.069665</v>
      </c>
      <c r="Q306" s="13" t="n">
        <v>2887.532874</v>
      </c>
      <c r="R306" s="13" t="n">
        <v>2992.528158</v>
      </c>
      <c r="S306" s="13" t="n">
        <v>2992.50726</v>
      </c>
      <c r="T306" s="13" t="n">
        <v>2940.0448</v>
      </c>
      <c r="U306" s="13" t="n">
        <v>2887.48759</v>
      </c>
      <c r="V306" s="13" t="n">
        <v>2835.023568</v>
      </c>
      <c r="W306" s="13" t="n">
        <v>2940.06272</v>
      </c>
      <c r="X306" s="13" t="n">
        <v>2835.066506</v>
      </c>
      <c r="Y306" s="13" t="n">
        <v>2939.919442</v>
      </c>
      <c r="Z306" s="13" t="n">
        <v>2940.005024</v>
      </c>
      <c r="AA306" s="13" t="n">
        <v>2992.57167</v>
      </c>
      <c r="AB306" s="13" t="n">
        <v>3045.022992</v>
      </c>
      <c r="AC306" s="13" t="n">
        <v>3063.742</v>
      </c>
      <c r="AD306" s="13" t="n">
        <v>3282.5417</v>
      </c>
      <c r="AE306" s="13" t="n">
        <v>3173.24952</v>
      </c>
      <c r="AF306" s="13" t="n">
        <v>3009.0544</v>
      </c>
      <c r="AG306" s="13" t="n">
        <v>3118.5568</v>
      </c>
      <c r="AH306" s="13" t="n">
        <v>3337.3572</v>
      </c>
      <c r="AI306" s="13" t="n">
        <v>3227.82084</v>
      </c>
      <c r="AJ306" s="13" t="n">
        <v>3173.10336</v>
      </c>
      <c r="AK306" s="13" t="n">
        <v>3173.13465</v>
      </c>
      <c r="AL306" s="13" t="n">
        <v>3118.552692</v>
      </c>
      <c r="AM306" s="13" t="n">
        <v>3173.207467</v>
      </c>
      <c r="AN306" s="13" t="n">
        <v>3063.814821</v>
      </c>
      <c r="AO306" s="13" t="n">
        <v>3120.131396</v>
      </c>
      <c r="AP306" s="13" t="n">
        <v>3063.45768</v>
      </c>
      <c r="AQ306" s="13" t="n">
        <v>3120.068863</v>
      </c>
      <c r="AR306" s="13" t="n">
        <v>3176.96486</v>
      </c>
      <c r="AS306" s="13" t="n">
        <v>3176.849241</v>
      </c>
      <c r="AT306" s="13" t="n">
        <v>2949.89468</v>
      </c>
    </row>
    <row r="307" customFormat="false" ht="15" hidden="false" customHeight="true" outlineLevel="0" collapsed="false">
      <c r="A307" s="12" t="s">
        <v>974</v>
      </c>
      <c r="B307" s="12" t="s">
        <v>975</v>
      </c>
      <c r="C307" s="12" t="n">
        <v>1</v>
      </c>
      <c r="D307" s="12" t="s">
        <v>976</v>
      </c>
      <c r="E307" s="13" t="n">
        <v>0</v>
      </c>
      <c r="F307" s="13" t="n">
        <v>0</v>
      </c>
      <c r="G307" s="13" t="n">
        <v>0</v>
      </c>
      <c r="H307" s="13" t="n">
        <v>0</v>
      </c>
      <c r="I307" s="13" t="n">
        <v>0</v>
      </c>
      <c r="J307" s="13" t="n">
        <v>0</v>
      </c>
      <c r="K307" s="13" t="n">
        <v>0</v>
      </c>
      <c r="L307" s="13" t="n">
        <v>0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0</v>
      </c>
      <c r="X307" s="13" t="n">
        <v>0</v>
      </c>
      <c r="Y307" s="13" t="n">
        <v>0</v>
      </c>
      <c r="Z307" s="13" t="n">
        <v>0</v>
      </c>
      <c r="AA307" s="13" t="n">
        <v>0</v>
      </c>
      <c r="AB307" s="13" t="n">
        <v>0</v>
      </c>
      <c r="AC307" s="13" t="n">
        <v>0</v>
      </c>
      <c r="AD307" s="13" t="n">
        <v>0</v>
      </c>
      <c r="AE307" s="13" t="n">
        <v>0</v>
      </c>
      <c r="AF307" s="13" t="n">
        <v>0</v>
      </c>
      <c r="AG307" s="13" t="n">
        <v>0</v>
      </c>
      <c r="AH307" s="13" t="n">
        <v>0</v>
      </c>
      <c r="AI307" s="13" t="n">
        <v>0</v>
      </c>
      <c r="AJ307" s="13" t="n">
        <v>0</v>
      </c>
      <c r="AK307" s="13" t="n">
        <v>0</v>
      </c>
      <c r="AL307" s="13" t="n">
        <v>0</v>
      </c>
      <c r="AM307" s="13" t="n">
        <v>0</v>
      </c>
      <c r="AN307" s="13" t="n">
        <v>0</v>
      </c>
      <c r="AO307" s="13" t="n">
        <v>0</v>
      </c>
      <c r="AP307" s="13" t="n">
        <v>0</v>
      </c>
      <c r="AQ307" s="13" t="n">
        <v>0</v>
      </c>
      <c r="AR307" s="13" t="n">
        <v>0</v>
      </c>
      <c r="AS307" s="13" t="n">
        <v>0</v>
      </c>
      <c r="AT307" s="13" t="n">
        <v>0</v>
      </c>
    </row>
    <row r="308" customFormat="false" ht="15" hidden="false" customHeight="true" outlineLevel="0" collapsed="false">
      <c r="A308" s="12" t="s">
        <v>977</v>
      </c>
      <c r="B308" s="12" t="s">
        <v>978</v>
      </c>
      <c r="C308" s="12" t="n">
        <v>1</v>
      </c>
      <c r="D308" s="12" t="s">
        <v>979</v>
      </c>
      <c r="E308" s="13" t="n">
        <v>0</v>
      </c>
      <c r="F308" s="13" t="n">
        <v>0</v>
      </c>
      <c r="G308" s="13" t="n">
        <v>0</v>
      </c>
      <c r="H308" s="13" t="n">
        <v>0</v>
      </c>
      <c r="I308" s="13" t="n">
        <v>0</v>
      </c>
      <c r="J308" s="13" t="n">
        <v>0</v>
      </c>
      <c r="K308" s="13" t="n">
        <v>0</v>
      </c>
      <c r="L308" s="13" t="n">
        <v>0</v>
      </c>
      <c r="M308" s="13" t="n">
        <v>0</v>
      </c>
      <c r="N308" s="13" t="n">
        <v>0</v>
      </c>
      <c r="O308" s="13" t="n">
        <v>0</v>
      </c>
      <c r="P308" s="13" t="n">
        <v>0</v>
      </c>
      <c r="Q308" s="13" t="n">
        <v>0</v>
      </c>
      <c r="R308" s="13" t="n">
        <v>0</v>
      </c>
      <c r="S308" s="13" t="n">
        <v>0</v>
      </c>
      <c r="T308" s="13" t="n">
        <v>0</v>
      </c>
      <c r="U308" s="13" t="n">
        <v>0</v>
      </c>
      <c r="V308" s="13" t="n">
        <v>0</v>
      </c>
      <c r="W308" s="13" t="n">
        <v>0</v>
      </c>
      <c r="X308" s="13" t="n">
        <v>0</v>
      </c>
      <c r="Y308" s="13" t="n">
        <v>0</v>
      </c>
      <c r="Z308" s="13" t="n">
        <v>0</v>
      </c>
      <c r="AA308" s="13" t="n">
        <v>0</v>
      </c>
      <c r="AB308" s="13" t="n">
        <v>0</v>
      </c>
      <c r="AC308" s="13" t="n">
        <v>0</v>
      </c>
      <c r="AD308" s="13" t="n">
        <v>0</v>
      </c>
      <c r="AE308" s="13" t="n">
        <v>0</v>
      </c>
      <c r="AF308" s="13" t="n">
        <v>0</v>
      </c>
      <c r="AG308" s="13" t="n">
        <v>0</v>
      </c>
      <c r="AH308" s="13" t="n">
        <v>0</v>
      </c>
      <c r="AI308" s="13" t="n">
        <v>0</v>
      </c>
      <c r="AJ308" s="13" t="n">
        <v>0</v>
      </c>
      <c r="AK308" s="13" t="n">
        <v>0</v>
      </c>
      <c r="AL308" s="13" t="n">
        <v>0</v>
      </c>
      <c r="AM308" s="13" t="n">
        <v>0</v>
      </c>
      <c r="AN308" s="13" t="n">
        <v>0</v>
      </c>
      <c r="AO308" s="13" t="n">
        <v>0</v>
      </c>
      <c r="AP308" s="13" t="n">
        <v>0</v>
      </c>
      <c r="AQ308" s="13" t="n">
        <v>0</v>
      </c>
      <c r="AR308" s="13" t="n">
        <v>0</v>
      </c>
      <c r="AS308" s="13" t="n">
        <v>0</v>
      </c>
      <c r="AT308" s="13" t="n">
        <v>0</v>
      </c>
    </row>
    <row r="309" customFormat="false" ht="15" hidden="false" customHeight="true" outlineLevel="0" collapsed="false">
      <c r="A309" s="12" t="s">
        <v>980</v>
      </c>
      <c r="B309" s="12" t="s">
        <v>981</v>
      </c>
      <c r="C309" s="12" t="n">
        <v>1</v>
      </c>
      <c r="D309" s="12" t="s">
        <v>982</v>
      </c>
      <c r="E309" s="13" t="n">
        <v>0</v>
      </c>
      <c r="F309" s="13" t="n">
        <v>0</v>
      </c>
      <c r="G309" s="13" t="n">
        <v>0</v>
      </c>
      <c r="H309" s="13" t="n">
        <v>0</v>
      </c>
      <c r="I309" s="13" t="n">
        <v>0</v>
      </c>
      <c r="J309" s="13" t="n">
        <v>0</v>
      </c>
      <c r="K309" s="13" t="n">
        <v>0</v>
      </c>
      <c r="L309" s="13" t="n">
        <v>0</v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0</v>
      </c>
      <c r="T309" s="13" t="n">
        <v>0</v>
      </c>
      <c r="U309" s="13" t="n">
        <v>0</v>
      </c>
      <c r="V309" s="13" t="n">
        <v>0</v>
      </c>
      <c r="W309" s="13" t="n">
        <v>0</v>
      </c>
      <c r="X309" s="13" t="n">
        <v>0</v>
      </c>
      <c r="Y309" s="13" t="n">
        <v>0</v>
      </c>
      <c r="Z309" s="13" t="n">
        <v>0</v>
      </c>
      <c r="AA309" s="13" t="n">
        <v>0</v>
      </c>
      <c r="AB309" s="13" t="n">
        <v>0</v>
      </c>
      <c r="AC309" s="13" t="n">
        <v>0</v>
      </c>
      <c r="AD309" s="13" t="n">
        <v>0</v>
      </c>
      <c r="AE309" s="13" t="n">
        <v>0</v>
      </c>
      <c r="AF309" s="13" t="n">
        <v>0</v>
      </c>
      <c r="AG309" s="13" t="n">
        <v>0</v>
      </c>
      <c r="AH309" s="13" t="n">
        <v>0</v>
      </c>
      <c r="AI309" s="13" t="n">
        <v>0</v>
      </c>
      <c r="AJ309" s="13" t="n">
        <v>1100.07378</v>
      </c>
      <c r="AK309" s="13" t="n">
        <v>1150.04805</v>
      </c>
      <c r="AL309" s="13" t="n">
        <v>1800.000913</v>
      </c>
      <c r="AM309" s="13" t="n">
        <v>2849.998521</v>
      </c>
      <c r="AN309" s="13" t="n">
        <v>3349.929124</v>
      </c>
      <c r="AO309" s="13" t="n">
        <v>4250.916114</v>
      </c>
      <c r="AP309" s="13" t="n">
        <v>4406.3196</v>
      </c>
      <c r="AQ309" s="13" t="n">
        <v>4561.953162</v>
      </c>
      <c r="AR309" s="13" t="n">
        <v>4976.660194</v>
      </c>
      <c r="AS309" s="13" t="n">
        <v>4510.042335</v>
      </c>
      <c r="AT309" s="13" t="n">
        <v>4510.16232</v>
      </c>
    </row>
    <row r="310" customFormat="false" ht="15" hidden="false" customHeight="true" outlineLevel="0" collapsed="false">
      <c r="A310" s="12" t="s">
        <v>983</v>
      </c>
      <c r="B310" s="12" t="s">
        <v>984</v>
      </c>
      <c r="C310" s="12" t="n">
        <v>1</v>
      </c>
      <c r="D310" s="12" t="s">
        <v>985</v>
      </c>
      <c r="E310" s="13" t="n">
        <v>0</v>
      </c>
      <c r="F310" s="13" t="n">
        <v>0</v>
      </c>
      <c r="G310" s="13" t="n">
        <v>0</v>
      </c>
      <c r="H310" s="13" t="n">
        <v>0</v>
      </c>
      <c r="I310" s="13" t="n">
        <v>0</v>
      </c>
      <c r="J310" s="13" t="n">
        <v>0</v>
      </c>
      <c r="K310" s="13" t="n">
        <v>0</v>
      </c>
      <c r="L310" s="13" t="n">
        <v>0</v>
      </c>
      <c r="M310" s="13" t="n">
        <v>0</v>
      </c>
      <c r="N310" s="13" t="n">
        <v>0</v>
      </c>
      <c r="O310" s="13" t="n">
        <v>0</v>
      </c>
      <c r="P310" s="13" t="n">
        <v>0</v>
      </c>
      <c r="Q310" s="13" t="n">
        <v>0</v>
      </c>
      <c r="R310" s="13" t="n">
        <v>0</v>
      </c>
      <c r="S310" s="13" t="n">
        <v>0</v>
      </c>
      <c r="T310" s="13" t="n">
        <v>0</v>
      </c>
      <c r="U310" s="13" t="n">
        <v>0</v>
      </c>
      <c r="V310" s="13" t="n">
        <v>0</v>
      </c>
      <c r="W310" s="13" t="n">
        <v>0</v>
      </c>
      <c r="X310" s="13" t="n">
        <v>0</v>
      </c>
      <c r="Y310" s="13" t="n">
        <v>0</v>
      </c>
      <c r="Z310" s="13" t="n">
        <v>0</v>
      </c>
      <c r="AA310" s="13" t="n">
        <v>0</v>
      </c>
      <c r="AB310" s="13" t="n">
        <v>0</v>
      </c>
      <c r="AC310" s="13" t="n">
        <v>0</v>
      </c>
      <c r="AD310" s="13" t="n">
        <v>0</v>
      </c>
      <c r="AE310" s="13" t="n">
        <v>0</v>
      </c>
      <c r="AF310" s="13" t="n">
        <v>0</v>
      </c>
      <c r="AG310" s="13" t="n">
        <v>0</v>
      </c>
      <c r="AH310" s="13" t="n">
        <v>4149.97875</v>
      </c>
      <c r="AI310" s="13" t="n">
        <v>4150.00166</v>
      </c>
      <c r="AJ310" s="13" t="n">
        <v>4050.06831</v>
      </c>
      <c r="AK310" s="13" t="n">
        <v>4999.92975</v>
      </c>
      <c r="AL310" s="13" t="n">
        <v>4899.951324</v>
      </c>
      <c r="AM310" s="13" t="n">
        <v>0</v>
      </c>
      <c r="AN310" s="13" t="n">
        <v>0</v>
      </c>
      <c r="AO310" s="13" t="n">
        <v>0</v>
      </c>
      <c r="AP310" s="13" t="n">
        <v>0</v>
      </c>
      <c r="AQ310" s="13" t="n">
        <v>0</v>
      </c>
      <c r="AR310" s="13" t="n">
        <v>0</v>
      </c>
      <c r="AS310" s="13" t="n">
        <v>0</v>
      </c>
      <c r="AT310" s="13" t="n">
        <v>0</v>
      </c>
    </row>
    <row r="311" customFormat="false" ht="15" hidden="false" customHeight="true" outlineLevel="0" collapsed="false">
      <c r="A311" s="12" t="s">
        <v>986</v>
      </c>
      <c r="B311" s="12" t="s">
        <v>987</v>
      </c>
      <c r="C311" s="12" t="n">
        <v>1</v>
      </c>
      <c r="D311" s="12" t="s">
        <v>988</v>
      </c>
      <c r="E311" s="13" t="n">
        <v>9229.832928</v>
      </c>
      <c r="F311" s="13" t="n">
        <v>8923.604766</v>
      </c>
      <c r="G311" s="13" t="n">
        <v>9025.714595</v>
      </c>
      <c r="H311" s="13" t="n">
        <v>7602.410115</v>
      </c>
      <c r="I311" s="13" t="n">
        <v>9352.355845</v>
      </c>
      <c r="J311" s="13" t="n">
        <v>9413.535885</v>
      </c>
      <c r="K311" s="13" t="n">
        <v>9372.706092</v>
      </c>
      <c r="L311" s="13" t="n">
        <v>9597.357371</v>
      </c>
      <c r="M311" s="13" t="n">
        <v>9474.94881</v>
      </c>
      <c r="N311" s="13" t="n">
        <v>9760.767594</v>
      </c>
      <c r="O311" s="13" t="n">
        <v>10067.137737</v>
      </c>
      <c r="P311" s="13" t="n">
        <v>9576.942081</v>
      </c>
      <c r="Q311" s="13" t="n">
        <v>9991.502442</v>
      </c>
      <c r="R311" s="13" t="n">
        <v>9927.172839</v>
      </c>
      <c r="S311" s="13" t="n">
        <v>9712.747005</v>
      </c>
      <c r="T311" s="13" t="n">
        <v>10034.45632</v>
      </c>
      <c r="U311" s="13" t="n">
        <v>10377.491365</v>
      </c>
      <c r="V311" s="13" t="n">
        <v>10956.330684</v>
      </c>
      <c r="W311" s="13" t="n">
        <v>10977.796688</v>
      </c>
      <c r="X311" s="13" t="n">
        <v>10977.77728</v>
      </c>
      <c r="Y311" s="13" t="n">
        <v>10475.468666</v>
      </c>
      <c r="Z311" s="13" t="n">
        <v>11770.644688</v>
      </c>
      <c r="AA311" s="13" t="n">
        <v>11834.97501</v>
      </c>
      <c r="AB311" s="13" t="n">
        <v>11513.335538</v>
      </c>
      <c r="AC311" s="13" t="n">
        <v>12220.0188</v>
      </c>
      <c r="AD311" s="13" t="n">
        <v>11907.1947</v>
      </c>
      <c r="AE311" s="13" t="n">
        <v>11795.48244</v>
      </c>
      <c r="AF311" s="13" t="n">
        <v>11348.7638</v>
      </c>
      <c r="AG311" s="13" t="n">
        <v>11281.6108</v>
      </c>
      <c r="AH311" s="13" t="n">
        <v>11393.3205</v>
      </c>
      <c r="AI311" s="13" t="n">
        <v>11371.05718</v>
      </c>
      <c r="AJ311" s="13" t="n">
        <v>11281.62753</v>
      </c>
      <c r="AK311" s="13" t="n">
        <v>11237.0463</v>
      </c>
      <c r="AL311" s="13" t="n">
        <v>11594.378131</v>
      </c>
      <c r="AM311" s="13" t="n">
        <v>0</v>
      </c>
      <c r="AN311" s="13" t="n">
        <v>0</v>
      </c>
      <c r="AO311" s="13" t="n">
        <v>0</v>
      </c>
      <c r="AP311" s="13" t="n">
        <v>0</v>
      </c>
      <c r="AQ311" s="13" t="n">
        <v>0</v>
      </c>
      <c r="AR311" s="13" t="n">
        <v>0</v>
      </c>
      <c r="AS311" s="13" t="n">
        <v>0</v>
      </c>
      <c r="AT311" s="13" t="n">
        <v>0</v>
      </c>
    </row>
    <row r="312" customFormat="false" ht="15" hidden="false" customHeight="true" outlineLevel="0" collapsed="false">
      <c r="A312" s="12" t="s">
        <v>989</v>
      </c>
      <c r="B312" s="12" t="s">
        <v>990</v>
      </c>
      <c r="C312" s="12" t="n">
        <v>1</v>
      </c>
      <c r="D312" s="12" t="s">
        <v>991</v>
      </c>
      <c r="E312" s="13" t="n">
        <v>1232.610156</v>
      </c>
      <c r="F312" s="13" t="n">
        <v>1232.606148</v>
      </c>
      <c r="G312" s="13" t="n">
        <v>1232.63043</v>
      </c>
      <c r="H312" s="13" t="n">
        <v>0</v>
      </c>
      <c r="I312" s="13" t="n">
        <v>0</v>
      </c>
      <c r="J312" s="13" t="n">
        <v>0</v>
      </c>
      <c r="K312" s="13" t="n">
        <v>0</v>
      </c>
      <c r="L312" s="13" t="n">
        <v>0</v>
      </c>
      <c r="M312" s="13" t="n">
        <v>0</v>
      </c>
      <c r="N312" s="13" t="n">
        <v>0</v>
      </c>
      <c r="O312" s="13" t="n">
        <v>0</v>
      </c>
      <c r="P312" s="13" t="n">
        <v>0</v>
      </c>
      <c r="Q312" s="13" t="n">
        <v>0</v>
      </c>
      <c r="R312" s="13" t="n">
        <v>0</v>
      </c>
      <c r="S312" s="13" t="n">
        <v>0</v>
      </c>
      <c r="T312" s="13" t="n">
        <v>0</v>
      </c>
      <c r="U312" s="13" t="n">
        <v>0</v>
      </c>
      <c r="V312" s="13" t="n">
        <v>0</v>
      </c>
      <c r="W312" s="13" t="n">
        <v>0</v>
      </c>
      <c r="X312" s="13" t="n">
        <v>0</v>
      </c>
      <c r="Y312" s="13" t="n">
        <v>0</v>
      </c>
      <c r="Z312" s="13" t="n">
        <v>0</v>
      </c>
      <c r="AA312" s="13" t="n">
        <v>0</v>
      </c>
      <c r="AB312" s="13" t="n">
        <v>0</v>
      </c>
      <c r="AC312" s="13" t="n">
        <v>0</v>
      </c>
      <c r="AD312" s="13" t="n">
        <v>0</v>
      </c>
      <c r="AE312" s="13" t="n">
        <v>0</v>
      </c>
      <c r="AF312" s="13" t="n">
        <v>0</v>
      </c>
      <c r="AG312" s="13" t="n">
        <v>0</v>
      </c>
      <c r="AH312" s="13" t="n">
        <v>0</v>
      </c>
      <c r="AI312" s="13" t="n">
        <v>0</v>
      </c>
      <c r="AJ312" s="13" t="n">
        <v>0</v>
      </c>
      <c r="AK312" s="13" t="n">
        <v>0</v>
      </c>
      <c r="AL312" s="13" t="n">
        <v>0</v>
      </c>
      <c r="AM312" s="13" t="n">
        <v>0</v>
      </c>
      <c r="AN312" s="13" t="n">
        <v>0</v>
      </c>
      <c r="AO312" s="13" t="n">
        <v>0</v>
      </c>
      <c r="AP312" s="13" t="n">
        <v>0</v>
      </c>
      <c r="AQ312" s="13" t="n">
        <v>0</v>
      </c>
      <c r="AR312" s="13" t="n">
        <v>0</v>
      </c>
      <c r="AS312" s="13" t="n">
        <v>0</v>
      </c>
      <c r="AT312" s="13" t="n">
        <v>0</v>
      </c>
    </row>
    <row r="313" customFormat="false" ht="15" hidden="false" customHeight="true" outlineLevel="0" collapsed="false">
      <c r="A313" s="12" t="s">
        <v>992</v>
      </c>
      <c r="B313" s="12" t="s">
        <v>993</v>
      </c>
      <c r="C313" s="12" t="n">
        <v>1</v>
      </c>
      <c r="D313" s="12" t="s">
        <v>994</v>
      </c>
      <c r="E313" s="13" t="n">
        <v>0</v>
      </c>
      <c r="F313" s="13" t="n">
        <v>0</v>
      </c>
      <c r="G313" s="13" t="n">
        <v>0</v>
      </c>
      <c r="H313" s="13" t="n">
        <v>0</v>
      </c>
      <c r="I313" s="13" t="n">
        <v>0</v>
      </c>
      <c r="J313" s="13" t="n">
        <v>0</v>
      </c>
      <c r="K313" s="13" t="n">
        <v>0</v>
      </c>
      <c r="L313" s="13" t="n">
        <v>0</v>
      </c>
      <c r="M313" s="13" t="n">
        <v>0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0</v>
      </c>
      <c r="V313" s="13" t="n">
        <v>0</v>
      </c>
      <c r="W313" s="13" t="n">
        <v>0</v>
      </c>
      <c r="X313" s="13" t="n">
        <v>0</v>
      </c>
      <c r="Y313" s="13" t="n">
        <v>0</v>
      </c>
      <c r="Z313" s="13" t="n">
        <v>0</v>
      </c>
      <c r="AA313" s="13" t="n">
        <v>0</v>
      </c>
      <c r="AB313" s="13" t="n">
        <v>0</v>
      </c>
      <c r="AC313" s="13" t="n">
        <v>0</v>
      </c>
      <c r="AD313" s="13" t="n">
        <v>0</v>
      </c>
      <c r="AE313" s="13" t="n">
        <v>0</v>
      </c>
      <c r="AF313" s="13" t="n">
        <v>0</v>
      </c>
      <c r="AG313" s="13" t="n">
        <v>0</v>
      </c>
      <c r="AH313" s="13" t="n">
        <v>0</v>
      </c>
      <c r="AI313" s="13" t="n">
        <v>0</v>
      </c>
      <c r="AJ313" s="13" t="n">
        <v>0</v>
      </c>
      <c r="AK313" s="13" t="n">
        <v>0</v>
      </c>
      <c r="AL313" s="13" t="n">
        <v>0</v>
      </c>
      <c r="AM313" s="13" t="n">
        <v>0</v>
      </c>
      <c r="AN313" s="13" t="n">
        <v>0</v>
      </c>
      <c r="AO313" s="13" t="n">
        <v>0</v>
      </c>
      <c r="AP313" s="13" t="n">
        <v>0</v>
      </c>
      <c r="AQ313" s="13" t="n">
        <v>0</v>
      </c>
      <c r="AR313" s="13" t="n">
        <v>0</v>
      </c>
      <c r="AS313" s="13" t="n">
        <v>0</v>
      </c>
      <c r="AT313" s="13" t="n">
        <v>0</v>
      </c>
    </row>
    <row r="314" customFormat="false" ht="15" hidden="false" customHeight="true" outlineLevel="0" collapsed="false">
      <c r="A314" s="12" t="s">
        <v>995</v>
      </c>
      <c r="B314" s="12" t="s">
        <v>996</v>
      </c>
      <c r="C314" s="12" t="n">
        <v>1</v>
      </c>
      <c r="D314" s="12" t="s">
        <v>997</v>
      </c>
      <c r="E314" s="13" t="n">
        <v>0</v>
      </c>
      <c r="F314" s="13" t="n">
        <v>0</v>
      </c>
      <c r="G314" s="13" t="n">
        <v>0</v>
      </c>
      <c r="H314" s="13" t="n">
        <v>0</v>
      </c>
      <c r="I314" s="13" t="n">
        <v>0</v>
      </c>
      <c r="J314" s="13" t="n">
        <v>0</v>
      </c>
      <c r="K314" s="13" t="n">
        <v>0</v>
      </c>
      <c r="L314" s="13" t="n">
        <v>0</v>
      </c>
      <c r="M314" s="13" t="n">
        <v>0</v>
      </c>
      <c r="N314" s="13" t="n">
        <v>0</v>
      </c>
      <c r="O314" s="13" t="n">
        <v>0</v>
      </c>
      <c r="P314" s="13" t="n">
        <v>0</v>
      </c>
      <c r="Q314" s="13" t="n">
        <v>0</v>
      </c>
      <c r="R314" s="13" t="n">
        <v>0</v>
      </c>
      <c r="S314" s="13" t="n">
        <v>0</v>
      </c>
      <c r="T314" s="13" t="n">
        <v>0</v>
      </c>
      <c r="U314" s="13" t="n">
        <v>0</v>
      </c>
      <c r="V314" s="13" t="n">
        <v>0</v>
      </c>
      <c r="W314" s="13" t="n">
        <v>0</v>
      </c>
      <c r="X314" s="13" t="n">
        <v>0</v>
      </c>
      <c r="Y314" s="13" t="n">
        <v>0</v>
      </c>
      <c r="Z314" s="13" t="n">
        <v>0</v>
      </c>
      <c r="AA314" s="13" t="n">
        <v>0</v>
      </c>
      <c r="AB314" s="13" t="n">
        <v>0</v>
      </c>
      <c r="AC314" s="13" t="n">
        <v>0</v>
      </c>
      <c r="AD314" s="13" t="n">
        <v>0</v>
      </c>
      <c r="AE314" s="13" t="n">
        <v>0</v>
      </c>
      <c r="AF314" s="13" t="n">
        <v>0</v>
      </c>
      <c r="AG314" s="13" t="n">
        <v>0</v>
      </c>
      <c r="AH314" s="13" t="n">
        <v>0</v>
      </c>
      <c r="AI314" s="13" t="n">
        <v>0</v>
      </c>
      <c r="AJ314" s="13" t="n">
        <v>0</v>
      </c>
      <c r="AK314" s="13" t="n">
        <v>0</v>
      </c>
      <c r="AL314" s="13" t="n">
        <v>0</v>
      </c>
      <c r="AM314" s="13" t="n">
        <v>0</v>
      </c>
      <c r="AN314" s="13" t="n">
        <v>0</v>
      </c>
      <c r="AO314" s="13" t="n">
        <v>0</v>
      </c>
      <c r="AP314" s="13" t="n">
        <v>999.9852</v>
      </c>
      <c r="AQ314" s="13" t="n">
        <v>1000.066179</v>
      </c>
      <c r="AR314" s="13" t="n">
        <v>999.9282</v>
      </c>
      <c r="AS314" s="13" t="n">
        <v>999.981369</v>
      </c>
      <c r="AT314" s="13" t="n">
        <v>1000.041424</v>
      </c>
    </row>
    <row r="315" customFormat="false" ht="15" hidden="false" customHeight="true" outlineLevel="0" collapsed="false">
      <c r="A315" s="12" t="s">
        <v>998</v>
      </c>
      <c r="B315" s="12" t="s">
        <v>999</v>
      </c>
      <c r="C315" s="12" t="n">
        <v>1</v>
      </c>
      <c r="D315" s="12" t="s">
        <v>1000</v>
      </c>
      <c r="E315" s="13" t="n">
        <v>21031.939008</v>
      </c>
      <c r="F315" s="13" t="n">
        <v>24570.047364</v>
      </c>
      <c r="G315" s="13" t="n">
        <v>25281.956031</v>
      </c>
      <c r="H315" s="13" t="n">
        <v>25627.941864</v>
      </c>
      <c r="I315" s="13" t="n">
        <v>24833.982187</v>
      </c>
      <c r="J315" s="13" t="n">
        <v>25856.987945</v>
      </c>
      <c r="K315" s="13" t="n">
        <v>25923.927444</v>
      </c>
      <c r="L315" s="13" t="n">
        <v>25776.936808</v>
      </c>
      <c r="M315" s="13" t="n">
        <v>25499.023695</v>
      </c>
      <c r="N315" s="13" t="n">
        <v>25597.013616</v>
      </c>
      <c r="O315" s="13" t="n">
        <v>25287.00905</v>
      </c>
      <c r="P315" s="13" t="n">
        <v>25286.937095</v>
      </c>
      <c r="Q315" s="13" t="n">
        <v>26468.021187</v>
      </c>
      <c r="R315" s="13" t="n">
        <v>26278.554561</v>
      </c>
      <c r="S315" s="13" t="n">
        <v>25971.727695</v>
      </c>
      <c r="T315" s="13" t="n">
        <v>26173.37856</v>
      </c>
      <c r="U315" s="13" t="n">
        <v>27548.632334</v>
      </c>
      <c r="V315" s="13" t="n">
        <v>25783.643964</v>
      </c>
      <c r="W315" s="13" t="n">
        <v>24719.777344</v>
      </c>
      <c r="X315" s="13" t="n">
        <v>24962.942028</v>
      </c>
      <c r="Y315" s="13" t="n">
        <v>25555.820192</v>
      </c>
      <c r="Z315" s="13" t="n">
        <v>26337.361248</v>
      </c>
      <c r="AA315" s="13" t="n">
        <v>27085.39617</v>
      </c>
      <c r="AB315" s="13" t="n">
        <v>26961.039898</v>
      </c>
      <c r="AC315" s="13" t="n">
        <v>28480.7028</v>
      </c>
      <c r="AD315" s="13" t="n">
        <v>30888.4115</v>
      </c>
      <c r="AE315" s="13" t="n">
        <v>30544.10856</v>
      </c>
      <c r="AF315" s="13" t="n">
        <v>27423.9438</v>
      </c>
      <c r="AG315" s="13" t="n">
        <v>25628.12996</v>
      </c>
      <c r="AH315" s="13" t="n">
        <v>23889.9027</v>
      </c>
      <c r="AI315" s="13" t="n">
        <v>23232.90403</v>
      </c>
      <c r="AJ315" s="13" t="n">
        <v>21868.39314</v>
      </c>
      <c r="AK315" s="13" t="n">
        <v>21868.3407</v>
      </c>
      <c r="AL315" s="13" t="n">
        <v>23608.873123</v>
      </c>
      <c r="AM315" s="13" t="n">
        <v>23435.766946</v>
      </c>
      <c r="AN315" s="13" t="n">
        <v>23170.223219</v>
      </c>
      <c r="AO315" s="13" t="n">
        <v>23949.22383</v>
      </c>
      <c r="AP315" s="13" t="n">
        <v>21978.27696</v>
      </c>
      <c r="AQ315" s="13" t="n">
        <v>21109.128194</v>
      </c>
      <c r="AR315" s="13" t="n">
        <v>19903.483108</v>
      </c>
      <c r="AS315" s="13" t="n">
        <v>19882.267614</v>
      </c>
      <c r="AT315" s="13" t="n">
        <v>19253.860192</v>
      </c>
    </row>
    <row r="316" customFormat="false" ht="15" hidden="false" customHeight="true" outlineLevel="0" collapsed="false">
      <c r="A316" s="12" t="s">
        <v>1001</v>
      </c>
      <c r="B316" s="12" t="s">
        <v>1002</v>
      </c>
      <c r="C316" s="12" t="n">
        <v>1</v>
      </c>
      <c r="D316" s="12" t="s">
        <v>1003</v>
      </c>
      <c r="E316" s="13" t="n">
        <v>0</v>
      </c>
      <c r="F316" s="13" t="n">
        <v>0</v>
      </c>
      <c r="G316" s="13" t="n">
        <v>0</v>
      </c>
      <c r="H316" s="13" t="n">
        <v>0</v>
      </c>
      <c r="I316" s="13" t="n">
        <v>0</v>
      </c>
      <c r="J316" s="13" t="n">
        <v>0</v>
      </c>
      <c r="K316" s="13" t="n">
        <v>0</v>
      </c>
      <c r="L316" s="13" t="n">
        <v>0</v>
      </c>
      <c r="M316" s="13" t="n">
        <v>0</v>
      </c>
      <c r="N316" s="13" t="n">
        <v>0</v>
      </c>
      <c r="O316" s="13" t="n">
        <v>0</v>
      </c>
      <c r="P316" s="13" t="n">
        <v>0</v>
      </c>
      <c r="Q316" s="13" t="n">
        <v>0</v>
      </c>
      <c r="R316" s="13" t="n">
        <v>0</v>
      </c>
      <c r="S316" s="13" t="n">
        <v>0</v>
      </c>
      <c r="T316" s="13" t="n">
        <v>455.05152</v>
      </c>
      <c r="U316" s="13" t="n">
        <v>875.063033</v>
      </c>
      <c r="V316" s="13" t="n">
        <v>1294.994844</v>
      </c>
      <c r="W316" s="13" t="n">
        <v>1470.03136</v>
      </c>
      <c r="X316" s="13" t="n">
        <v>1435.082626</v>
      </c>
      <c r="Y316" s="13" t="n">
        <v>1435.014586</v>
      </c>
      <c r="Z316" s="13" t="n">
        <v>1294.99744</v>
      </c>
      <c r="AA316" s="13" t="n">
        <v>1154.94531</v>
      </c>
      <c r="AB316" s="13" t="n">
        <v>1085.022148</v>
      </c>
      <c r="AC316" s="13" t="n">
        <v>1130.5756</v>
      </c>
      <c r="AD316" s="13" t="n">
        <v>1094.0437</v>
      </c>
      <c r="AE316" s="13" t="n">
        <v>1094.0832</v>
      </c>
      <c r="AF316" s="13" t="n">
        <v>1094.1304</v>
      </c>
      <c r="AG316" s="13" t="n">
        <v>1166.95006</v>
      </c>
      <c r="AH316" s="13" t="n">
        <v>1677.55455</v>
      </c>
      <c r="AI316" s="13" t="n">
        <v>1531.76753</v>
      </c>
      <c r="AJ316" s="13" t="n">
        <v>1823.45337</v>
      </c>
      <c r="AK316" s="13" t="n">
        <v>3026.925</v>
      </c>
      <c r="AL316" s="13" t="n">
        <v>1203.438654</v>
      </c>
      <c r="AM316" s="13" t="n">
        <v>1312.829981</v>
      </c>
      <c r="AN316" s="13" t="n">
        <v>1239.948535</v>
      </c>
      <c r="AO316" s="13" t="n">
        <v>1285.946518</v>
      </c>
      <c r="AP316" s="13" t="n">
        <v>1248.12648</v>
      </c>
      <c r="AQ316" s="13" t="n">
        <v>1172.447675</v>
      </c>
      <c r="AR316" s="13" t="n">
        <v>1059.046762</v>
      </c>
      <c r="AS316" s="13" t="n">
        <v>1021.099203</v>
      </c>
      <c r="AT316" s="13" t="n">
        <v>2723.073944</v>
      </c>
    </row>
    <row r="317" customFormat="false" ht="15" hidden="false" customHeight="true" outlineLevel="0" collapsed="false">
      <c r="A317" s="12" t="s">
        <v>1004</v>
      </c>
      <c r="B317" s="12" t="s">
        <v>1005</v>
      </c>
      <c r="C317" s="12" t="n">
        <v>1</v>
      </c>
      <c r="D317" s="12" t="s">
        <v>1006</v>
      </c>
      <c r="E317" s="13" t="n">
        <v>0</v>
      </c>
      <c r="F317" s="13" t="n">
        <v>0</v>
      </c>
      <c r="G317" s="13" t="n">
        <v>0</v>
      </c>
      <c r="H317" s="13" t="n">
        <v>0</v>
      </c>
      <c r="I317" s="13" t="n">
        <v>0</v>
      </c>
      <c r="J317" s="13" t="n">
        <v>0</v>
      </c>
      <c r="K317" s="13" t="n">
        <v>0</v>
      </c>
      <c r="L317" s="13" t="n">
        <v>0</v>
      </c>
      <c r="M317" s="13" t="n">
        <v>0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0</v>
      </c>
      <c r="V317" s="13" t="n">
        <v>0</v>
      </c>
      <c r="W317" s="13" t="n">
        <v>0</v>
      </c>
      <c r="X317" s="13" t="n">
        <v>8419.931378</v>
      </c>
      <c r="Y317" s="13" t="n">
        <v>9900.005964</v>
      </c>
      <c r="Z317" s="13" t="n">
        <v>8760.076336</v>
      </c>
      <c r="AA317" s="13" t="n">
        <v>8999.96082</v>
      </c>
      <c r="AB317" s="13" t="n">
        <v>8939.99972</v>
      </c>
      <c r="AC317" s="13" t="n">
        <v>9040.0552</v>
      </c>
      <c r="AD317" s="13" t="n">
        <v>8880.0462</v>
      </c>
      <c r="AE317" s="13" t="n">
        <v>7000.09128</v>
      </c>
      <c r="AF317" s="13" t="n">
        <v>7140.0428</v>
      </c>
      <c r="AG317" s="13" t="n">
        <v>9000.00826</v>
      </c>
      <c r="AH317" s="13" t="n">
        <v>9460.06305</v>
      </c>
      <c r="AI317" s="13" t="n">
        <v>4480.07698</v>
      </c>
      <c r="AJ317" s="13" t="n">
        <v>0</v>
      </c>
      <c r="AK317" s="13" t="n">
        <v>0</v>
      </c>
      <c r="AL317" s="13" t="n">
        <v>0</v>
      </c>
      <c r="AM317" s="13" t="n">
        <v>0</v>
      </c>
      <c r="AN317" s="13" t="n">
        <v>0</v>
      </c>
      <c r="AO317" s="13" t="n">
        <v>0</v>
      </c>
      <c r="AP317" s="13" t="n">
        <v>0</v>
      </c>
      <c r="AQ317" s="13" t="n">
        <v>0</v>
      </c>
      <c r="AR317" s="13" t="n">
        <v>0</v>
      </c>
      <c r="AS317" s="13" t="n">
        <v>0</v>
      </c>
      <c r="AT317" s="13" t="n">
        <v>0</v>
      </c>
    </row>
    <row r="318" customFormat="false" ht="15" hidden="false" customHeight="true" outlineLevel="0" collapsed="false">
      <c r="A318" s="12" t="s">
        <v>1007</v>
      </c>
      <c r="B318" s="12" t="s">
        <v>1008</v>
      </c>
      <c r="C318" s="12" t="n">
        <v>1</v>
      </c>
      <c r="D318" s="12" t="s">
        <v>1009</v>
      </c>
      <c r="E318" s="13" t="n">
        <v>0</v>
      </c>
      <c r="F318" s="13" t="n">
        <v>0</v>
      </c>
      <c r="G318" s="13" t="n">
        <v>0</v>
      </c>
      <c r="H318" s="13" t="n">
        <v>0</v>
      </c>
      <c r="I318" s="13" t="n">
        <v>0</v>
      </c>
      <c r="J318" s="13" t="n">
        <v>0</v>
      </c>
      <c r="K318" s="13" t="n">
        <v>0</v>
      </c>
      <c r="L318" s="13" t="n">
        <v>0</v>
      </c>
      <c r="M318" s="13" t="n">
        <v>0</v>
      </c>
      <c r="N318" s="13" t="n">
        <v>0</v>
      </c>
      <c r="O318" s="13" t="n">
        <v>0</v>
      </c>
      <c r="P318" s="13" t="n">
        <v>0</v>
      </c>
      <c r="Q318" s="13" t="n">
        <v>0</v>
      </c>
      <c r="R318" s="13" t="n">
        <v>0</v>
      </c>
      <c r="S318" s="13" t="n">
        <v>0</v>
      </c>
      <c r="T318" s="13" t="n">
        <v>0</v>
      </c>
      <c r="U318" s="13" t="n">
        <v>0</v>
      </c>
      <c r="V318" s="13" t="n">
        <v>0</v>
      </c>
      <c r="W318" s="13" t="n">
        <v>0</v>
      </c>
      <c r="X318" s="13" t="n">
        <v>0</v>
      </c>
      <c r="Y318" s="13" t="n">
        <v>0</v>
      </c>
      <c r="Z318" s="13" t="n">
        <v>0</v>
      </c>
      <c r="AA318" s="13" t="n">
        <v>0</v>
      </c>
      <c r="AB318" s="13" t="n">
        <v>0</v>
      </c>
      <c r="AC318" s="13" t="n">
        <v>0</v>
      </c>
      <c r="AD318" s="13" t="n">
        <v>0</v>
      </c>
      <c r="AE318" s="13" t="n">
        <v>0</v>
      </c>
      <c r="AF318" s="13" t="n">
        <v>2649.9572</v>
      </c>
      <c r="AG318" s="13" t="n">
        <v>0</v>
      </c>
      <c r="AH318" s="13" t="n">
        <v>2399.9058</v>
      </c>
      <c r="AI318" s="13" t="n">
        <v>2050.00082</v>
      </c>
      <c r="AJ318" s="13" t="n">
        <v>2049.91722</v>
      </c>
      <c r="AK318" s="13" t="n">
        <v>2250.01425</v>
      </c>
      <c r="AL318" s="13" t="n">
        <v>2349.965379</v>
      </c>
      <c r="AM318" s="13" t="n">
        <v>2150.018193</v>
      </c>
      <c r="AN318" s="13" t="n">
        <v>2100.089774</v>
      </c>
      <c r="AO318" s="13" t="n">
        <v>2073.651256</v>
      </c>
      <c r="AP318" s="13" t="n">
        <v>2280.89808</v>
      </c>
      <c r="AQ318" s="13" t="n">
        <v>2229.189703</v>
      </c>
      <c r="AR318" s="13" t="n">
        <v>2125.461416</v>
      </c>
      <c r="AS318" s="13" t="n">
        <v>2125.458063</v>
      </c>
      <c r="AT318" s="13" t="n">
        <v>2125.394304</v>
      </c>
    </row>
    <row r="319" customFormat="false" ht="15" hidden="false" customHeight="true" outlineLevel="0" collapsed="false">
      <c r="A319" s="12" t="s">
        <v>1010</v>
      </c>
      <c r="B319" s="12" t="s">
        <v>1011</v>
      </c>
      <c r="C319" s="12" t="n">
        <v>1</v>
      </c>
      <c r="D319" s="12" t="s">
        <v>1012</v>
      </c>
      <c r="E319" s="13" t="n">
        <v>0</v>
      </c>
      <c r="F319" s="13" t="n">
        <v>0</v>
      </c>
      <c r="G319" s="13" t="n">
        <v>0</v>
      </c>
      <c r="H319" s="13" t="n">
        <v>0</v>
      </c>
      <c r="I319" s="13" t="n">
        <v>0</v>
      </c>
      <c r="J319" s="13" t="n">
        <v>0</v>
      </c>
      <c r="K319" s="13" t="n">
        <v>1920.00042</v>
      </c>
      <c r="L319" s="13" t="n">
        <v>1919.940365</v>
      </c>
      <c r="M319" s="13" t="n">
        <v>1920.054645</v>
      </c>
      <c r="N319" s="13" t="n">
        <v>2580.08184</v>
      </c>
      <c r="O319" s="13" t="n">
        <v>2669.977764</v>
      </c>
      <c r="P319" s="13" t="n">
        <v>2699.991497</v>
      </c>
      <c r="Q319" s="13" t="n">
        <v>2268.06453</v>
      </c>
      <c r="R319" s="13" t="n">
        <v>1984.477287</v>
      </c>
      <c r="S319" s="13" t="n">
        <v>1795.471275</v>
      </c>
      <c r="T319" s="13" t="n">
        <v>1890.00448</v>
      </c>
      <c r="U319" s="13" t="n">
        <v>1795.56627</v>
      </c>
      <c r="V319" s="13" t="n">
        <v>1795.564056</v>
      </c>
      <c r="W319" s="13" t="n">
        <v>1764.037632</v>
      </c>
      <c r="X319" s="13" t="n">
        <v>1764.059008</v>
      </c>
      <c r="Y319" s="13" t="n">
        <v>1826.99072</v>
      </c>
      <c r="Z319" s="13" t="n">
        <v>1858.501744</v>
      </c>
      <c r="AA319" s="13" t="n">
        <v>1795.58382</v>
      </c>
      <c r="AB319" s="13" t="n">
        <v>1763.919818</v>
      </c>
      <c r="AC319" s="13" t="n">
        <v>1969.77</v>
      </c>
      <c r="AD319" s="13" t="n">
        <v>2002.7015</v>
      </c>
      <c r="AE319" s="13" t="n">
        <v>1707.25968</v>
      </c>
      <c r="AF319" s="13" t="n">
        <v>1772.7732</v>
      </c>
      <c r="AG319" s="13" t="n">
        <v>1707.10108</v>
      </c>
      <c r="AH319" s="13" t="n">
        <v>2232.39585</v>
      </c>
      <c r="AI319" s="13" t="n">
        <v>2232.51969</v>
      </c>
      <c r="AJ319" s="13" t="n">
        <v>2232.39303</v>
      </c>
      <c r="AK319" s="13" t="n">
        <v>2298.07815</v>
      </c>
      <c r="AL319" s="13" t="n">
        <v>1641.421072</v>
      </c>
      <c r="AM319" s="13" t="n">
        <v>1378.865861</v>
      </c>
      <c r="AN319" s="13" t="n">
        <v>1411.68905</v>
      </c>
      <c r="AO319" s="13" t="n">
        <v>1497.828576</v>
      </c>
      <c r="AP319" s="13" t="n">
        <v>1429.6596</v>
      </c>
      <c r="AQ319" s="13" t="n">
        <v>1531.87758</v>
      </c>
      <c r="AR319" s="13" t="n">
        <v>1463.754544</v>
      </c>
      <c r="AS319" s="13" t="n">
        <v>1361.581002</v>
      </c>
      <c r="AT319" s="13" t="n">
        <v>1395.577584</v>
      </c>
    </row>
    <row r="320" customFormat="false" ht="15" hidden="false" customHeight="true" outlineLevel="0" collapsed="false">
      <c r="A320" s="12" t="s">
        <v>1013</v>
      </c>
      <c r="B320" s="12" t="s">
        <v>1014</v>
      </c>
      <c r="C320" s="12" t="n">
        <v>1</v>
      </c>
      <c r="D320" s="12" t="s">
        <v>1015</v>
      </c>
      <c r="E320" s="13" t="n">
        <v>-13680.038268</v>
      </c>
      <c r="F320" s="13" t="n">
        <v>-13679.940762</v>
      </c>
      <c r="G320" s="13" t="n">
        <v>-13680.025737</v>
      </c>
      <c r="H320" s="13" t="n">
        <v>0</v>
      </c>
      <c r="I320" s="13" t="n">
        <v>0</v>
      </c>
      <c r="J320" s="13" t="n">
        <v>0</v>
      </c>
      <c r="K320" s="13" t="n">
        <v>0</v>
      </c>
      <c r="L320" s="13" t="n">
        <v>0</v>
      </c>
      <c r="M320" s="13" t="n">
        <v>0</v>
      </c>
      <c r="N320" s="13" t="n">
        <v>0</v>
      </c>
      <c r="O320" s="13" t="n">
        <v>0</v>
      </c>
      <c r="P320" s="13" t="n">
        <v>0</v>
      </c>
      <c r="Q320" s="13" t="n">
        <v>0</v>
      </c>
      <c r="R320" s="13" t="n">
        <v>0</v>
      </c>
      <c r="S320" s="13" t="n">
        <v>0</v>
      </c>
      <c r="T320" s="13" t="n">
        <v>0</v>
      </c>
      <c r="U320" s="13" t="n">
        <v>0</v>
      </c>
      <c r="V320" s="13" t="n">
        <v>0</v>
      </c>
      <c r="W320" s="13" t="n">
        <v>0</v>
      </c>
      <c r="X320" s="13" t="n">
        <v>0</v>
      </c>
      <c r="Y320" s="13" t="n">
        <v>0</v>
      </c>
      <c r="Z320" s="13" t="n">
        <v>0</v>
      </c>
      <c r="AA320" s="13" t="n">
        <v>0</v>
      </c>
      <c r="AB320" s="13" t="n">
        <v>0</v>
      </c>
      <c r="AC320" s="13" t="n">
        <v>0</v>
      </c>
      <c r="AD320" s="13" t="n">
        <v>0</v>
      </c>
      <c r="AE320" s="13" t="n">
        <v>0</v>
      </c>
      <c r="AF320" s="13" t="n">
        <v>0</v>
      </c>
      <c r="AG320" s="13" t="n">
        <v>0</v>
      </c>
      <c r="AH320" s="13" t="n">
        <v>0</v>
      </c>
      <c r="AI320" s="13" t="n">
        <v>0</v>
      </c>
      <c r="AJ320" s="13" t="n">
        <v>0</v>
      </c>
      <c r="AK320" s="13" t="n">
        <v>0</v>
      </c>
      <c r="AL320" s="13" t="n">
        <v>0</v>
      </c>
      <c r="AM320" s="13" t="n">
        <v>0</v>
      </c>
      <c r="AN320" s="13" t="n">
        <v>0</v>
      </c>
      <c r="AO320" s="13" t="n">
        <v>0</v>
      </c>
      <c r="AP320" s="13" t="n">
        <v>0</v>
      </c>
      <c r="AQ320" s="13" t="n">
        <v>0</v>
      </c>
      <c r="AR320" s="13" t="n">
        <v>0</v>
      </c>
      <c r="AS320" s="13" t="n">
        <v>0</v>
      </c>
      <c r="AT320" s="13" t="n">
        <v>0</v>
      </c>
    </row>
    <row r="321" customFormat="false" ht="15" hidden="false" customHeight="true" outlineLevel="0" collapsed="false">
      <c r="A321" s="12" t="s">
        <v>1016</v>
      </c>
      <c r="B321" s="12" t="s">
        <v>1017</v>
      </c>
      <c r="C321" s="12" t="n">
        <v>1</v>
      </c>
      <c r="D321" s="12" t="s">
        <v>1018</v>
      </c>
      <c r="E321" s="13" t="n">
        <v>0</v>
      </c>
      <c r="F321" s="13" t="n">
        <v>0</v>
      </c>
      <c r="G321" s="13" t="n">
        <v>0</v>
      </c>
      <c r="H321" s="13" t="n">
        <v>0</v>
      </c>
      <c r="I321" s="13" t="n">
        <v>0</v>
      </c>
      <c r="J321" s="13" t="n">
        <v>0</v>
      </c>
      <c r="K321" s="13" t="n">
        <v>0</v>
      </c>
      <c r="L321" s="13" t="n">
        <v>0</v>
      </c>
      <c r="M321" s="13" t="n">
        <v>0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0</v>
      </c>
      <c r="X321" s="13" t="n">
        <v>0</v>
      </c>
      <c r="Y321" s="13" t="n">
        <v>0</v>
      </c>
      <c r="Z321" s="13" t="n">
        <v>0</v>
      </c>
      <c r="AA321" s="13" t="n">
        <v>0</v>
      </c>
      <c r="AB321" s="13" t="n">
        <v>0</v>
      </c>
      <c r="AC321" s="13" t="n">
        <v>0</v>
      </c>
      <c r="AD321" s="13" t="n">
        <v>0</v>
      </c>
      <c r="AE321" s="13" t="n">
        <v>0</v>
      </c>
      <c r="AF321" s="13" t="n">
        <v>0</v>
      </c>
      <c r="AG321" s="13" t="n">
        <v>0</v>
      </c>
      <c r="AH321" s="13" t="n">
        <v>0</v>
      </c>
      <c r="AI321" s="13" t="n">
        <v>0</v>
      </c>
      <c r="AJ321" s="13" t="n">
        <v>0</v>
      </c>
      <c r="AK321" s="13" t="n">
        <v>0</v>
      </c>
      <c r="AL321" s="13" t="n">
        <v>0</v>
      </c>
      <c r="AM321" s="13" t="n">
        <v>0</v>
      </c>
      <c r="AN321" s="13" t="n">
        <v>0</v>
      </c>
      <c r="AO321" s="13" t="n">
        <v>0</v>
      </c>
      <c r="AP321" s="13" t="n">
        <v>0</v>
      </c>
      <c r="AQ321" s="13" t="n">
        <v>4299.940531</v>
      </c>
      <c r="AR321" s="13" t="n">
        <v>2260.013158</v>
      </c>
      <c r="AS321" s="13" t="n">
        <v>3179.964987</v>
      </c>
      <c r="AT321" s="13" t="n">
        <v>3139.962056</v>
      </c>
    </row>
    <row r="322" customFormat="false" ht="15" hidden="false" customHeight="true" outlineLevel="0" collapsed="false">
      <c r="A322" s="12" t="s">
        <v>1019</v>
      </c>
      <c r="B322" s="12" t="s">
        <v>1020</v>
      </c>
      <c r="C322" s="12" t="n">
        <v>1</v>
      </c>
      <c r="D322" s="12" t="s">
        <v>1021</v>
      </c>
      <c r="E322" s="13" t="n">
        <v>0</v>
      </c>
      <c r="F322" s="13" t="n">
        <v>0</v>
      </c>
      <c r="G322" s="13" t="n">
        <v>0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0</v>
      </c>
      <c r="M322" s="13" t="n">
        <v>0</v>
      </c>
      <c r="N322" s="13" t="n">
        <v>0</v>
      </c>
      <c r="O322" s="13" t="n">
        <v>0</v>
      </c>
      <c r="P322" s="13" t="n">
        <v>0</v>
      </c>
      <c r="Q322" s="13" t="n">
        <v>0</v>
      </c>
      <c r="R322" s="13" t="n">
        <v>0</v>
      </c>
      <c r="S322" s="13" t="n">
        <v>0</v>
      </c>
      <c r="T322" s="13" t="n">
        <v>0</v>
      </c>
      <c r="U322" s="13" t="n">
        <v>0</v>
      </c>
      <c r="V322" s="13" t="n">
        <v>0</v>
      </c>
      <c r="W322" s="13" t="n">
        <v>0</v>
      </c>
      <c r="X322" s="13" t="n">
        <v>0</v>
      </c>
      <c r="Y322" s="13" t="n">
        <v>0</v>
      </c>
      <c r="Z322" s="13" t="n">
        <v>0</v>
      </c>
      <c r="AA322" s="13" t="n">
        <v>0</v>
      </c>
      <c r="AB322" s="13" t="n">
        <v>0</v>
      </c>
      <c r="AC322" s="13" t="n">
        <v>0</v>
      </c>
      <c r="AD322" s="13" t="n">
        <v>0</v>
      </c>
      <c r="AE322" s="13" t="n">
        <v>0</v>
      </c>
      <c r="AF322" s="13" t="n">
        <v>0</v>
      </c>
      <c r="AG322" s="13" t="n">
        <v>0</v>
      </c>
      <c r="AH322" s="13" t="n">
        <v>0</v>
      </c>
      <c r="AI322" s="13" t="n">
        <v>0</v>
      </c>
      <c r="AJ322" s="13" t="n">
        <v>0</v>
      </c>
      <c r="AK322" s="13" t="n">
        <v>0</v>
      </c>
      <c r="AL322" s="13" t="n">
        <v>19287.065958</v>
      </c>
      <c r="AM322" s="13" t="n">
        <v>20286.038903</v>
      </c>
      <c r="AN322" s="13" t="n">
        <v>20286.061565</v>
      </c>
      <c r="AO322" s="13" t="n">
        <v>21765.924902</v>
      </c>
      <c r="AP322" s="13" t="n">
        <v>22607.9484</v>
      </c>
      <c r="AQ322" s="13" t="n">
        <v>21979.002886</v>
      </c>
      <c r="AR322" s="13" t="n">
        <v>22459.966206</v>
      </c>
      <c r="AS322" s="13" t="n">
        <v>22793.066766</v>
      </c>
      <c r="AT322" s="13" t="n">
        <v>22867.065512</v>
      </c>
    </row>
    <row r="323" customFormat="false" ht="15" hidden="false" customHeight="true" outlineLevel="0" collapsed="false">
      <c r="A323" s="12" t="s">
        <v>1022</v>
      </c>
      <c r="B323" s="12" t="s">
        <v>1023</v>
      </c>
      <c r="C323" s="12" t="n">
        <v>1</v>
      </c>
      <c r="D323" s="12" t="s">
        <v>1024</v>
      </c>
      <c r="E323" s="13" t="n">
        <v>802.520676</v>
      </c>
      <c r="F323" s="13" t="n">
        <v>802.537386</v>
      </c>
      <c r="G323" s="13" t="n">
        <v>802.567302</v>
      </c>
      <c r="H323" s="13" t="n">
        <v>0</v>
      </c>
      <c r="I323" s="13" t="n">
        <v>0</v>
      </c>
      <c r="J323" s="13" t="n">
        <v>0</v>
      </c>
      <c r="K323" s="13" t="n">
        <v>0</v>
      </c>
      <c r="L323" s="13" t="n">
        <v>0</v>
      </c>
      <c r="M323" s="13" t="n">
        <v>0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0</v>
      </c>
      <c r="T323" s="13" t="n">
        <v>0</v>
      </c>
      <c r="U323" s="13" t="n">
        <v>0</v>
      </c>
      <c r="V323" s="13" t="n">
        <v>0</v>
      </c>
      <c r="W323" s="13" t="n">
        <v>0</v>
      </c>
      <c r="X323" s="13" t="n">
        <v>0</v>
      </c>
      <c r="Y323" s="13" t="n">
        <v>0</v>
      </c>
      <c r="Z323" s="13" t="n">
        <v>0</v>
      </c>
      <c r="AA323" s="13" t="n">
        <v>0</v>
      </c>
      <c r="AB323" s="13" t="n">
        <v>0</v>
      </c>
      <c r="AC323" s="13" t="n">
        <v>0</v>
      </c>
      <c r="AD323" s="13" t="n">
        <v>0</v>
      </c>
      <c r="AE323" s="13" t="n">
        <v>0</v>
      </c>
      <c r="AF323" s="13" t="n">
        <v>0</v>
      </c>
      <c r="AG323" s="13" t="n">
        <v>0</v>
      </c>
      <c r="AH323" s="13" t="n">
        <v>0</v>
      </c>
      <c r="AI323" s="13" t="n">
        <v>0</v>
      </c>
      <c r="AJ323" s="13" t="n">
        <v>0</v>
      </c>
      <c r="AK323" s="13" t="n">
        <v>0</v>
      </c>
      <c r="AL323" s="13" t="n">
        <v>0</v>
      </c>
      <c r="AM323" s="13" t="n">
        <v>0</v>
      </c>
      <c r="AN323" s="13" t="n">
        <v>0</v>
      </c>
      <c r="AO323" s="13" t="n">
        <v>0</v>
      </c>
      <c r="AP323" s="13" t="n">
        <v>0</v>
      </c>
      <c r="AQ323" s="13" t="n">
        <v>0</v>
      </c>
      <c r="AR323" s="13" t="n">
        <v>0</v>
      </c>
      <c r="AS323" s="13" t="n">
        <v>0</v>
      </c>
      <c r="AT323" s="13" t="n">
        <v>0</v>
      </c>
    </row>
    <row r="324" customFormat="false" ht="15" hidden="false" customHeight="true" outlineLevel="0" collapsed="false">
      <c r="A324" s="12" t="s">
        <v>1025</v>
      </c>
      <c r="B324" s="12" t="s">
        <v>1026</v>
      </c>
      <c r="C324" s="12" t="n">
        <v>1</v>
      </c>
      <c r="D324" s="12" t="s">
        <v>1027</v>
      </c>
      <c r="E324" s="13" t="n">
        <v>0</v>
      </c>
      <c r="F324" s="13" t="n">
        <v>0</v>
      </c>
      <c r="G324" s="13" t="n">
        <v>0</v>
      </c>
      <c r="H324" s="13" t="n">
        <v>0</v>
      </c>
      <c r="I324" s="13" t="n">
        <v>0</v>
      </c>
      <c r="J324" s="13" t="n">
        <v>5550.03286</v>
      </c>
      <c r="K324" s="13" t="n">
        <v>5489.982948</v>
      </c>
      <c r="L324" s="13" t="n">
        <v>5579.967981</v>
      </c>
      <c r="M324" s="13" t="n">
        <v>5639.951205</v>
      </c>
      <c r="N324" s="13" t="n">
        <v>5580.059352</v>
      </c>
      <c r="O324" s="13" t="n">
        <v>5640.061304</v>
      </c>
      <c r="P324" s="13" t="n">
        <v>5550.048315</v>
      </c>
      <c r="Q324" s="13" t="n">
        <v>5953.454775</v>
      </c>
      <c r="R324" s="13" t="n">
        <v>5795.993358</v>
      </c>
      <c r="S324" s="13" t="n">
        <v>5795.956605</v>
      </c>
      <c r="T324" s="13" t="n">
        <v>5890.47424</v>
      </c>
      <c r="U324" s="13" t="n">
        <v>5921.977631</v>
      </c>
      <c r="V324" s="13" t="n">
        <v>5953.58634</v>
      </c>
      <c r="W324" s="13" t="n">
        <v>5953.439504</v>
      </c>
      <c r="X324" s="13" t="n">
        <v>6016.559618</v>
      </c>
      <c r="Y324" s="13" t="n">
        <v>6110.96896</v>
      </c>
      <c r="Z324" s="13" t="n">
        <v>5796.015632</v>
      </c>
      <c r="AA324" s="13" t="n">
        <v>5827.58586</v>
      </c>
      <c r="AB324" s="13" t="n">
        <v>5669.95908</v>
      </c>
      <c r="AC324" s="13" t="n">
        <v>5843.7544</v>
      </c>
      <c r="AD324" s="13" t="n">
        <v>5909.3552</v>
      </c>
      <c r="AE324" s="13" t="n">
        <v>5876.6148</v>
      </c>
      <c r="AF324" s="13" t="n">
        <v>5876.5454</v>
      </c>
      <c r="AG324" s="13" t="n">
        <v>5876.62696</v>
      </c>
      <c r="AH324" s="13" t="n">
        <v>5876.6343</v>
      </c>
      <c r="AI324" s="13" t="n">
        <v>5843.79933</v>
      </c>
      <c r="AJ324" s="13" t="n">
        <v>5876.50392</v>
      </c>
      <c r="AK324" s="13" t="n">
        <v>5942.3124</v>
      </c>
      <c r="AL324" s="13" t="n">
        <v>5942.231603</v>
      </c>
      <c r="AM324" s="13" t="n">
        <v>5909.477528</v>
      </c>
      <c r="AN324" s="13" t="n">
        <v>5876.582774</v>
      </c>
      <c r="AO324" s="13" t="n">
        <v>5876.494572</v>
      </c>
      <c r="AP324" s="13" t="n">
        <v>6533.1216</v>
      </c>
      <c r="AQ324" s="13" t="n">
        <v>6533.11384</v>
      </c>
      <c r="AR324" s="13" t="n">
        <v>0</v>
      </c>
      <c r="AS324" s="13" t="n">
        <v>0</v>
      </c>
      <c r="AT324" s="13" t="n">
        <v>0</v>
      </c>
    </row>
    <row r="325" customFormat="false" ht="15" hidden="false" customHeight="true" outlineLevel="0" collapsed="false">
      <c r="A325" s="12" t="s">
        <v>1028</v>
      </c>
      <c r="B325" s="12" t="s">
        <v>1029</v>
      </c>
      <c r="C325" s="12" t="n">
        <v>1</v>
      </c>
      <c r="D325" s="12" t="s">
        <v>1030</v>
      </c>
      <c r="E325" s="13" t="n">
        <v>0</v>
      </c>
      <c r="F325" s="13" t="n">
        <v>0</v>
      </c>
      <c r="G325" s="13" t="n">
        <v>0</v>
      </c>
      <c r="H325" s="13" t="n">
        <v>0</v>
      </c>
      <c r="I325" s="13" t="n">
        <v>0</v>
      </c>
      <c r="J325" s="13" t="n">
        <v>0</v>
      </c>
      <c r="K325" s="13" t="n">
        <v>0</v>
      </c>
      <c r="L325" s="13" t="n">
        <v>0</v>
      </c>
      <c r="M325" s="13" t="n">
        <v>0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0</v>
      </c>
      <c r="X325" s="13" t="n">
        <v>0</v>
      </c>
      <c r="Y325" s="13" t="n">
        <v>0</v>
      </c>
      <c r="Z325" s="13" t="n">
        <v>0</v>
      </c>
      <c r="AA325" s="13" t="n">
        <v>0</v>
      </c>
      <c r="AB325" s="13" t="n">
        <v>0</v>
      </c>
      <c r="AC325" s="13" t="n">
        <v>0</v>
      </c>
      <c r="AD325" s="13" t="n">
        <v>0</v>
      </c>
      <c r="AE325" s="13" t="n">
        <v>0</v>
      </c>
      <c r="AF325" s="13" t="n">
        <v>4233.0002</v>
      </c>
      <c r="AG325" s="13" t="n">
        <v>4283.96302</v>
      </c>
      <c r="AH325" s="13" t="n">
        <v>4335.05175</v>
      </c>
      <c r="AI325" s="13" t="n">
        <v>4233.0844</v>
      </c>
      <c r="AJ325" s="13" t="n">
        <v>4283.98776</v>
      </c>
      <c r="AK325" s="13" t="n">
        <v>4130.9271</v>
      </c>
      <c r="AL325" s="13" t="n">
        <v>4079.977512</v>
      </c>
      <c r="AM325" s="13" t="n">
        <v>4028.922412</v>
      </c>
      <c r="AN325" s="13" t="n">
        <v>4028.978532</v>
      </c>
      <c r="AO325" s="13" t="n">
        <v>4177.472862</v>
      </c>
      <c r="AP325" s="13" t="n">
        <v>4124.70168</v>
      </c>
      <c r="AQ325" s="13" t="n">
        <v>4035.573951</v>
      </c>
      <c r="AR325" s="13" t="n">
        <v>4042.516744</v>
      </c>
      <c r="AS325" s="13" t="n">
        <v>4042.507338</v>
      </c>
      <c r="AT325" s="13" t="n">
        <v>4710.030592</v>
      </c>
    </row>
    <row r="326" customFormat="false" ht="15" hidden="false" customHeight="true" outlineLevel="0" collapsed="false">
      <c r="A326" s="12" t="s">
        <v>1031</v>
      </c>
      <c r="B326" s="12" t="s">
        <v>1032</v>
      </c>
      <c r="C326" s="12" t="n">
        <v>1</v>
      </c>
      <c r="D326" s="12" t="s">
        <v>1033</v>
      </c>
      <c r="E326" s="13" t="n">
        <v>0</v>
      </c>
      <c r="F326" s="13" t="n">
        <v>0</v>
      </c>
      <c r="G326" s="13" t="n">
        <v>0</v>
      </c>
      <c r="H326" s="13" t="n">
        <v>0</v>
      </c>
      <c r="I326" s="13" t="n">
        <v>0</v>
      </c>
      <c r="J326" s="13" t="n">
        <v>0</v>
      </c>
      <c r="K326" s="13" t="n">
        <v>0</v>
      </c>
      <c r="L326" s="13" t="n">
        <v>0</v>
      </c>
      <c r="M326" s="13" t="n">
        <v>0</v>
      </c>
      <c r="N326" s="13" t="n">
        <v>0</v>
      </c>
      <c r="O326" s="13" t="n">
        <v>0</v>
      </c>
      <c r="P326" s="13" t="n">
        <v>0</v>
      </c>
      <c r="Q326" s="13" t="n">
        <v>0</v>
      </c>
      <c r="R326" s="13" t="n">
        <v>0</v>
      </c>
      <c r="S326" s="13" t="n">
        <v>0</v>
      </c>
      <c r="T326" s="13" t="n">
        <v>0</v>
      </c>
      <c r="U326" s="13" t="n">
        <v>0</v>
      </c>
      <c r="V326" s="13" t="n">
        <v>750.024756</v>
      </c>
      <c r="W326" s="13" t="n">
        <v>750.016</v>
      </c>
      <c r="X326" s="13" t="n">
        <v>749.963036</v>
      </c>
      <c r="Y326" s="13" t="n">
        <v>750.08994</v>
      </c>
      <c r="Z326" s="13" t="n">
        <v>749.935824</v>
      </c>
      <c r="AA326" s="13" t="n">
        <v>750.03075</v>
      </c>
      <c r="AB326" s="13" t="n">
        <v>749.923924</v>
      </c>
      <c r="AC326" s="13" t="n">
        <v>781.4972</v>
      </c>
      <c r="AD326" s="13" t="n">
        <v>844.1936</v>
      </c>
      <c r="AE326" s="13" t="n">
        <v>781.57548</v>
      </c>
      <c r="AF326" s="13" t="n">
        <v>781.6336</v>
      </c>
      <c r="AG326" s="13" t="n">
        <v>781.569</v>
      </c>
      <c r="AH326" s="13" t="n">
        <v>781.65015</v>
      </c>
      <c r="AI326" s="13" t="n">
        <v>781.57926</v>
      </c>
      <c r="AJ326" s="13" t="n">
        <v>781.53327</v>
      </c>
      <c r="AK326" s="13" t="n">
        <v>781.497</v>
      </c>
      <c r="AL326" s="13" t="n">
        <v>844.101523</v>
      </c>
      <c r="AM326" s="13" t="n">
        <v>844.158666</v>
      </c>
      <c r="AN326" s="13" t="n">
        <v>844.136102</v>
      </c>
      <c r="AO326" s="13" t="n">
        <v>875.284954</v>
      </c>
      <c r="AP326" s="13" t="n">
        <v>875.22432</v>
      </c>
      <c r="AQ326" s="13" t="n">
        <v>875.306882</v>
      </c>
      <c r="AR326" s="13" t="n">
        <v>1005.015554</v>
      </c>
      <c r="AS326" s="13" t="n">
        <v>985.268124</v>
      </c>
      <c r="AT326" s="13" t="n">
        <v>985.34008</v>
      </c>
    </row>
    <row r="327" customFormat="false" ht="15" hidden="false" customHeight="true" outlineLevel="0" collapsed="false">
      <c r="A327" s="12" t="s">
        <v>1034</v>
      </c>
      <c r="B327" s="12" t="s">
        <v>1035</v>
      </c>
      <c r="C327" s="12" t="n">
        <v>1</v>
      </c>
      <c r="D327" s="12" t="s">
        <v>1036</v>
      </c>
      <c r="E327" s="13" t="n">
        <v>0</v>
      </c>
      <c r="F327" s="13" t="n">
        <v>0</v>
      </c>
      <c r="G327" s="13" t="n">
        <v>0</v>
      </c>
      <c r="H327" s="13" t="n">
        <v>0</v>
      </c>
      <c r="I327" s="13" t="n">
        <v>0</v>
      </c>
      <c r="J327" s="13" t="n">
        <v>0</v>
      </c>
      <c r="K327" s="13" t="n">
        <v>0</v>
      </c>
      <c r="L327" s="13" t="n">
        <v>0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0</v>
      </c>
      <c r="V327" s="13" t="n">
        <v>425.032452</v>
      </c>
      <c r="W327" s="13" t="n">
        <v>459.009792</v>
      </c>
      <c r="X327" s="13" t="n">
        <v>475.9152</v>
      </c>
      <c r="Y327" s="13" t="n">
        <v>425.050966</v>
      </c>
      <c r="Z327" s="13" t="n">
        <v>459.06256</v>
      </c>
      <c r="AA327" s="13" t="n">
        <v>442.05894</v>
      </c>
      <c r="AB327" s="13" t="n">
        <v>458.938872</v>
      </c>
      <c r="AC327" s="13" t="n">
        <v>442.9656</v>
      </c>
      <c r="AD327" s="13" t="n">
        <v>496.2101</v>
      </c>
      <c r="AE327" s="13" t="n">
        <v>496.21572</v>
      </c>
      <c r="AF327" s="13" t="n">
        <v>513.975</v>
      </c>
      <c r="AG327" s="13" t="n">
        <v>443.08208</v>
      </c>
      <c r="AH327" s="13" t="n">
        <v>478.35705</v>
      </c>
      <c r="AI327" s="13" t="n">
        <v>0</v>
      </c>
      <c r="AJ327" s="13" t="n">
        <v>460.75608</v>
      </c>
      <c r="AK327" s="13" t="n">
        <v>478.4376</v>
      </c>
      <c r="AL327" s="13" t="n">
        <v>460.636681</v>
      </c>
      <c r="AM327" s="13" t="n">
        <v>460.783696</v>
      </c>
      <c r="AN327" s="13" t="n">
        <v>478.35578</v>
      </c>
      <c r="AO327" s="13" t="n">
        <v>496.000554</v>
      </c>
      <c r="AP327" s="13" t="n">
        <v>495.93744</v>
      </c>
      <c r="AQ327" s="13" t="n">
        <v>495.958947</v>
      </c>
      <c r="AR327" s="13" t="n">
        <v>495.929302</v>
      </c>
      <c r="AS327" s="13" t="n">
        <v>495.922905</v>
      </c>
      <c r="AT327" s="13" t="n">
        <v>495.995344</v>
      </c>
    </row>
    <row r="328" customFormat="false" ht="15" hidden="false" customHeight="true" outlineLevel="0" collapsed="false">
      <c r="A328" s="12" t="s">
        <v>1037</v>
      </c>
      <c r="B328" s="12" t="s">
        <v>1038</v>
      </c>
      <c r="C328" s="12" t="n">
        <v>1</v>
      </c>
      <c r="D328" s="12" t="s">
        <v>1039</v>
      </c>
      <c r="E328" s="13" t="n">
        <v>0</v>
      </c>
      <c r="F328" s="13" t="n">
        <v>0</v>
      </c>
      <c r="G328" s="13" t="n">
        <v>0</v>
      </c>
      <c r="H328" s="13" t="n">
        <v>0</v>
      </c>
      <c r="I328" s="13" t="n">
        <v>0</v>
      </c>
      <c r="J328" s="13" t="n">
        <v>0</v>
      </c>
      <c r="K328" s="13" t="n">
        <v>0</v>
      </c>
      <c r="L328" s="13" t="n">
        <v>0</v>
      </c>
      <c r="M328" s="13" t="n">
        <v>0</v>
      </c>
      <c r="N328" s="13" t="n">
        <v>0</v>
      </c>
      <c r="O328" s="13" t="n">
        <v>0</v>
      </c>
      <c r="P328" s="13" t="n">
        <v>0</v>
      </c>
      <c r="Q328" s="13" t="n">
        <v>0</v>
      </c>
      <c r="R328" s="13" t="n">
        <v>0</v>
      </c>
      <c r="S328" s="13" t="n">
        <v>0</v>
      </c>
      <c r="T328" s="13" t="n">
        <v>0</v>
      </c>
      <c r="U328" s="13" t="n">
        <v>0</v>
      </c>
      <c r="V328" s="13" t="n">
        <v>0</v>
      </c>
      <c r="W328" s="13" t="n">
        <v>0</v>
      </c>
      <c r="X328" s="13" t="n">
        <v>0</v>
      </c>
      <c r="Y328" s="13" t="n">
        <v>0</v>
      </c>
      <c r="Z328" s="13" t="n">
        <v>0</v>
      </c>
      <c r="AA328" s="13" t="n">
        <v>0</v>
      </c>
      <c r="AB328" s="13" t="n">
        <v>0</v>
      </c>
      <c r="AC328" s="13" t="n">
        <v>0</v>
      </c>
      <c r="AD328" s="13" t="n">
        <v>0</v>
      </c>
      <c r="AE328" s="13" t="n">
        <v>0</v>
      </c>
      <c r="AF328" s="13" t="n">
        <v>0</v>
      </c>
      <c r="AG328" s="13" t="n">
        <v>0</v>
      </c>
      <c r="AH328" s="13" t="n">
        <v>7334.934</v>
      </c>
      <c r="AI328" s="13" t="n">
        <v>9630.07904</v>
      </c>
      <c r="AJ328" s="13" t="n">
        <v>8679.99591</v>
      </c>
      <c r="AK328" s="13" t="n">
        <v>10000.04295</v>
      </c>
      <c r="AL328" s="13" t="n">
        <v>7200.003652</v>
      </c>
      <c r="AM328" s="13" t="n">
        <v>239.930364</v>
      </c>
      <c r="AN328" s="13" t="n">
        <v>39.922926</v>
      </c>
      <c r="AO328" s="13" t="n">
        <v>41.548882</v>
      </c>
      <c r="AP328" s="13" t="n">
        <v>41.4144</v>
      </c>
      <c r="AQ328" s="13" t="n">
        <v>41.465717</v>
      </c>
      <c r="AR328" s="13" t="n">
        <v>41.400536</v>
      </c>
      <c r="AS328" s="13" t="n">
        <v>41.54328</v>
      </c>
      <c r="AT328" s="13" t="n">
        <v>41.478792</v>
      </c>
    </row>
    <row r="329" customFormat="false" ht="15" hidden="false" customHeight="true" outlineLevel="0" collapsed="false">
      <c r="A329" s="12" t="s">
        <v>1040</v>
      </c>
      <c r="B329" s="12" t="s">
        <v>1041</v>
      </c>
      <c r="C329" s="12" t="n">
        <v>1</v>
      </c>
      <c r="D329" s="12" t="s">
        <v>1042</v>
      </c>
      <c r="E329" s="13" t="n">
        <v>0</v>
      </c>
      <c r="F329" s="13" t="n">
        <v>0</v>
      </c>
      <c r="G329" s="13" t="n">
        <v>0</v>
      </c>
      <c r="H329" s="13" t="n">
        <v>0</v>
      </c>
      <c r="I329" s="13" t="n">
        <v>0</v>
      </c>
      <c r="J329" s="13" t="n">
        <v>0</v>
      </c>
      <c r="K329" s="13" t="n">
        <v>0</v>
      </c>
      <c r="L329" s="13" t="n">
        <v>0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1254.037848</v>
      </c>
      <c r="S329" s="13" t="n">
        <v>1297.933035</v>
      </c>
      <c r="T329" s="13" t="n">
        <v>1253.98784</v>
      </c>
      <c r="U329" s="13" t="n">
        <v>1342.011995</v>
      </c>
      <c r="V329" s="13" t="n">
        <v>1386.007428</v>
      </c>
      <c r="W329" s="13" t="n">
        <v>1341.966128</v>
      </c>
      <c r="X329" s="13" t="n">
        <v>1298.058708</v>
      </c>
      <c r="Y329" s="13" t="n">
        <v>1385.99296</v>
      </c>
      <c r="Z329" s="13" t="n">
        <v>1429.909712</v>
      </c>
      <c r="AA329" s="13" t="n">
        <v>1385.97519</v>
      </c>
      <c r="AB329" s="13" t="n">
        <v>1364.068314</v>
      </c>
      <c r="AC329" s="13" t="n">
        <v>1408.1012</v>
      </c>
      <c r="AD329" s="13" t="n">
        <v>1474.054</v>
      </c>
      <c r="AE329" s="13" t="n">
        <v>1473.95052</v>
      </c>
      <c r="AF329" s="13" t="n">
        <v>1562.0924</v>
      </c>
      <c r="AG329" s="13" t="n">
        <v>1693.97844</v>
      </c>
      <c r="AH329" s="13" t="n">
        <v>1628.07585</v>
      </c>
      <c r="AI329" s="13" t="n">
        <v>1143.98542</v>
      </c>
      <c r="AJ329" s="13" t="n">
        <v>1166.05584</v>
      </c>
      <c r="AK329" s="13" t="n">
        <v>1143.9942</v>
      </c>
      <c r="AL329" s="13" t="n">
        <v>1671.995118</v>
      </c>
      <c r="AM329" s="13" t="n">
        <v>1716.015715</v>
      </c>
      <c r="AN329" s="13" t="n">
        <v>1715.966486</v>
      </c>
      <c r="AO329" s="13" t="n">
        <v>1779.18864</v>
      </c>
      <c r="AP329" s="13" t="n">
        <v>1414.30176</v>
      </c>
      <c r="AQ329" s="13" t="n">
        <v>1391.364932</v>
      </c>
      <c r="AR329" s="13" t="n">
        <v>136.83228</v>
      </c>
      <c r="AS329" s="13" t="n">
        <v>0</v>
      </c>
      <c r="AT329" s="13" t="n">
        <v>0</v>
      </c>
    </row>
    <row r="330" customFormat="false" ht="15" hidden="false" customHeight="true" outlineLevel="0" collapsed="false">
      <c r="A330" s="12" t="s">
        <v>1043</v>
      </c>
      <c r="B330" s="12" t="s">
        <v>1044</v>
      </c>
      <c r="C330" s="12" t="n">
        <v>1</v>
      </c>
      <c r="D330" s="12" t="s">
        <v>1045</v>
      </c>
      <c r="E330" s="13" t="n">
        <v>0</v>
      </c>
      <c r="F330" s="13" t="n">
        <v>0</v>
      </c>
      <c r="G330" s="13" t="n">
        <v>0</v>
      </c>
      <c r="H330" s="13" t="n">
        <v>0</v>
      </c>
      <c r="I330" s="13" t="n">
        <v>0</v>
      </c>
      <c r="J330" s="13" t="n">
        <v>0</v>
      </c>
      <c r="K330" s="13" t="n">
        <v>0</v>
      </c>
      <c r="L330" s="13" t="n">
        <v>0</v>
      </c>
      <c r="M330" s="13" t="n">
        <v>0</v>
      </c>
      <c r="N330" s="13" t="n">
        <v>0</v>
      </c>
      <c r="O330" s="13" t="n">
        <v>0</v>
      </c>
      <c r="P330" s="13" t="n">
        <v>0</v>
      </c>
      <c r="Q330" s="13" t="n">
        <v>0</v>
      </c>
      <c r="R330" s="13" t="n">
        <v>0</v>
      </c>
      <c r="S330" s="13" t="n">
        <v>1000.03863</v>
      </c>
      <c r="T330" s="13" t="n">
        <v>850.00832</v>
      </c>
      <c r="U330" s="13" t="n">
        <v>849.969189</v>
      </c>
      <c r="V330" s="13" t="n">
        <v>850.064904</v>
      </c>
      <c r="W330" s="13" t="n">
        <v>650.076368</v>
      </c>
      <c r="X330" s="13" t="n">
        <v>699.99194</v>
      </c>
      <c r="Y330" s="13" t="n">
        <v>600.071952</v>
      </c>
      <c r="Z330" s="13" t="n">
        <v>550.073216</v>
      </c>
      <c r="AA330" s="13" t="n">
        <v>550.02255</v>
      </c>
      <c r="AB330" s="13" t="n">
        <v>350.07242</v>
      </c>
      <c r="AC330" s="13" t="n">
        <v>312.6816</v>
      </c>
      <c r="AD330" s="13" t="n">
        <v>260.5257</v>
      </c>
      <c r="AE330" s="13" t="n">
        <v>260.45712</v>
      </c>
      <c r="AF330" s="13" t="n">
        <v>260.6098</v>
      </c>
      <c r="AG330" s="13" t="n">
        <v>260.523</v>
      </c>
      <c r="AH330" s="13" t="n">
        <v>260.613</v>
      </c>
      <c r="AI330" s="13" t="n">
        <v>0</v>
      </c>
      <c r="AJ330" s="13" t="n">
        <v>0</v>
      </c>
      <c r="AK330" s="13" t="n">
        <v>0</v>
      </c>
      <c r="AL330" s="13" t="n">
        <v>0</v>
      </c>
      <c r="AM330" s="13" t="n">
        <v>0</v>
      </c>
      <c r="AN330" s="13" t="n">
        <v>0</v>
      </c>
      <c r="AO330" s="13" t="n">
        <v>0</v>
      </c>
      <c r="AP330" s="13" t="n">
        <v>0</v>
      </c>
      <c r="AQ330" s="13" t="n">
        <v>0</v>
      </c>
      <c r="AR330" s="13" t="n">
        <v>0</v>
      </c>
      <c r="AS330" s="13" t="n">
        <v>0</v>
      </c>
      <c r="AT330" s="13" t="n">
        <v>0</v>
      </c>
    </row>
    <row r="331" customFormat="false" ht="15" hidden="false" customHeight="true" outlineLevel="0" collapsed="false">
      <c r="A331" s="12" t="s">
        <v>1046</v>
      </c>
      <c r="B331" s="12" t="s">
        <v>1047</v>
      </c>
      <c r="C331" s="12" t="n">
        <v>1</v>
      </c>
      <c r="D331" s="12" t="s">
        <v>1048</v>
      </c>
      <c r="E331" s="13" t="n">
        <v>0</v>
      </c>
      <c r="F331" s="13" t="n">
        <v>0</v>
      </c>
      <c r="G331" s="13" t="n">
        <v>0</v>
      </c>
      <c r="H331" s="13" t="n">
        <v>0</v>
      </c>
      <c r="I331" s="13" t="n">
        <v>0</v>
      </c>
      <c r="J331" s="13" t="n">
        <v>0</v>
      </c>
      <c r="K331" s="13" t="n">
        <v>0</v>
      </c>
      <c r="L331" s="13" t="n">
        <v>0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666.6777</v>
      </c>
      <c r="S331" s="13" t="n">
        <v>666.747555</v>
      </c>
      <c r="T331" s="13" t="n">
        <v>666.65984</v>
      </c>
      <c r="U331" s="13" t="n">
        <v>666.682396</v>
      </c>
      <c r="V331" s="13" t="n">
        <v>666.750084</v>
      </c>
      <c r="W331" s="13" t="n">
        <v>666.57672</v>
      </c>
      <c r="X331" s="13" t="n">
        <v>666.677876</v>
      </c>
      <c r="Y331" s="13" t="n">
        <v>666.615364</v>
      </c>
      <c r="Z331" s="13" t="n">
        <v>666.743264</v>
      </c>
      <c r="AA331" s="13" t="n">
        <v>666.76203</v>
      </c>
      <c r="AB331" s="13" t="n">
        <v>666.75643</v>
      </c>
      <c r="AC331" s="13" t="n">
        <v>1466.6256</v>
      </c>
      <c r="AD331" s="13" t="n">
        <v>800.0541</v>
      </c>
      <c r="AE331" s="13" t="n">
        <v>799.94628</v>
      </c>
      <c r="AF331" s="13" t="n">
        <v>800.0388</v>
      </c>
      <c r="AG331" s="13" t="n">
        <v>800.09508</v>
      </c>
      <c r="AH331" s="13" t="n">
        <v>799.9686</v>
      </c>
      <c r="AI331" s="13" t="n">
        <v>800.00032</v>
      </c>
      <c r="AJ331" s="13" t="n">
        <v>799.98588</v>
      </c>
      <c r="AK331" s="13" t="n">
        <v>800.02545</v>
      </c>
      <c r="AL331" s="13" t="n">
        <v>800.082264</v>
      </c>
      <c r="AM331" s="13" t="n">
        <v>799.951313</v>
      </c>
      <c r="AN331" s="13" t="n">
        <v>800.077017</v>
      </c>
      <c r="AO331" s="13" t="n">
        <v>1139.922024</v>
      </c>
      <c r="AP331" s="13" t="n">
        <v>1139.93136</v>
      </c>
      <c r="AQ331" s="13" t="n">
        <v>1140.035608</v>
      </c>
      <c r="AR331" s="13" t="n">
        <v>1139.918148</v>
      </c>
      <c r="AS331" s="13" t="n">
        <v>1140.016842</v>
      </c>
      <c r="AT331" s="13" t="n">
        <v>1140.054224</v>
      </c>
    </row>
    <row r="332" customFormat="false" ht="15" hidden="false" customHeight="true" outlineLevel="0" collapsed="false">
      <c r="A332" s="12" t="s">
        <v>1049</v>
      </c>
      <c r="B332" s="12" t="s">
        <v>1050</v>
      </c>
      <c r="C332" s="12" t="n">
        <v>1</v>
      </c>
      <c r="D332" s="12" t="s">
        <v>1051</v>
      </c>
      <c r="E332" s="13" t="n">
        <v>0</v>
      </c>
      <c r="F332" s="13" t="n">
        <v>0</v>
      </c>
      <c r="G332" s="13" t="n">
        <v>0</v>
      </c>
      <c r="H332" s="13" t="n">
        <v>0</v>
      </c>
      <c r="I332" s="13" t="n">
        <v>0</v>
      </c>
      <c r="J332" s="13" t="n">
        <v>0</v>
      </c>
      <c r="K332" s="13" t="n">
        <v>0</v>
      </c>
      <c r="L332" s="13" t="n">
        <v>0</v>
      </c>
      <c r="M332" s="13" t="n">
        <v>0</v>
      </c>
      <c r="N332" s="13" t="n">
        <v>0</v>
      </c>
      <c r="O332" s="13" t="n">
        <v>0</v>
      </c>
      <c r="P332" s="13" t="n">
        <v>0</v>
      </c>
      <c r="Q332" s="13" t="n">
        <v>0</v>
      </c>
      <c r="R332" s="13" t="n">
        <v>0</v>
      </c>
      <c r="S332" s="13" t="n">
        <v>0</v>
      </c>
      <c r="T332" s="13" t="n">
        <v>0</v>
      </c>
      <c r="U332" s="13" t="n">
        <v>0</v>
      </c>
      <c r="V332" s="13" t="n">
        <v>0</v>
      </c>
      <c r="W332" s="13" t="n">
        <v>0</v>
      </c>
      <c r="X332" s="13" t="n">
        <v>0</v>
      </c>
      <c r="Y332" s="13" t="n">
        <v>0</v>
      </c>
      <c r="Z332" s="13" t="n">
        <v>0</v>
      </c>
      <c r="AA332" s="13" t="n">
        <v>0</v>
      </c>
      <c r="AB332" s="13" t="n">
        <v>0</v>
      </c>
      <c r="AC332" s="13" t="n">
        <v>0</v>
      </c>
      <c r="AD332" s="13" t="n">
        <v>0</v>
      </c>
      <c r="AE332" s="13" t="n">
        <v>0</v>
      </c>
      <c r="AF332" s="13" t="n">
        <v>0</v>
      </c>
      <c r="AG332" s="13" t="n">
        <v>0</v>
      </c>
      <c r="AH332" s="13" t="n">
        <v>0</v>
      </c>
      <c r="AI332" s="13" t="n">
        <v>36077.0821</v>
      </c>
      <c r="AJ332" s="13" t="n">
        <v>37237.92615</v>
      </c>
      <c r="AK332" s="13" t="n">
        <v>36076.9101</v>
      </c>
      <c r="AL332" s="13" t="n">
        <v>34744.088021</v>
      </c>
      <c r="AM332" s="13" t="n">
        <v>35045.058083</v>
      </c>
      <c r="AN332" s="13" t="n">
        <v>35732.996933</v>
      </c>
      <c r="AO332" s="13" t="n">
        <v>37812.241052</v>
      </c>
      <c r="AP332" s="13" t="n">
        <v>36162.5364</v>
      </c>
      <c r="AQ332" s="13" t="n">
        <v>31168.457636</v>
      </c>
      <c r="AR332" s="13" t="n">
        <v>31168.463698</v>
      </c>
      <c r="AS332" s="13" t="n">
        <v>31703.407938</v>
      </c>
      <c r="AT332" s="13" t="n">
        <v>31614.365192</v>
      </c>
    </row>
    <row r="333" customFormat="false" ht="15" hidden="false" customHeight="true" outlineLevel="0" collapsed="false">
      <c r="A333" s="12" t="s">
        <v>1052</v>
      </c>
      <c r="B333" s="12" t="s">
        <v>1053</v>
      </c>
      <c r="C333" s="12" t="n">
        <v>1</v>
      </c>
      <c r="D333" s="12" t="s">
        <v>1054</v>
      </c>
      <c r="E333" s="13" t="n">
        <v>802.520676</v>
      </c>
      <c r="F333" s="13" t="n">
        <v>802.537386</v>
      </c>
      <c r="G333" s="13" t="n">
        <v>802.567302</v>
      </c>
      <c r="H333" s="13" t="n">
        <v>802.541763</v>
      </c>
      <c r="I333" s="13" t="n">
        <v>802.41322</v>
      </c>
      <c r="J333" s="13" t="n">
        <v>802.465915</v>
      </c>
      <c r="K333" s="13" t="n">
        <v>802.545156</v>
      </c>
      <c r="L333" s="13" t="n">
        <v>802.473112</v>
      </c>
      <c r="M333" s="13" t="n">
        <v>802.534545</v>
      </c>
      <c r="N333" s="13" t="n">
        <v>802.571676</v>
      </c>
      <c r="O333" s="13" t="n">
        <v>802.576456</v>
      </c>
      <c r="P333" s="13" t="n">
        <v>802.434969</v>
      </c>
      <c r="Q333" s="13" t="n">
        <v>842.669244</v>
      </c>
      <c r="R333" s="13" t="n">
        <v>842.578047</v>
      </c>
      <c r="S333" s="13" t="n">
        <v>842.57307</v>
      </c>
      <c r="T333" s="13" t="n">
        <v>842.688</v>
      </c>
      <c r="U333" s="13" t="n">
        <v>842.67841</v>
      </c>
      <c r="V333" s="13" t="n">
        <v>842.695464</v>
      </c>
      <c r="W333" s="13" t="n">
        <v>842.642976</v>
      </c>
      <c r="X333" s="13" t="n">
        <v>842.568202</v>
      </c>
      <c r="Y333" s="13" t="n">
        <v>842.62072</v>
      </c>
      <c r="Z333" s="13" t="n">
        <v>842.550192</v>
      </c>
      <c r="AA333" s="13" t="n">
        <v>842.68761</v>
      </c>
      <c r="AB333" s="13" t="n">
        <v>842.602056</v>
      </c>
      <c r="AC333" s="13" t="n">
        <v>878.0728</v>
      </c>
      <c r="AD333" s="13" t="n">
        <v>878.0681</v>
      </c>
      <c r="AE333" s="13" t="n">
        <v>878.12424</v>
      </c>
      <c r="AF333" s="13" t="n">
        <v>878.163</v>
      </c>
      <c r="AG333" s="13" t="n">
        <v>878.059</v>
      </c>
      <c r="AH333" s="13" t="n">
        <v>878.1525</v>
      </c>
      <c r="AI333" s="13" t="n">
        <v>878.19584</v>
      </c>
      <c r="AJ333" s="13" t="n">
        <v>878.08329</v>
      </c>
      <c r="AK333" s="13" t="n">
        <v>878.17515</v>
      </c>
      <c r="AL333" s="13" t="n">
        <v>878.175008</v>
      </c>
      <c r="AM333" s="13" t="n">
        <v>878.093771</v>
      </c>
      <c r="AN333" s="13" t="n">
        <v>878.124539</v>
      </c>
      <c r="AO333" s="13" t="n">
        <v>910.454962</v>
      </c>
      <c r="AP333" s="13" t="n">
        <v>910.42656</v>
      </c>
      <c r="AQ333" s="13" t="n">
        <v>910.435044</v>
      </c>
      <c r="AR333" s="13" t="n">
        <v>910.46094</v>
      </c>
      <c r="AS333" s="13" t="n">
        <v>910.49022</v>
      </c>
      <c r="AT333" s="13" t="n">
        <v>910.433232</v>
      </c>
    </row>
    <row r="334" customFormat="false" ht="15" hidden="false" customHeight="true" outlineLevel="0" collapsed="false">
      <c r="A334" s="12" t="s">
        <v>1055</v>
      </c>
      <c r="B334" s="12" t="s">
        <v>1056</v>
      </c>
      <c r="C334" s="12" t="n">
        <v>1</v>
      </c>
      <c r="D334" s="12" t="s">
        <v>1057</v>
      </c>
      <c r="E334" s="13" t="n">
        <v>0</v>
      </c>
      <c r="F334" s="13" t="n">
        <v>0</v>
      </c>
      <c r="G334" s="13" t="n">
        <v>0</v>
      </c>
      <c r="H334" s="13" t="n">
        <v>0</v>
      </c>
      <c r="I334" s="13" t="n">
        <v>0</v>
      </c>
      <c r="J334" s="13" t="n">
        <v>0</v>
      </c>
      <c r="K334" s="13" t="n">
        <v>0</v>
      </c>
      <c r="L334" s="13" t="n">
        <v>0</v>
      </c>
      <c r="M334" s="13" t="n">
        <v>0</v>
      </c>
      <c r="N334" s="13" t="n">
        <v>0</v>
      </c>
      <c r="O334" s="13" t="n">
        <v>0</v>
      </c>
      <c r="P334" s="13" t="n">
        <v>0</v>
      </c>
      <c r="Q334" s="13" t="n">
        <v>0</v>
      </c>
      <c r="R334" s="13" t="n">
        <v>0</v>
      </c>
      <c r="S334" s="13" t="n">
        <v>0</v>
      </c>
      <c r="T334" s="13" t="n">
        <v>0</v>
      </c>
      <c r="U334" s="13" t="n">
        <v>0</v>
      </c>
      <c r="V334" s="13" t="n">
        <v>0</v>
      </c>
      <c r="W334" s="13" t="n">
        <v>0</v>
      </c>
      <c r="X334" s="13" t="n">
        <v>0</v>
      </c>
      <c r="Y334" s="13" t="n">
        <v>0</v>
      </c>
      <c r="Z334" s="13" t="n">
        <v>0</v>
      </c>
      <c r="AA334" s="13" t="n">
        <v>0</v>
      </c>
      <c r="AB334" s="13" t="n">
        <v>0</v>
      </c>
      <c r="AC334" s="13" t="n">
        <v>0</v>
      </c>
      <c r="AD334" s="13" t="n">
        <v>0</v>
      </c>
      <c r="AE334" s="13" t="n">
        <v>0</v>
      </c>
      <c r="AF334" s="13" t="n">
        <v>0</v>
      </c>
      <c r="AG334" s="13" t="n">
        <v>0</v>
      </c>
      <c r="AH334" s="13" t="n">
        <v>0</v>
      </c>
      <c r="AI334" s="13" t="n">
        <v>0</v>
      </c>
      <c r="AJ334" s="13" t="n">
        <v>0</v>
      </c>
      <c r="AK334" s="13" t="n">
        <v>0</v>
      </c>
      <c r="AL334" s="13" t="n">
        <v>0</v>
      </c>
      <c r="AM334" s="13" t="n">
        <v>0</v>
      </c>
      <c r="AN334" s="13" t="n">
        <v>0</v>
      </c>
      <c r="AO334" s="13" t="n">
        <v>1399.731838</v>
      </c>
      <c r="AP334" s="13" t="n">
        <v>0</v>
      </c>
      <c r="AQ334" s="13" t="n">
        <v>1347.907412</v>
      </c>
      <c r="AR334" s="13" t="n">
        <v>0</v>
      </c>
      <c r="AS334" s="13" t="n">
        <v>0</v>
      </c>
      <c r="AT334" s="13" t="n">
        <v>0</v>
      </c>
    </row>
    <row r="335" customFormat="false" ht="15" hidden="false" customHeight="true" outlineLevel="0" collapsed="false">
      <c r="A335" s="12" t="s">
        <v>1058</v>
      </c>
      <c r="B335" s="12" t="s">
        <v>1059</v>
      </c>
      <c r="C335" s="12" t="n">
        <v>1</v>
      </c>
      <c r="D335" s="12" t="s">
        <v>1060</v>
      </c>
      <c r="E335" s="13" t="n">
        <v>0</v>
      </c>
      <c r="F335" s="13" t="n">
        <v>0</v>
      </c>
      <c r="G335" s="13" t="n">
        <v>0</v>
      </c>
      <c r="H335" s="13" t="n">
        <v>0</v>
      </c>
      <c r="I335" s="13" t="n">
        <v>0</v>
      </c>
      <c r="J335" s="13" t="n">
        <v>0</v>
      </c>
      <c r="K335" s="13" t="n">
        <v>0</v>
      </c>
      <c r="L335" s="13" t="n">
        <v>0</v>
      </c>
      <c r="M335" s="13" t="n">
        <v>0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  <c r="V335" s="13" t="n">
        <v>0</v>
      </c>
      <c r="W335" s="13" t="n">
        <v>0</v>
      </c>
      <c r="X335" s="13" t="n">
        <v>0</v>
      </c>
      <c r="Y335" s="13" t="n">
        <v>0</v>
      </c>
      <c r="Z335" s="13" t="n">
        <v>0</v>
      </c>
      <c r="AA335" s="13" t="n">
        <v>0</v>
      </c>
      <c r="AB335" s="13" t="n">
        <v>0</v>
      </c>
      <c r="AC335" s="13" t="n">
        <v>0</v>
      </c>
      <c r="AD335" s="13" t="n">
        <v>0</v>
      </c>
      <c r="AE335" s="13" t="n">
        <v>0</v>
      </c>
      <c r="AF335" s="13" t="n">
        <v>0</v>
      </c>
      <c r="AG335" s="13" t="n">
        <v>0</v>
      </c>
      <c r="AH335" s="13" t="n">
        <v>0</v>
      </c>
      <c r="AI335" s="13" t="n">
        <v>0</v>
      </c>
      <c r="AJ335" s="13" t="n">
        <v>0</v>
      </c>
      <c r="AK335" s="13" t="n">
        <v>0</v>
      </c>
      <c r="AL335" s="13" t="n">
        <v>0</v>
      </c>
      <c r="AM335" s="13" t="n">
        <v>1649.979835</v>
      </c>
      <c r="AN335" s="13" t="n">
        <v>1649.967775</v>
      </c>
      <c r="AO335" s="13" t="n">
        <v>1800.049282</v>
      </c>
      <c r="AP335" s="13" t="n">
        <v>1875.03696</v>
      </c>
      <c r="AQ335" s="13" t="n">
        <v>1800.046693</v>
      </c>
      <c r="AR335" s="13" t="n">
        <v>1724.963858</v>
      </c>
      <c r="AS335" s="13" t="n">
        <v>1874.986704</v>
      </c>
      <c r="AT335" s="13" t="n">
        <v>1650.050848</v>
      </c>
    </row>
    <row r="336" customFormat="false" ht="15" hidden="false" customHeight="true" outlineLevel="0" collapsed="false">
      <c r="A336" s="12" t="s">
        <v>1061</v>
      </c>
      <c r="B336" s="12" t="s">
        <v>1062</v>
      </c>
      <c r="C336" s="12" t="n">
        <v>1</v>
      </c>
      <c r="D336" s="12" t="s">
        <v>1063</v>
      </c>
      <c r="E336" s="13" t="n">
        <v>0</v>
      </c>
      <c r="F336" s="13" t="n">
        <v>269.966142</v>
      </c>
      <c r="G336" s="13" t="n">
        <v>0</v>
      </c>
      <c r="H336" s="13" t="n">
        <v>0</v>
      </c>
      <c r="I336" s="13" t="n">
        <v>329.979181</v>
      </c>
      <c r="J336" s="13" t="n">
        <v>329.984385</v>
      </c>
      <c r="K336" s="13" t="n">
        <v>329.929668</v>
      </c>
      <c r="L336" s="13" t="n">
        <v>360.04115</v>
      </c>
      <c r="M336" s="13" t="n">
        <v>359.93313</v>
      </c>
      <c r="N336" s="13" t="n">
        <v>299.92548</v>
      </c>
      <c r="O336" s="13" t="n">
        <v>299.933697</v>
      </c>
      <c r="P336" s="13" t="n">
        <v>360.021424</v>
      </c>
      <c r="Q336" s="13" t="n">
        <v>299.947671</v>
      </c>
      <c r="R336" s="13" t="n">
        <v>300.004965</v>
      </c>
      <c r="S336" s="13" t="n">
        <v>240.002655</v>
      </c>
      <c r="T336" s="13" t="n">
        <v>251.9552</v>
      </c>
      <c r="U336" s="13" t="n">
        <v>251.955758</v>
      </c>
      <c r="V336" s="13" t="n">
        <v>251.666376</v>
      </c>
      <c r="W336" s="13" t="n">
        <v>251.817872</v>
      </c>
      <c r="X336" s="13" t="n">
        <v>251.640162</v>
      </c>
      <c r="Y336" s="13" t="n">
        <v>251.801846</v>
      </c>
      <c r="Z336" s="13" t="n">
        <v>251.983248</v>
      </c>
      <c r="AA336" s="13" t="n">
        <v>252.05115</v>
      </c>
      <c r="AB336" s="13" t="n">
        <v>251.93073</v>
      </c>
      <c r="AC336" s="13" t="n">
        <v>262.636</v>
      </c>
      <c r="AD336" s="13" t="n">
        <v>295.4267</v>
      </c>
      <c r="AE336" s="13" t="n">
        <v>295.56576</v>
      </c>
      <c r="AF336" s="13" t="n">
        <v>328.3566</v>
      </c>
      <c r="AG336" s="13" t="n">
        <v>328.25898</v>
      </c>
      <c r="AH336" s="13" t="n">
        <v>295.55025</v>
      </c>
      <c r="AI336" s="13" t="n">
        <v>295.48884</v>
      </c>
      <c r="AJ336" s="13" t="n">
        <v>295.42815</v>
      </c>
      <c r="AK336" s="13" t="n">
        <v>295.53795</v>
      </c>
      <c r="AL336" s="13" t="n">
        <v>295.426324</v>
      </c>
      <c r="AM336" s="13" t="n">
        <v>295.510563</v>
      </c>
      <c r="AN336" s="13" t="n">
        <v>295.465619</v>
      </c>
      <c r="AO336" s="13" t="n">
        <v>306.358354</v>
      </c>
      <c r="AP336" s="13" t="n">
        <v>306.294</v>
      </c>
      <c r="AQ336" s="13" t="n">
        <v>306.375516</v>
      </c>
      <c r="AR336" s="13" t="n">
        <v>306.293796</v>
      </c>
      <c r="AS336" s="13" t="n">
        <v>306.38169</v>
      </c>
      <c r="AT336" s="13" t="n">
        <v>306.278</v>
      </c>
    </row>
    <row r="337" customFormat="false" ht="15" hidden="false" customHeight="true" outlineLevel="0" collapsed="false">
      <c r="A337" s="12" t="s">
        <v>1064</v>
      </c>
      <c r="B337" s="12" t="s">
        <v>1065</v>
      </c>
      <c r="C337" s="12" t="n">
        <v>1</v>
      </c>
      <c r="D337" s="12" t="s">
        <v>1066</v>
      </c>
      <c r="E337" s="13" t="n">
        <v>0</v>
      </c>
      <c r="F337" s="13" t="n">
        <v>0</v>
      </c>
      <c r="G337" s="13" t="n">
        <v>0</v>
      </c>
      <c r="H337" s="13" t="n">
        <v>0</v>
      </c>
      <c r="I337" s="13" t="n">
        <v>0</v>
      </c>
      <c r="J337" s="13" t="n">
        <v>0</v>
      </c>
      <c r="K337" s="13" t="n">
        <v>0</v>
      </c>
      <c r="L337" s="13" t="n">
        <v>0</v>
      </c>
      <c r="M337" s="13" t="n">
        <v>0</v>
      </c>
      <c r="N337" s="13" t="n">
        <v>0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0</v>
      </c>
      <c r="V337" s="13" t="n">
        <v>4539.022332</v>
      </c>
      <c r="W337" s="13" t="n">
        <v>4538.909328</v>
      </c>
      <c r="X337" s="13" t="n">
        <v>4181.906522</v>
      </c>
      <c r="Y337" s="13" t="n">
        <v>3994.967208</v>
      </c>
      <c r="Z337" s="13" t="n">
        <v>4165.040528</v>
      </c>
      <c r="AA337" s="13" t="n">
        <v>4589.9841</v>
      </c>
      <c r="AB337" s="13" t="n">
        <v>4810.96635</v>
      </c>
      <c r="AC337" s="13" t="n">
        <v>4536.3648</v>
      </c>
      <c r="AD337" s="13" t="n">
        <v>4731.1385</v>
      </c>
      <c r="AE337" s="13" t="n">
        <v>4961.54484</v>
      </c>
      <c r="AF337" s="13" t="n">
        <v>4624.9918</v>
      </c>
      <c r="AG337" s="13" t="n">
        <v>4837.62264</v>
      </c>
      <c r="AH337" s="13" t="n">
        <v>4554.11775</v>
      </c>
      <c r="AI337" s="13" t="n">
        <v>0</v>
      </c>
      <c r="AJ337" s="13" t="n">
        <v>5050.23705</v>
      </c>
      <c r="AK337" s="13" t="n">
        <v>4607.1633</v>
      </c>
      <c r="AL337" s="13" t="n">
        <v>4341.330351</v>
      </c>
      <c r="AM337" s="13" t="n">
        <v>4430.090383</v>
      </c>
      <c r="AN337" s="13" t="n">
        <v>4731.226397</v>
      </c>
      <c r="AO337" s="13" t="n">
        <v>5400.837454</v>
      </c>
      <c r="AP337" s="13" t="n">
        <v>5345.73624</v>
      </c>
      <c r="AQ337" s="13" t="n">
        <v>5217.075276</v>
      </c>
      <c r="AR337" s="13" t="n">
        <v>5327.336768</v>
      </c>
      <c r="AS337" s="13" t="n">
        <v>4831.310367</v>
      </c>
      <c r="AT337" s="13" t="n">
        <v>4555.841496</v>
      </c>
    </row>
    <row r="338" customFormat="false" ht="15" hidden="false" customHeight="true" outlineLevel="0" collapsed="false">
      <c r="A338" s="12" t="s">
        <v>1067</v>
      </c>
      <c r="B338" s="12" t="s">
        <v>1068</v>
      </c>
      <c r="C338" s="12" t="n">
        <v>1</v>
      </c>
      <c r="D338" s="12" t="s">
        <v>1069</v>
      </c>
      <c r="E338" s="13" t="n">
        <v>0</v>
      </c>
      <c r="F338" s="13" t="n">
        <v>0</v>
      </c>
      <c r="G338" s="13" t="n">
        <v>0</v>
      </c>
      <c r="H338" s="13" t="n">
        <v>0</v>
      </c>
      <c r="I338" s="13" t="n">
        <v>0</v>
      </c>
      <c r="J338" s="13" t="n">
        <v>0</v>
      </c>
      <c r="K338" s="13" t="n">
        <v>0</v>
      </c>
      <c r="L338" s="13" t="n">
        <v>0</v>
      </c>
      <c r="M338" s="13" t="n">
        <v>0</v>
      </c>
      <c r="N338" s="13" t="n">
        <v>0</v>
      </c>
      <c r="O338" s="13" t="n">
        <v>7804.987203</v>
      </c>
      <c r="P338" s="13" t="n">
        <v>5805.007096</v>
      </c>
      <c r="Q338" s="13" t="n">
        <v>6784.963974</v>
      </c>
      <c r="R338" s="13" t="n">
        <v>6605.066577</v>
      </c>
      <c r="S338" s="13" t="n">
        <v>5895.0342</v>
      </c>
      <c r="T338" s="13" t="n">
        <v>6119.95776</v>
      </c>
      <c r="U338" s="13" t="n">
        <v>6029.982892</v>
      </c>
      <c r="V338" s="13" t="n">
        <v>5804.907888</v>
      </c>
      <c r="W338" s="13" t="n">
        <v>6209.944976</v>
      </c>
      <c r="X338" s="13" t="n">
        <v>6389.954752</v>
      </c>
      <c r="Y338" s="13" t="n">
        <v>6299.968</v>
      </c>
      <c r="Z338" s="13" t="n">
        <v>6660.015472</v>
      </c>
      <c r="AA338" s="13" t="n">
        <v>6524.96139</v>
      </c>
      <c r="AB338" s="13" t="n">
        <v>6570.029672</v>
      </c>
      <c r="AC338" s="13" t="n">
        <v>6798.9636</v>
      </c>
      <c r="AD338" s="13" t="n">
        <v>6799.1254</v>
      </c>
      <c r="AE338" s="13" t="n">
        <v>6799.03308</v>
      </c>
      <c r="AF338" s="13" t="n">
        <v>6798.9592</v>
      </c>
      <c r="AG338" s="13" t="n">
        <v>0</v>
      </c>
      <c r="AH338" s="13" t="n">
        <v>0</v>
      </c>
      <c r="AI338" s="13" t="n">
        <v>0</v>
      </c>
      <c r="AJ338" s="13" t="n">
        <v>0</v>
      </c>
      <c r="AK338" s="13" t="n">
        <v>0</v>
      </c>
      <c r="AL338" s="13" t="n">
        <v>0</v>
      </c>
      <c r="AM338" s="13" t="n">
        <v>0</v>
      </c>
      <c r="AN338" s="13" t="n">
        <v>0</v>
      </c>
      <c r="AO338" s="13" t="n">
        <v>0</v>
      </c>
      <c r="AP338" s="13" t="n">
        <v>0</v>
      </c>
      <c r="AQ338" s="13" t="n">
        <v>0</v>
      </c>
      <c r="AR338" s="13" t="n">
        <v>0</v>
      </c>
      <c r="AS338" s="13" t="n">
        <v>0</v>
      </c>
      <c r="AT338" s="13" t="n">
        <v>0</v>
      </c>
    </row>
    <row r="339" customFormat="false" ht="15" hidden="false" customHeight="true" outlineLevel="0" collapsed="false">
      <c r="A339" s="12" t="s">
        <v>1070</v>
      </c>
      <c r="B339" s="12" t="s">
        <v>1071</v>
      </c>
      <c r="C339" s="12" t="n">
        <v>1</v>
      </c>
      <c r="D339" s="12" t="s">
        <v>1072</v>
      </c>
      <c r="E339" s="13" t="n">
        <v>0</v>
      </c>
      <c r="F339" s="13" t="n">
        <v>0</v>
      </c>
      <c r="G339" s="13" t="n">
        <v>2080.086476</v>
      </c>
      <c r="H339" s="13" t="n">
        <v>2014.92279</v>
      </c>
      <c r="I339" s="13" t="n">
        <v>2015.046943</v>
      </c>
      <c r="J339" s="13" t="n">
        <v>2014.974635</v>
      </c>
      <c r="K339" s="13" t="n">
        <v>2080.042176</v>
      </c>
      <c r="L339" s="13" t="n">
        <v>2015.058213</v>
      </c>
      <c r="M339" s="13" t="n">
        <v>2079.927</v>
      </c>
      <c r="N339" s="13" t="n">
        <v>1625.017932</v>
      </c>
      <c r="O339" s="13" t="n">
        <v>2144.964735</v>
      </c>
      <c r="P339" s="13" t="n">
        <v>1885.036986</v>
      </c>
      <c r="Q339" s="13" t="n">
        <v>2144.960649</v>
      </c>
      <c r="R339" s="13" t="n">
        <v>2080.034424</v>
      </c>
      <c r="S339" s="13" t="n">
        <v>2144.97204</v>
      </c>
      <c r="T339" s="13" t="n">
        <v>2210.05568</v>
      </c>
      <c r="U339" s="13" t="n">
        <v>2209.953802</v>
      </c>
      <c r="V339" s="13" t="n">
        <v>2470.052052</v>
      </c>
      <c r="W339" s="13" t="n">
        <v>2404.926304</v>
      </c>
      <c r="X339" s="13" t="n">
        <v>2469.999888</v>
      </c>
      <c r="Y339" s="13" t="n">
        <v>2534.949624</v>
      </c>
      <c r="Z339" s="13" t="n">
        <v>2340.016272</v>
      </c>
      <c r="AA339" s="13" t="n">
        <v>2274.99123</v>
      </c>
      <c r="AB339" s="13" t="n">
        <v>2340.021656</v>
      </c>
      <c r="AC339" s="13" t="n">
        <v>2574.0396</v>
      </c>
      <c r="AD339" s="13" t="n">
        <v>2574.0514</v>
      </c>
      <c r="AE339" s="13" t="n">
        <v>2777.25672</v>
      </c>
      <c r="AF339" s="13" t="n">
        <v>2641.9294</v>
      </c>
      <c r="AG339" s="13" t="n">
        <v>2845.10414</v>
      </c>
      <c r="AH339" s="13" t="n">
        <v>2777.41695</v>
      </c>
      <c r="AI339" s="13" t="n">
        <v>2709.58755</v>
      </c>
      <c r="AJ339" s="13" t="n">
        <v>2777.39739</v>
      </c>
      <c r="AK339" s="13" t="n">
        <v>2709.5565</v>
      </c>
      <c r="AL339" s="13" t="n">
        <v>2641.892264</v>
      </c>
      <c r="AM339" s="13" t="n">
        <v>2574.115289</v>
      </c>
      <c r="AN339" s="13" t="n">
        <v>2438.715313</v>
      </c>
      <c r="AO339" s="13" t="n">
        <v>2598.96015</v>
      </c>
      <c r="AP339" s="13" t="n">
        <v>2950.08576</v>
      </c>
      <c r="AQ339" s="13" t="n">
        <v>2739.272344</v>
      </c>
      <c r="AR339" s="13" t="n">
        <v>2809.622816</v>
      </c>
      <c r="AS339" s="13" t="n">
        <v>3020.369553</v>
      </c>
      <c r="AT339" s="13" t="n">
        <v>3230.970376</v>
      </c>
    </row>
    <row r="340" customFormat="false" ht="15" hidden="false" customHeight="true" outlineLevel="0" collapsed="false">
      <c r="A340" s="12" t="s">
        <v>1073</v>
      </c>
      <c r="B340" s="12" t="s">
        <v>1074</v>
      </c>
      <c r="C340" s="12" t="n">
        <v>1</v>
      </c>
      <c r="D340" s="12" t="s">
        <v>1075</v>
      </c>
      <c r="E340" s="13" t="n">
        <v>0</v>
      </c>
      <c r="F340" s="13" t="n">
        <v>0</v>
      </c>
      <c r="G340" s="13" t="n">
        <v>0</v>
      </c>
      <c r="H340" s="13" t="n">
        <v>0</v>
      </c>
      <c r="I340" s="13" t="n">
        <v>0</v>
      </c>
      <c r="J340" s="13" t="n">
        <v>0</v>
      </c>
      <c r="K340" s="13" t="n">
        <v>0</v>
      </c>
      <c r="L340" s="13" t="n">
        <v>0</v>
      </c>
      <c r="M340" s="13" t="n">
        <v>0</v>
      </c>
      <c r="N340" s="13" t="n">
        <v>0</v>
      </c>
      <c r="O340" s="13" t="n">
        <v>1977.531868</v>
      </c>
      <c r="P340" s="13" t="n">
        <v>1820.070714</v>
      </c>
      <c r="Q340" s="13" t="n">
        <v>1837.458486</v>
      </c>
      <c r="R340" s="13" t="n">
        <v>0</v>
      </c>
      <c r="S340" s="13" t="n">
        <v>0</v>
      </c>
      <c r="T340" s="13" t="n">
        <v>0</v>
      </c>
      <c r="U340" s="13" t="n">
        <v>0</v>
      </c>
      <c r="V340" s="13" t="n">
        <v>0</v>
      </c>
      <c r="W340" s="13" t="n">
        <v>0</v>
      </c>
      <c r="X340" s="13" t="n">
        <v>0</v>
      </c>
      <c r="Y340" s="13" t="n">
        <v>0</v>
      </c>
      <c r="Z340" s="13" t="n">
        <v>0</v>
      </c>
      <c r="AA340" s="13" t="n">
        <v>0</v>
      </c>
      <c r="AB340" s="13" t="n">
        <v>0</v>
      </c>
      <c r="AC340" s="13" t="n">
        <v>0</v>
      </c>
      <c r="AD340" s="13" t="n">
        <v>0</v>
      </c>
      <c r="AE340" s="13" t="n">
        <v>0</v>
      </c>
      <c r="AF340" s="13" t="n">
        <v>0</v>
      </c>
      <c r="AG340" s="13" t="n">
        <v>0</v>
      </c>
      <c r="AH340" s="13" t="n">
        <v>0</v>
      </c>
      <c r="AI340" s="13" t="n">
        <v>0</v>
      </c>
      <c r="AJ340" s="13" t="n">
        <v>0</v>
      </c>
      <c r="AK340" s="13" t="n">
        <v>0</v>
      </c>
      <c r="AL340" s="13" t="n">
        <v>0</v>
      </c>
      <c r="AM340" s="13" t="n">
        <v>0</v>
      </c>
      <c r="AN340" s="13" t="n">
        <v>0</v>
      </c>
      <c r="AO340" s="13" t="n">
        <v>0</v>
      </c>
      <c r="AP340" s="13" t="n">
        <v>0</v>
      </c>
      <c r="AQ340" s="13" t="n">
        <v>0</v>
      </c>
      <c r="AR340" s="13" t="n">
        <v>0</v>
      </c>
      <c r="AS340" s="13" t="n">
        <v>0</v>
      </c>
      <c r="AT340" s="13" t="n">
        <v>0</v>
      </c>
    </row>
    <row r="341" customFormat="false" ht="15" hidden="false" customHeight="true" outlineLevel="0" collapsed="false">
      <c r="A341" s="12" t="s">
        <v>1076</v>
      </c>
      <c r="B341" s="12" t="s">
        <v>1077</v>
      </c>
      <c r="C341" s="12" t="n">
        <v>1</v>
      </c>
      <c r="D341" s="12" t="s">
        <v>1078</v>
      </c>
      <c r="E341" s="13" t="n">
        <v>0</v>
      </c>
      <c r="F341" s="13" t="n">
        <v>0</v>
      </c>
      <c r="G341" s="13" t="n">
        <v>0</v>
      </c>
      <c r="H341" s="13" t="n">
        <v>0</v>
      </c>
      <c r="I341" s="13" t="n">
        <v>0</v>
      </c>
      <c r="J341" s="13" t="n">
        <v>0</v>
      </c>
      <c r="K341" s="13" t="n">
        <v>0</v>
      </c>
      <c r="L341" s="13" t="n">
        <v>0</v>
      </c>
      <c r="M341" s="13" t="n">
        <v>0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  <c r="V341" s="13" t="n">
        <v>0</v>
      </c>
      <c r="W341" s="13" t="n">
        <v>0</v>
      </c>
      <c r="X341" s="13" t="n">
        <v>0</v>
      </c>
      <c r="Y341" s="13" t="n">
        <v>0</v>
      </c>
      <c r="Z341" s="13" t="n">
        <v>0</v>
      </c>
      <c r="AA341" s="13" t="n">
        <v>0</v>
      </c>
      <c r="AB341" s="13" t="n">
        <v>0</v>
      </c>
      <c r="AC341" s="13" t="n">
        <v>0</v>
      </c>
      <c r="AD341" s="13" t="n">
        <v>0</v>
      </c>
      <c r="AE341" s="13" t="n">
        <v>0</v>
      </c>
      <c r="AF341" s="13" t="n">
        <v>0</v>
      </c>
      <c r="AG341" s="13" t="n">
        <v>0</v>
      </c>
      <c r="AH341" s="13" t="n">
        <v>5810.9145</v>
      </c>
      <c r="AI341" s="13" t="n">
        <v>0</v>
      </c>
      <c r="AJ341" s="13" t="n">
        <v>14859.0108</v>
      </c>
      <c r="AK341" s="13" t="n">
        <v>18212.916</v>
      </c>
      <c r="AL341" s="13" t="n">
        <v>25158.019514</v>
      </c>
      <c r="AM341" s="13" t="n">
        <v>30911.945727</v>
      </c>
      <c r="AN341" s="13" t="n">
        <v>35028.051573</v>
      </c>
      <c r="AO341" s="13" t="n">
        <v>42000.058034</v>
      </c>
      <c r="AP341" s="13" t="n">
        <v>47460.0396</v>
      </c>
      <c r="AQ341" s="13" t="n">
        <v>59052.069979</v>
      </c>
      <c r="AR341" s="13" t="n">
        <v>59303.987282</v>
      </c>
      <c r="AS341" s="13" t="n">
        <v>59388.022827</v>
      </c>
      <c r="AT341" s="13" t="n">
        <v>60144.073384</v>
      </c>
    </row>
    <row r="342" customFormat="false" ht="15" hidden="false" customHeight="true" outlineLevel="0" collapsed="false">
      <c r="A342" s="12" t="s">
        <v>1079</v>
      </c>
      <c r="B342" s="12" t="s">
        <v>1080</v>
      </c>
      <c r="C342" s="12" t="n">
        <v>1</v>
      </c>
      <c r="D342" s="12" t="s">
        <v>1081</v>
      </c>
      <c r="E342" s="13" t="n">
        <v>0</v>
      </c>
      <c r="F342" s="13" t="n">
        <v>0</v>
      </c>
      <c r="G342" s="13" t="n">
        <v>0</v>
      </c>
      <c r="H342" s="13" t="n">
        <v>0</v>
      </c>
      <c r="I342" s="13" t="n">
        <v>0</v>
      </c>
      <c r="J342" s="13" t="n">
        <v>0</v>
      </c>
      <c r="K342" s="13" t="n">
        <v>0</v>
      </c>
      <c r="L342" s="13" t="n">
        <v>0</v>
      </c>
      <c r="M342" s="13" t="n">
        <v>0</v>
      </c>
      <c r="N342" s="13" t="n">
        <v>0</v>
      </c>
      <c r="O342" s="13" t="n">
        <v>0</v>
      </c>
      <c r="P342" s="13" t="n">
        <v>0</v>
      </c>
      <c r="Q342" s="13" t="n">
        <v>0</v>
      </c>
      <c r="R342" s="13" t="n">
        <v>0</v>
      </c>
      <c r="S342" s="13" t="n">
        <v>0</v>
      </c>
      <c r="T342" s="13" t="n">
        <v>0</v>
      </c>
      <c r="U342" s="13" t="n">
        <v>0</v>
      </c>
      <c r="V342" s="13" t="n">
        <v>0</v>
      </c>
      <c r="W342" s="13" t="n">
        <v>0</v>
      </c>
      <c r="X342" s="13" t="n">
        <v>0</v>
      </c>
      <c r="Y342" s="13" t="n">
        <v>0</v>
      </c>
      <c r="Z342" s="13" t="n">
        <v>0</v>
      </c>
      <c r="AA342" s="13" t="n">
        <v>0</v>
      </c>
      <c r="AB342" s="13" t="n">
        <v>0</v>
      </c>
      <c r="AC342" s="13" t="n">
        <v>0</v>
      </c>
      <c r="AD342" s="13" t="n">
        <v>0</v>
      </c>
      <c r="AE342" s="13" t="n">
        <v>0</v>
      </c>
      <c r="AF342" s="13" t="n">
        <v>0</v>
      </c>
      <c r="AG342" s="13" t="n">
        <v>0</v>
      </c>
      <c r="AH342" s="13" t="n">
        <v>0</v>
      </c>
      <c r="AI342" s="13" t="n">
        <v>0</v>
      </c>
      <c r="AJ342" s="13" t="n">
        <v>0</v>
      </c>
      <c r="AK342" s="13" t="n">
        <v>0</v>
      </c>
      <c r="AL342" s="13" t="n">
        <v>0</v>
      </c>
      <c r="AM342" s="13" t="n">
        <v>0</v>
      </c>
      <c r="AN342" s="13" t="n">
        <v>0</v>
      </c>
      <c r="AO342" s="13" t="n">
        <v>12799.98649</v>
      </c>
      <c r="AP342" s="13" t="n">
        <v>13549.92888</v>
      </c>
      <c r="AQ342" s="13" t="n">
        <v>13399.945219</v>
      </c>
      <c r="AR342" s="13" t="n">
        <v>13550.079666</v>
      </c>
      <c r="AS342" s="13" t="n">
        <v>13650.083226</v>
      </c>
      <c r="AT342" s="13" t="n">
        <v>13700.077464</v>
      </c>
    </row>
    <row r="343" customFormat="false" ht="15" hidden="false" customHeight="true" outlineLevel="0" collapsed="false">
      <c r="A343" s="12" t="s">
        <v>1082</v>
      </c>
      <c r="B343" s="12" t="s">
        <v>1083</v>
      </c>
      <c r="C343" s="12" t="n">
        <v>1</v>
      </c>
      <c r="D343" s="12" t="s">
        <v>1084</v>
      </c>
      <c r="E343" s="13" t="n">
        <v>0</v>
      </c>
      <c r="F343" s="13" t="n">
        <v>0</v>
      </c>
      <c r="G343" s="13" t="n">
        <v>0</v>
      </c>
      <c r="H343" s="13" t="n">
        <v>0</v>
      </c>
      <c r="I343" s="13" t="n">
        <v>0</v>
      </c>
      <c r="J343" s="13" t="n">
        <v>0</v>
      </c>
      <c r="K343" s="13" t="n">
        <v>0</v>
      </c>
      <c r="L343" s="13" t="n">
        <v>0</v>
      </c>
      <c r="M343" s="13" t="n">
        <v>0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404.963967</v>
      </c>
      <c r="S343" s="13" t="n">
        <v>405.076845</v>
      </c>
      <c r="T343" s="13" t="n">
        <v>270.00064</v>
      </c>
      <c r="U343" s="13" t="n">
        <v>269.928376</v>
      </c>
      <c r="V343" s="13" t="n">
        <v>270.089976</v>
      </c>
      <c r="W343" s="13" t="n">
        <v>0</v>
      </c>
      <c r="X343" s="13" t="n">
        <v>0</v>
      </c>
      <c r="Y343" s="13" t="n">
        <v>0</v>
      </c>
      <c r="Z343" s="13" t="n">
        <v>0</v>
      </c>
      <c r="AA343" s="13" t="n">
        <v>0</v>
      </c>
      <c r="AB343" s="13" t="n">
        <v>0</v>
      </c>
      <c r="AC343" s="13" t="n">
        <v>0</v>
      </c>
      <c r="AD343" s="13" t="n">
        <v>0</v>
      </c>
      <c r="AE343" s="13" t="n">
        <v>0</v>
      </c>
      <c r="AF343" s="13" t="n">
        <v>0</v>
      </c>
      <c r="AG343" s="13" t="n">
        <v>0</v>
      </c>
      <c r="AH343" s="13" t="n">
        <v>0</v>
      </c>
      <c r="AI343" s="13" t="n">
        <v>0</v>
      </c>
      <c r="AJ343" s="13" t="n">
        <v>0</v>
      </c>
      <c r="AK343" s="13" t="n">
        <v>0</v>
      </c>
      <c r="AL343" s="13" t="n">
        <v>0</v>
      </c>
      <c r="AM343" s="13" t="n">
        <v>0</v>
      </c>
      <c r="AN343" s="13" t="n">
        <v>0</v>
      </c>
      <c r="AO343" s="13" t="n">
        <v>0</v>
      </c>
      <c r="AP343" s="13" t="n">
        <v>0</v>
      </c>
      <c r="AQ343" s="13" t="n">
        <v>0</v>
      </c>
      <c r="AR343" s="13" t="n">
        <v>0</v>
      </c>
      <c r="AS343" s="13" t="n">
        <v>0</v>
      </c>
      <c r="AT343" s="13" t="n">
        <v>0</v>
      </c>
    </row>
    <row r="344" customFormat="false" ht="15" hidden="false" customHeight="true" outlineLevel="0" collapsed="false">
      <c r="A344" s="12" t="s">
        <v>1085</v>
      </c>
      <c r="B344" s="12" t="s">
        <v>1086</v>
      </c>
      <c r="C344" s="12" t="n">
        <v>1</v>
      </c>
      <c r="D344" s="12" t="s">
        <v>1087</v>
      </c>
      <c r="E344" s="13" t="n">
        <v>0</v>
      </c>
      <c r="F344" s="13" t="n">
        <v>0</v>
      </c>
      <c r="G344" s="13" t="n">
        <v>0</v>
      </c>
      <c r="H344" s="13" t="n">
        <v>0</v>
      </c>
      <c r="I344" s="13" t="n">
        <v>0</v>
      </c>
      <c r="J344" s="13" t="n">
        <v>0</v>
      </c>
      <c r="K344" s="13" t="n">
        <v>0</v>
      </c>
      <c r="L344" s="13" t="n">
        <v>0</v>
      </c>
      <c r="M344" s="13" t="n">
        <v>0</v>
      </c>
      <c r="N344" s="13" t="n">
        <v>0</v>
      </c>
      <c r="O344" s="13" t="n">
        <v>0</v>
      </c>
      <c r="P344" s="13" t="n">
        <v>0</v>
      </c>
      <c r="Q344" s="13" t="n">
        <v>0</v>
      </c>
      <c r="R344" s="13" t="n">
        <v>0</v>
      </c>
      <c r="S344" s="13" t="n">
        <v>0</v>
      </c>
      <c r="T344" s="13" t="n">
        <v>0</v>
      </c>
      <c r="U344" s="13" t="n">
        <v>0</v>
      </c>
      <c r="V344" s="13" t="n">
        <v>509.965248</v>
      </c>
      <c r="W344" s="13" t="n">
        <v>510.01088</v>
      </c>
      <c r="X344" s="13" t="n">
        <v>543.931414</v>
      </c>
      <c r="Y344" s="13" t="n">
        <v>441.98213</v>
      </c>
      <c r="Z344" s="13" t="n">
        <v>459.06256</v>
      </c>
      <c r="AA344" s="13" t="n">
        <v>442.05894</v>
      </c>
      <c r="AB344" s="13" t="n">
        <v>475.936608</v>
      </c>
      <c r="AC344" s="13" t="n">
        <v>496.1132</v>
      </c>
      <c r="AD344" s="13" t="n">
        <v>496.2101</v>
      </c>
      <c r="AE344" s="13" t="n">
        <v>602.56224</v>
      </c>
      <c r="AF344" s="13" t="n">
        <v>531.597</v>
      </c>
      <c r="AG344" s="13" t="n">
        <v>584.7294</v>
      </c>
      <c r="AH344" s="13" t="n">
        <v>637.9353</v>
      </c>
      <c r="AI344" s="13" t="n">
        <v>0</v>
      </c>
      <c r="AJ344" s="13" t="n">
        <v>549.29133</v>
      </c>
      <c r="AK344" s="13" t="n">
        <v>531.6381</v>
      </c>
      <c r="AL344" s="13" t="n">
        <v>513.86499</v>
      </c>
      <c r="AM344" s="13" t="n">
        <v>513.795833</v>
      </c>
      <c r="AN344" s="13" t="n">
        <v>513.962714</v>
      </c>
      <c r="AO344" s="13" t="n">
        <v>569.443806</v>
      </c>
      <c r="AP344" s="13" t="n">
        <v>606.20328</v>
      </c>
      <c r="AQ344" s="13" t="n">
        <v>551.186212</v>
      </c>
      <c r="AR344" s="13" t="n">
        <v>551.013066</v>
      </c>
      <c r="AS344" s="13" t="n">
        <v>551.140848</v>
      </c>
      <c r="AT344" s="13" t="n">
        <v>551.125384</v>
      </c>
    </row>
    <row r="345" customFormat="false" ht="15" hidden="false" customHeight="true" outlineLevel="0" collapsed="false">
      <c r="A345" s="12" t="s">
        <v>1088</v>
      </c>
      <c r="B345" s="12" t="s">
        <v>1089</v>
      </c>
      <c r="C345" s="12" t="n">
        <v>1</v>
      </c>
      <c r="D345" s="12" t="s">
        <v>1090</v>
      </c>
      <c r="E345" s="13" t="n">
        <v>0</v>
      </c>
      <c r="F345" s="13" t="n">
        <v>0</v>
      </c>
      <c r="G345" s="13" t="n">
        <v>0</v>
      </c>
      <c r="H345" s="13" t="n">
        <v>0</v>
      </c>
      <c r="I345" s="13" t="n">
        <v>0</v>
      </c>
      <c r="J345" s="13" t="n">
        <v>0</v>
      </c>
      <c r="K345" s="13" t="n">
        <v>0</v>
      </c>
      <c r="L345" s="13" t="n">
        <v>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4941.97059</v>
      </c>
      <c r="T345" s="13" t="n">
        <v>5824.08064</v>
      </c>
      <c r="U345" s="13" t="n">
        <v>5614.069383</v>
      </c>
      <c r="V345" s="13" t="n">
        <v>5502.023904</v>
      </c>
      <c r="W345" s="13" t="n">
        <v>5501.929872</v>
      </c>
      <c r="X345" s="13" t="n">
        <v>5194.019514</v>
      </c>
      <c r="Y345" s="13" t="n">
        <v>5390.016372</v>
      </c>
      <c r="Z345" s="13" t="n">
        <v>5683.956256</v>
      </c>
      <c r="AA345" s="13" t="n">
        <v>6342.09675</v>
      </c>
      <c r="AB345" s="13" t="n">
        <v>5334.05144</v>
      </c>
      <c r="AC345" s="13" t="n">
        <v>5655.98</v>
      </c>
      <c r="AD345" s="13" t="n">
        <v>10989.9143</v>
      </c>
      <c r="AE345" s="13" t="n">
        <v>5740.05852</v>
      </c>
      <c r="AF345" s="13" t="n">
        <v>5445.9812</v>
      </c>
      <c r="AG345" s="13" t="n">
        <v>9020.07818</v>
      </c>
      <c r="AH345" s="13" t="n">
        <v>5894.0085</v>
      </c>
      <c r="AI345" s="13" t="n">
        <v>5334.02469</v>
      </c>
      <c r="AJ345" s="13" t="n">
        <v>5390.02602</v>
      </c>
      <c r="AK345" s="13" t="n">
        <v>4507.91685</v>
      </c>
      <c r="AL345" s="13" t="n">
        <v>4745.976008</v>
      </c>
      <c r="AM345" s="13" t="n">
        <v>4829.974323</v>
      </c>
      <c r="AN345" s="13" t="n">
        <v>4759.999677</v>
      </c>
      <c r="AO345" s="13" t="n">
        <v>5277.914828</v>
      </c>
      <c r="AP345" s="13" t="n">
        <v>5502.0756</v>
      </c>
      <c r="AQ345" s="13" t="n">
        <v>5487.960484</v>
      </c>
      <c r="AR345" s="13" t="n">
        <v>5977.991802</v>
      </c>
      <c r="AS345" s="13" t="n">
        <v>5543.950716</v>
      </c>
      <c r="AT345" s="13" t="n">
        <v>5389.967752</v>
      </c>
    </row>
    <row r="346" customFormat="false" ht="15" hidden="false" customHeight="true" outlineLevel="0" collapsed="false">
      <c r="A346" s="12" t="s">
        <v>1091</v>
      </c>
      <c r="B346" s="12" t="s">
        <v>1092</v>
      </c>
      <c r="C346" s="12" t="n">
        <v>1</v>
      </c>
      <c r="D346" s="12" t="s">
        <v>1093</v>
      </c>
      <c r="E346" s="13" t="n">
        <v>0</v>
      </c>
      <c r="F346" s="13" t="n">
        <v>0</v>
      </c>
      <c r="G346" s="13" t="n">
        <v>0</v>
      </c>
      <c r="H346" s="13" t="n">
        <v>0</v>
      </c>
      <c r="I346" s="13" t="n">
        <v>0</v>
      </c>
      <c r="J346" s="13" t="n">
        <v>0</v>
      </c>
      <c r="K346" s="13" t="n">
        <v>0</v>
      </c>
      <c r="L346" s="13" t="n">
        <v>0</v>
      </c>
      <c r="M346" s="13" t="n">
        <v>0</v>
      </c>
      <c r="N346" s="13" t="n">
        <v>0</v>
      </c>
      <c r="O346" s="13" t="n">
        <v>9414.958327</v>
      </c>
      <c r="P346" s="13" t="n">
        <v>9415.03395</v>
      </c>
      <c r="Q346" s="13" t="n">
        <v>9414.957348</v>
      </c>
      <c r="R346" s="13" t="n">
        <v>4707.428334</v>
      </c>
      <c r="S346" s="13" t="n">
        <v>0</v>
      </c>
      <c r="T346" s="13" t="n">
        <v>0</v>
      </c>
      <c r="U346" s="13" t="n">
        <v>0</v>
      </c>
      <c r="V346" s="13" t="n">
        <v>0</v>
      </c>
      <c r="W346" s="13" t="n">
        <v>0</v>
      </c>
      <c r="X346" s="13" t="n">
        <v>0</v>
      </c>
      <c r="Y346" s="13" t="n">
        <v>0</v>
      </c>
      <c r="Z346" s="13" t="n">
        <v>0</v>
      </c>
      <c r="AA346" s="13" t="n">
        <v>0</v>
      </c>
      <c r="AB346" s="13" t="n">
        <v>0</v>
      </c>
      <c r="AC346" s="13" t="n">
        <v>0</v>
      </c>
      <c r="AD346" s="13" t="n">
        <v>0</v>
      </c>
      <c r="AE346" s="13" t="n">
        <v>0</v>
      </c>
      <c r="AF346" s="13" t="n">
        <v>0</v>
      </c>
      <c r="AG346" s="13" t="n">
        <v>0</v>
      </c>
      <c r="AH346" s="13" t="n">
        <v>0</v>
      </c>
      <c r="AI346" s="13" t="n">
        <v>0</v>
      </c>
      <c r="AJ346" s="13" t="n">
        <v>0</v>
      </c>
      <c r="AK346" s="13" t="n">
        <v>0</v>
      </c>
      <c r="AL346" s="13" t="n">
        <v>0</v>
      </c>
      <c r="AM346" s="13" t="n">
        <v>0</v>
      </c>
      <c r="AN346" s="13" t="n">
        <v>0</v>
      </c>
      <c r="AO346" s="13" t="n">
        <v>0</v>
      </c>
      <c r="AP346" s="13" t="n">
        <v>0</v>
      </c>
      <c r="AQ346" s="13" t="n">
        <v>0</v>
      </c>
      <c r="AR346" s="13" t="n">
        <v>0</v>
      </c>
      <c r="AS346" s="13" t="n">
        <v>0</v>
      </c>
      <c r="AT346" s="13" t="n">
        <v>0</v>
      </c>
    </row>
    <row r="347" customFormat="false" ht="15" hidden="false" customHeight="true" outlineLevel="0" collapsed="false">
      <c r="A347" s="12" t="s">
        <v>1094</v>
      </c>
      <c r="B347" s="12" t="s">
        <v>1095</v>
      </c>
      <c r="C347" s="12" t="n">
        <v>1</v>
      </c>
      <c r="D347" s="12" t="s">
        <v>1096</v>
      </c>
      <c r="E347" s="13" t="n">
        <v>0</v>
      </c>
      <c r="F347" s="13" t="n">
        <v>0</v>
      </c>
      <c r="G347" s="13" t="n">
        <v>0</v>
      </c>
      <c r="H347" s="13" t="n">
        <v>0</v>
      </c>
      <c r="I347" s="13" t="n">
        <v>0</v>
      </c>
      <c r="J347" s="13" t="n">
        <v>0</v>
      </c>
      <c r="K347" s="13" t="n">
        <v>0</v>
      </c>
      <c r="L347" s="13" t="n">
        <v>0</v>
      </c>
      <c r="M347" s="13" t="n">
        <v>0</v>
      </c>
      <c r="N347" s="13" t="n">
        <v>6195.087264</v>
      </c>
      <c r="O347" s="13" t="n">
        <v>6334.916306</v>
      </c>
      <c r="P347" s="13" t="n">
        <v>6124.932149</v>
      </c>
      <c r="Q347" s="13" t="n">
        <v>6405.007365</v>
      </c>
      <c r="R347" s="13" t="n">
        <v>6685.067901</v>
      </c>
      <c r="S347" s="13" t="n">
        <v>6929.973285</v>
      </c>
      <c r="T347" s="13" t="n">
        <v>7174.93504</v>
      </c>
      <c r="U347" s="13" t="n">
        <v>7315.025079</v>
      </c>
      <c r="V347" s="13" t="n">
        <v>7105.06134</v>
      </c>
      <c r="W347" s="13" t="n">
        <v>6895.084592</v>
      </c>
      <c r="X347" s="13" t="n">
        <v>6999.9194</v>
      </c>
      <c r="Y347" s="13" t="n">
        <v>7000.051944</v>
      </c>
      <c r="Z347" s="13" t="n">
        <v>6930.04048</v>
      </c>
      <c r="AA347" s="13" t="n">
        <v>6790.0743</v>
      </c>
      <c r="AB347" s="13" t="n">
        <v>7035.039164</v>
      </c>
      <c r="AC347" s="13" t="n">
        <v>7184.6456</v>
      </c>
      <c r="AD347" s="13" t="n">
        <v>6710.4358</v>
      </c>
      <c r="AE347" s="13" t="n">
        <v>6637.57416</v>
      </c>
      <c r="AF347" s="13" t="n">
        <v>6710.4576</v>
      </c>
      <c r="AG347" s="13" t="n">
        <v>6491.65422</v>
      </c>
      <c r="AH347" s="13" t="n">
        <v>6637.51095</v>
      </c>
      <c r="AI347" s="13" t="n">
        <v>6601.13046</v>
      </c>
      <c r="AJ347" s="13" t="n">
        <v>6783.47766</v>
      </c>
      <c r="AK347" s="13" t="n">
        <v>6564.5748</v>
      </c>
      <c r="AL347" s="13" t="n">
        <v>7075.128934</v>
      </c>
      <c r="AM347" s="13" t="n">
        <v>7841.027018</v>
      </c>
      <c r="AN347" s="13" t="n">
        <v>8132.767592</v>
      </c>
      <c r="AO347" s="13" t="n">
        <v>7715.334304</v>
      </c>
      <c r="AP347" s="13" t="n">
        <v>7601.78568</v>
      </c>
      <c r="AQ347" s="13" t="n">
        <v>7223.545189</v>
      </c>
      <c r="AR347" s="13" t="n">
        <v>7488.409662</v>
      </c>
      <c r="AS347" s="13" t="n">
        <v>7488.349317</v>
      </c>
      <c r="AT347" s="13" t="n">
        <v>7374.824208</v>
      </c>
    </row>
    <row r="348" customFormat="false" ht="15" hidden="false" customHeight="true" outlineLevel="0" collapsed="false">
      <c r="A348" s="12" t="s">
        <v>1097</v>
      </c>
      <c r="B348" s="12" t="s">
        <v>1098</v>
      </c>
      <c r="C348" s="12" t="n">
        <v>1</v>
      </c>
      <c r="D348" s="12" t="s">
        <v>1099</v>
      </c>
      <c r="E348" s="13" t="n">
        <v>7800.207984</v>
      </c>
      <c r="F348" s="13" t="n">
        <v>7864.535136</v>
      </c>
      <c r="G348" s="13" t="n">
        <v>7704.030689</v>
      </c>
      <c r="H348" s="13" t="n">
        <v>7992.94797</v>
      </c>
      <c r="I348" s="13" t="n">
        <v>7800.375562</v>
      </c>
      <c r="J348" s="13" t="n">
        <v>7960.851905</v>
      </c>
      <c r="K348" s="13" t="n">
        <v>8249.743656</v>
      </c>
      <c r="L348" s="13" t="n">
        <v>8378.07383</v>
      </c>
      <c r="M348" s="13" t="n">
        <v>7704.014355</v>
      </c>
      <c r="N348" s="13" t="n">
        <v>7800.230616</v>
      </c>
      <c r="O348" s="13" t="n">
        <v>7607.784669</v>
      </c>
      <c r="P348" s="13" t="n">
        <v>7736.061858</v>
      </c>
      <c r="Q348" s="13" t="n">
        <v>8055.492174</v>
      </c>
      <c r="R348" s="13" t="n">
        <v>8021.842161</v>
      </c>
      <c r="S348" s="13" t="n">
        <v>8257.67922</v>
      </c>
      <c r="T348" s="13" t="n">
        <v>8156.53888</v>
      </c>
      <c r="U348" s="13" t="n">
        <v>8089.204077</v>
      </c>
      <c r="V348" s="13" t="n">
        <v>7886.958924</v>
      </c>
      <c r="W348" s="13" t="n">
        <v>8055.546848</v>
      </c>
      <c r="X348" s="13" t="n">
        <v>8527.408894</v>
      </c>
      <c r="Y348" s="13" t="n">
        <v>8697.105824</v>
      </c>
      <c r="Z348" s="13" t="n">
        <v>8461.184512</v>
      </c>
      <c r="AA348" s="13" t="n">
        <v>7382.54757</v>
      </c>
      <c r="AB348" s="13" t="n">
        <v>7416.2741</v>
      </c>
      <c r="AC348" s="13" t="n">
        <v>7377.3832</v>
      </c>
      <c r="AD348" s="13" t="n">
        <v>7377.2502</v>
      </c>
      <c r="AE348" s="13" t="n">
        <v>7447.52232</v>
      </c>
      <c r="AF348" s="13" t="n">
        <v>7447.6446</v>
      </c>
      <c r="AG348" s="13" t="n">
        <v>7306.99472</v>
      </c>
      <c r="AH348" s="13" t="n">
        <v>6955.7232</v>
      </c>
      <c r="AI348" s="13" t="n">
        <v>7377.25859</v>
      </c>
      <c r="AJ348" s="13" t="n">
        <v>7307.04717</v>
      </c>
      <c r="AK348" s="13" t="n">
        <v>7517.781</v>
      </c>
      <c r="AL348" s="13" t="n">
        <v>7517.900058</v>
      </c>
      <c r="AM348" s="13" t="n">
        <v>6780.050546</v>
      </c>
      <c r="AN348" s="13" t="n">
        <v>6885.445904</v>
      </c>
      <c r="AO348" s="13" t="n">
        <v>7140.201232</v>
      </c>
      <c r="AP348" s="13" t="n">
        <v>4954.54272</v>
      </c>
      <c r="AQ348" s="13" t="n">
        <v>5027.310772</v>
      </c>
      <c r="AR348" s="13" t="n">
        <v>4845.26612</v>
      </c>
      <c r="AS348" s="13" t="n">
        <v>4808.807757</v>
      </c>
      <c r="AT348" s="13" t="n">
        <v>4772.336288</v>
      </c>
    </row>
    <row r="349" customFormat="false" ht="15" hidden="false" customHeight="true" outlineLevel="0" collapsed="false">
      <c r="A349" s="12" t="s">
        <v>1100</v>
      </c>
      <c r="B349" s="12" t="s">
        <v>1101</v>
      </c>
      <c r="C349" s="12" t="n">
        <v>1</v>
      </c>
      <c r="D349" s="12" t="s">
        <v>1102</v>
      </c>
      <c r="E349" s="13" t="n">
        <v>0</v>
      </c>
      <c r="F349" s="13" t="n">
        <v>0</v>
      </c>
      <c r="G349" s="13" t="n">
        <v>0</v>
      </c>
      <c r="H349" s="13" t="n">
        <v>0</v>
      </c>
      <c r="I349" s="13" t="n">
        <v>0</v>
      </c>
      <c r="J349" s="13" t="n">
        <v>0</v>
      </c>
      <c r="K349" s="13" t="n">
        <v>0</v>
      </c>
      <c r="L349" s="13" t="n">
        <v>0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0</v>
      </c>
      <c r="V349" s="13" t="n">
        <v>0</v>
      </c>
      <c r="W349" s="13" t="n">
        <v>0</v>
      </c>
      <c r="X349" s="13" t="n">
        <v>0</v>
      </c>
      <c r="Y349" s="13" t="n">
        <v>0</v>
      </c>
      <c r="Z349" s="13" t="n">
        <v>0</v>
      </c>
      <c r="AA349" s="13" t="n">
        <v>0</v>
      </c>
      <c r="AB349" s="13" t="n">
        <v>0</v>
      </c>
      <c r="AC349" s="13" t="n">
        <v>0</v>
      </c>
      <c r="AD349" s="13" t="n">
        <v>3359.9398</v>
      </c>
      <c r="AE349" s="13" t="n">
        <v>3560.05692</v>
      </c>
      <c r="AF349" s="13" t="n">
        <v>3520.0924</v>
      </c>
      <c r="AG349" s="13" t="n">
        <v>3519.9552</v>
      </c>
      <c r="AH349" s="13" t="n">
        <v>3560.01135</v>
      </c>
      <c r="AI349" s="13" t="n">
        <v>3559.96383</v>
      </c>
      <c r="AJ349" s="13" t="n">
        <v>0</v>
      </c>
      <c r="AK349" s="13" t="n">
        <v>0</v>
      </c>
      <c r="AL349" s="13" t="n">
        <v>0</v>
      </c>
      <c r="AM349" s="13" t="n">
        <v>0</v>
      </c>
      <c r="AN349" s="13" t="n">
        <v>0</v>
      </c>
      <c r="AO349" s="13" t="n">
        <v>0</v>
      </c>
      <c r="AP349" s="13" t="n">
        <v>0</v>
      </c>
      <c r="AQ349" s="13" t="n">
        <v>0</v>
      </c>
      <c r="AR349" s="13" t="n">
        <v>0</v>
      </c>
      <c r="AS349" s="13" t="n">
        <v>0</v>
      </c>
      <c r="AT349" s="13" t="n">
        <v>0</v>
      </c>
    </row>
    <row r="350" customFormat="false" ht="15" hidden="false" customHeight="true" outlineLevel="0" collapsed="false">
      <c r="A350" s="12" t="s">
        <v>1103</v>
      </c>
      <c r="B350" s="12" t="s">
        <v>1104</v>
      </c>
      <c r="C350" s="12" t="n">
        <v>1</v>
      </c>
      <c r="D350" s="12" t="s">
        <v>1105</v>
      </c>
      <c r="E350" s="13" t="n">
        <v>0</v>
      </c>
      <c r="F350" s="13" t="n">
        <v>0</v>
      </c>
      <c r="G350" s="13" t="n">
        <v>0</v>
      </c>
      <c r="H350" s="13" t="n">
        <v>0</v>
      </c>
      <c r="I350" s="13" t="n">
        <v>0</v>
      </c>
      <c r="J350" s="13" t="n">
        <v>0</v>
      </c>
      <c r="K350" s="13" t="n">
        <v>0</v>
      </c>
      <c r="L350" s="13" t="n">
        <v>0</v>
      </c>
      <c r="M350" s="13" t="n">
        <v>0</v>
      </c>
      <c r="N350" s="13" t="n">
        <v>0</v>
      </c>
      <c r="O350" s="13" t="n">
        <v>0</v>
      </c>
      <c r="P350" s="13" t="n">
        <v>0</v>
      </c>
      <c r="Q350" s="13" t="n">
        <v>0</v>
      </c>
      <c r="R350" s="13" t="n">
        <v>0</v>
      </c>
      <c r="S350" s="13" t="n">
        <v>0</v>
      </c>
      <c r="T350" s="13" t="n">
        <v>0</v>
      </c>
      <c r="U350" s="13" t="n">
        <v>0</v>
      </c>
      <c r="V350" s="13" t="n">
        <v>0</v>
      </c>
      <c r="W350" s="13" t="n">
        <v>0</v>
      </c>
      <c r="X350" s="13" t="n">
        <v>0</v>
      </c>
      <c r="Y350" s="13" t="n">
        <v>0</v>
      </c>
      <c r="Z350" s="13" t="n">
        <v>0</v>
      </c>
      <c r="AA350" s="13" t="n">
        <v>0</v>
      </c>
      <c r="AB350" s="13" t="n">
        <v>0</v>
      </c>
      <c r="AC350" s="13" t="n">
        <v>0</v>
      </c>
      <c r="AD350" s="13" t="n">
        <v>0</v>
      </c>
      <c r="AE350" s="13" t="n">
        <v>0</v>
      </c>
      <c r="AF350" s="13" t="n">
        <v>0</v>
      </c>
      <c r="AG350" s="13" t="n">
        <v>0</v>
      </c>
      <c r="AH350" s="13" t="n">
        <v>0</v>
      </c>
      <c r="AI350" s="13" t="n">
        <v>0</v>
      </c>
      <c r="AJ350" s="13" t="n">
        <v>0</v>
      </c>
      <c r="AK350" s="13" t="n">
        <v>0</v>
      </c>
      <c r="AL350" s="13" t="n">
        <v>0</v>
      </c>
      <c r="AM350" s="13" t="n">
        <v>0</v>
      </c>
      <c r="AN350" s="13" t="n">
        <v>0</v>
      </c>
      <c r="AO350" s="13" t="n">
        <v>0</v>
      </c>
      <c r="AP350" s="13" t="n">
        <v>0</v>
      </c>
      <c r="AQ350" s="13" t="n">
        <v>0</v>
      </c>
      <c r="AR350" s="13" t="n">
        <v>0</v>
      </c>
      <c r="AS350" s="13" t="n">
        <v>0</v>
      </c>
      <c r="AT350" s="13" t="n">
        <v>12350.00404</v>
      </c>
    </row>
    <row r="351" customFormat="false" ht="15" hidden="false" customHeight="true" outlineLevel="0" collapsed="false">
      <c r="A351" s="12" t="s">
        <v>1106</v>
      </c>
      <c r="B351" s="12" t="s">
        <v>1107</v>
      </c>
      <c r="C351" s="12" t="n">
        <v>1</v>
      </c>
      <c r="D351" s="12" t="s">
        <v>1108</v>
      </c>
      <c r="E351" s="13" t="n">
        <v>0</v>
      </c>
      <c r="F351" s="13" t="n">
        <v>0</v>
      </c>
      <c r="G351" s="13" t="n">
        <v>0</v>
      </c>
      <c r="H351" s="13" t="n">
        <v>0</v>
      </c>
      <c r="I351" s="13" t="n">
        <v>0</v>
      </c>
      <c r="J351" s="13" t="n">
        <v>0</v>
      </c>
      <c r="K351" s="13" t="n">
        <v>0</v>
      </c>
      <c r="L351" s="13" t="n">
        <v>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0</v>
      </c>
      <c r="U351" s="13" t="n">
        <v>0</v>
      </c>
      <c r="V351" s="13" t="n">
        <v>0</v>
      </c>
      <c r="W351" s="13" t="n">
        <v>0</v>
      </c>
      <c r="X351" s="13" t="n">
        <v>0</v>
      </c>
      <c r="Y351" s="13" t="n">
        <v>0</v>
      </c>
      <c r="Z351" s="13" t="n">
        <v>0</v>
      </c>
      <c r="AA351" s="13" t="n">
        <v>0</v>
      </c>
      <c r="AB351" s="13" t="n">
        <v>0</v>
      </c>
      <c r="AC351" s="13" t="n">
        <v>0</v>
      </c>
      <c r="AD351" s="13" t="n">
        <v>0</v>
      </c>
      <c r="AE351" s="13" t="n">
        <v>0</v>
      </c>
      <c r="AF351" s="13" t="n">
        <v>0</v>
      </c>
      <c r="AG351" s="13" t="n">
        <v>0</v>
      </c>
      <c r="AH351" s="13" t="n">
        <v>0</v>
      </c>
      <c r="AI351" s="13" t="n">
        <v>0</v>
      </c>
      <c r="AJ351" s="13" t="n">
        <v>0</v>
      </c>
      <c r="AK351" s="13" t="n">
        <v>0</v>
      </c>
      <c r="AL351" s="13" t="n">
        <v>0</v>
      </c>
      <c r="AM351" s="13" t="n">
        <v>0</v>
      </c>
      <c r="AN351" s="13" t="n">
        <v>0</v>
      </c>
      <c r="AO351" s="13" t="n">
        <v>0</v>
      </c>
      <c r="AP351" s="13" t="n">
        <v>1475.04288</v>
      </c>
      <c r="AQ351" s="13" t="n">
        <v>799.980514</v>
      </c>
      <c r="AR351" s="13" t="n">
        <v>649.95333</v>
      </c>
      <c r="AS351" s="13" t="n">
        <v>649.979235</v>
      </c>
      <c r="AT351" s="13" t="n">
        <v>650.009424</v>
      </c>
    </row>
    <row r="352" customFormat="false" ht="15" hidden="false" customHeight="true" outlineLevel="0" collapsed="false">
      <c r="A352" s="12" t="s">
        <v>1109</v>
      </c>
      <c r="B352" s="12" t="s">
        <v>1110</v>
      </c>
      <c r="C352" s="12" t="n">
        <v>1</v>
      </c>
      <c r="D352" s="12" t="s">
        <v>1111</v>
      </c>
      <c r="E352" s="13" t="n">
        <v>0</v>
      </c>
      <c r="F352" s="13" t="n">
        <v>0</v>
      </c>
      <c r="G352" s="13" t="n">
        <v>0</v>
      </c>
      <c r="H352" s="13" t="n">
        <v>0</v>
      </c>
      <c r="I352" s="13" t="n">
        <v>0</v>
      </c>
      <c r="J352" s="13" t="n">
        <v>0</v>
      </c>
      <c r="K352" s="13" t="n">
        <v>0</v>
      </c>
      <c r="L352" s="13" t="n">
        <v>0</v>
      </c>
      <c r="M352" s="13" t="n">
        <v>0</v>
      </c>
      <c r="N352" s="13" t="n">
        <v>0</v>
      </c>
      <c r="O352" s="13" t="n">
        <v>0</v>
      </c>
      <c r="P352" s="13" t="n">
        <v>0</v>
      </c>
      <c r="Q352" s="13" t="n">
        <v>0</v>
      </c>
      <c r="R352" s="13" t="n">
        <v>0</v>
      </c>
      <c r="S352" s="13" t="n">
        <v>0</v>
      </c>
      <c r="T352" s="13" t="n">
        <v>0</v>
      </c>
      <c r="U352" s="13" t="n">
        <v>0</v>
      </c>
      <c r="V352" s="13" t="n">
        <v>0</v>
      </c>
      <c r="W352" s="13" t="n">
        <v>0</v>
      </c>
      <c r="X352" s="13" t="n">
        <v>0</v>
      </c>
      <c r="Y352" s="13" t="n">
        <v>0</v>
      </c>
      <c r="Z352" s="13" t="n">
        <v>0</v>
      </c>
      <c r="AA352" s="13" t="n">
        <v>0</v>
      </c>
      <c r="AB352" s="13" t="n">
        <v>0</v>
      </c>
      <c r="AC352" s="13" t="n">
        <v>0</v>
      </c>
      <c r="AD352" s="13" t="n">
        <v>0</v>
      </c>
      <c r="AE352" s="13" t="n">
        <v>0</v>
      </c>
      <c r="AF352" s="13" t="n">
        <v>0</v>
      </c>
      <c r="AG352" s="13" t="n">
        <v>0</v>
      </c>
      <c r="AH352" s="13" t="n">
        <v>0</v>
      </c>
      <c r="AI352" s="13" t="n">
        <v>0</v>
      </c>
      <c r="AJ352" s="13" t="n">
        <v>0</v>
      </c>
      <c r="AK352" s="13" t="n">
        <v>0</v>
      </c>
      <c r="AL352" s="13" t="n">
        <v>0</v>
      </c>
      <c r="AM352" s="13" t="n">
        <v>0</v>
      </c>
      <c r="AN352" s="13" t="n">
        <v>1050.044887</v>
      </c>
      <c r="AO352" s="13" t="n">
        <v>1049.92818</v>
      </c>
      <c r="AP352" s="13" t="n">
        <v>1050.0276</v>
      </c>
      <c r="AQ352" s="13" t="n">
        <v>1050.042327</v>
      </c>
      <c r="AR352" s="13" t="n">
        <v>1049.92461</v>
      </c>
      <c r="AS352" s="13" t="n">
        <v>1050.006402</v>
      </c>
      <c r="AT352" s="13" t="n">
        <v>1049.920984</v>
      </c>
    </row>
    <row r="353" customFormat="false" ht="15" hidden="false" customHeight="true" outlineLevel="0" collapsed="false">
      <c r="A353" s="12" t="s">
        <v>1112</v>
      </c>
      <c r="B353" s="12" t="s">
        <v>1113</v>
      </c>
      <c r="C353" s="12" t="n">
        <v>1</v>
      </c>
      <c r="D353" s="12" t="s">
        <v>1114</v>
      </c>
      <c r="E353" s="13" t="n">
        <v>0</v>
      </c>
      <c r="F353" s="13" t="n">
        <v>0</v>
      </c>
      <c r="G353" s="13" t="n">
        <v>0</v>
      </c>
      <c r="H353" s="13" t="n">
        <v>0</v>
      </c>
      <c r="I353" s="13" t="n">
        <v>0</v>
      </c>
      <c r="J353" s="13" t="n">
        <v>0</v>
      </c>
      <c r="K353" s="13" t="n">
        <v>0</v>
      </c>
      <c r="L353" s="13" t="n">
        <v>0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540.008937</v>
      </c>
      <c r="S353" s="13" t="n">
        <v>480.00531</v>
      </c>
      <c r="T353" s="13" t="n">
        <v>599.92576</v>
      </c>
      <c r="U353" s="13" t="n">
        <v>449.993662</v>
      </c>
      <c r="V353" s="13" t="n">
        <v>570.026184</v>
      </c>
      <c r="W353" s="13" t="n">
        <v>630.01344</v>
      </c>
      <c r="X353" s="13" t="n">
        <v>419.995164</v>
      </c>
      <c r="Y353" s="13" t="n">
        <v>419.932242</v>
      </c>
      <c r="Z353" s="13" t="n">
        <v>599.988752</v>
      </c>
      <c r="AA353" s="13" t="n">
        <v>540.02214</v>
      </c>
      <c r="AB353" s="13" t="n">
        <v>479.983688</v>
      </c>
      <c r="AC353" s="13" t="n">
        <v>531.476</v>
      </c>
      <c r="AD353" s="13" t="n">
        <v>562.7273</v>
      </c>
      <c r="AE353" s="13" t="n">
        <v>562.75884</v>
      </c>
      <c r="AF353" s="13" t="n">
        <v>406.285</v>
      </c>
      <c r="AG353" s="13" t="n">
        <v>437.67864</v>
      </c>
      <c r="AH353" s="13" t="n">
        <v>500.0748</v>
      </c>
      <c r="AI353" s="13" t="n">
        <v>593.9852</v>
      </c>
      <c r="AJ353" s="13" t="n">
        <v>656.46558</v>
      </c>
      <c r="AK353" s="13" t="n">
        <v>468.8982</v>
      </c>
      <c r="AL353" s="13" t="n">
        <v>500.235596</v>
      </c>
      <c r="AM353" s="13" t="n">
        <v>531.405401</v>
      </c>
      <c r="AN353" s="13" t="n">
        <v>500.115573</v>
      </c>
      <c r="AO353" s="13" t="n">
        <v>550.996792</v>
      </c>
      <c r="AP353" s="13" t="n">
        <v>518.5428</v>
      </c>
      <c r="AQ353" s="13" t="n">
        <v>518.593072</v>
      </c>
      <c r="AR353" s="13" t="n">
        <v>518.559256</v>
      </c>
      <c r="AS353" s="13" t="n">
        <v>486.229473</v>
      </c>
      <c r="AT353" s="13" t="n">
        <v>486.194448</v>
      </c>
    </row>
    <row r="354" customFormat="false" ht="15" hidden="false" customHeight="true" outlineLevel="0" collapsed="false">
      <c r="A354" s="12" t="s">
        <v>1115</v>
      </c>
      <c r="B354" s="12" t="s">
        <v>1116</v>
      </c>
      <c r="C354" s="12" t="n">
        <v>1</v>
      </c>
      <c r="D354" s="12" t="s">
        <v>1117</v>
      </c>
      <c r="E354" s="13" t="n">
        <v>0</v>
      </c>
      <c r="F354" s="13" t="n">
        <v>0</v>
      </c>
      <c r="G354" s="13" t="n">
        <v>0</v>
      </c>
      <c r="H354" s="13" t="n">
        <v>0</v>
      </c>
      <c r="I354" s="13" t="n">
        <v>0</v>
      </c>
      <c r="J354" s="13" t="n">
        <v>0</v>
      </c>
      <c r="K354" s="13" t="n">
        <v>0</v>
      </c>
      <c r="L354" s="13" t="n">
        <v>0</v>
      </c>
      <c r="M354" s="13" t="n">
        <v>0</v>
      </c>
      <c r="N354" s="13" t="n">
        <v>0</v>
      </c>
      <c r="O354" s="13" t="n">
        <v>0</v>
      </c>
      <c r="P354" s="13" t="n">
        <v>0</v>
      </c>
      <c r="Q354" s="13" t="n">
        <v>2080.060695</v>
      </c>
      <c r="R354" s="13" t="n">
        <v>2512.007385</v>
      </c>
      <c r="S354" s="13" t="n">
        <v>2576.01747</v>
      </c>
      <c r="T354" s="13" t="n">
        <v>2687.91936</v>
      </c>
      <c r="U354" s="13" t="n">
        <v>2687.923709</v>
      </c>
      <c r="V354" s="13" t="n">
        <v>2688.00324</v>
      </c>
      <c r="W354" s="13" t="n">
        <v>2688.057344</v>
      </c>
      <c r="X354" s="13" t="n">
        <v>2687.92939</v>
      </c>
      <c r="Y354" s="13" t="n">
        <v>2687.920722</v>
      </c>
      <c r="Z354" s="13" t="n">
        <v>2688.021776</v>
      </c>
      <c r="AA354" s="13" t="n">
        <v>2688.06939</v>
      </c>
      <c r="AB354" s="13" t="n">
        <v>3408.046068</v>
      </c>
      <c r="AC354" s="13" t="n">
        <v>2650.5556</v>
      </c>
      <c r="AD354" s="13" t="n">
        <v>2650.6283</v>
      </c>
      <c r="AE354" s="13" t="n">
        <v>3017.30184</v>
      </c>
      <c r="AF354" s="13" t="n">
        <v>3167.2608</v>
      </c>
      <c r="AG354" s="13" t="n">
        <v>3233.95884</v>
      </c>
      <c r="AH354" s="13" t="n">
        <v>2767.21905</v>
      </c>
      <c r="AI354" s="13" t="n">
        <v>3167.2945</v>
      </c>
      <c r="AJ354" s="13" t="n">
        <v>3333.95793</v>
      </c>
      <c r="AK354" s="13" t="n">
        <v>3567.3687</v>
      </c>
      <c r="AL354" s="13" t="n">
        <v>3717.325123</v>
      </c>
      <c r="AM354" s="13" t="n">
        <v>3850.808969</v>
      </c>
      <c r="AN354" s="13" t="n">
        <v>3984.200115</v>
      </c>
      <c r="AO354" s="13" t="n">
        <v>4391.596146</v>
      </c>
      <c r="AP354" s="13" t="n">
        <v>4599.06912</v>
      </c>
      <c r="AQ354" s="13" t="n">
        <v>4599.073127</v>
      </c>
      <c r="AR354" s="13" t="n">
        <v>4702.820208</v>
      </c>
      <c r="AS354" s="13" t="n">
        <v>4720.182093</v>
      </c>
      <c r="AT354" s="13" t="n">
        <v>4771.986256</v>
      </c>
    </row>
    <row r="355" customFormat="false" ht="15" hidden="false" customHeight="true" outlineLevel="0" collapsed="false">
      <c r="A355" s="12" t="s">
        <v>1118</v>
      </c>
      <c r="B355" s="12" t="s">
        <v>1119</v>
      </c>
      <c r="C355" s="12" t="n">
        <v>1</v>
      </c>
      <c r="D355" s="12" t="s">
        <v>1120</v>
      </c>
      <c r="E355" s="13" t="n">
        <v>0</v>
      </c>
      <c r="F355" s="13" t="n">
        <v>0</v>
      </c>
      <c r="G355" s="13" t="n">
        <v>0</v>
      </c>
      <c r="H355" s="13" t="n">
        <v>0</v>
      </c>
      <c r="I355" s="13" t="n">
        <v>0</v>
      </c>
      <c r="J355" s="13" t="n">
        <v>0</v>
      </c>
      <c r="K355" s="13" t="n">
        <v>0</v>
      </c>
      <c r="L355" s="13" t="n">
        <v>0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  <c r="V355" s="13" t="n">
        <v>0</v>
      </c>
      <c r="W355" s="13" t="n">
        <v>0</v>
      </c>
      <c r="X355" s="13" t="n">
        <v>0</v>
      </c>
      <c r="Y355" s="13" t="n">
        <v>0</v>
      </c>
      <c r="Z355" s="13" t="n">
        <v>0</v>
      </c>
      <c r="AA355" s="13" t="n">
        <v>0</v>
      </c>
      <c r="AB355" s="13" t="n">
        <v>0</v>
      </c>
      <c r="AC355" s="13" t="n">
        <v>0</v>
      </c>
      <c r="AD355" s="13" t="n">
        <v>0</v>
      </c>
      <c r="AE355" s="13" t="n">
        <v>0</v>
      </c>
      <c r="AF355" s="13" t="n">
        <v>0</v>
      </c>
      <c r="AG355" s="13" t="n">
        <v>0</v>
      </c>
      <c r="AH355" s="13" t="n">
        <v>0</v>
      </c>
      <c r="AI355" s="13" t="n">
        <v>0</v>
      </c>
      <c r="AJ355" s="13" t="n">
        <v>0</v>
      </c>
      <c r="AK355" s="13" t="n">
        <v>0</v>
      </c>
      <c r="AL355" s="13" t="n">
        <v>0</v>
      </c>
      <c r="AM355" s="13" t="n">
        <v>843.058068</v>
      </c>
      <c r="AN355" s="13" t="n">
        <v>843.057104</v>
      </c>
      <c r="AO355" s="13" t="n">
        <v>843.04578</v>
      </c>
      <c r="AP355" s="13" t="n">
        <v>786.0108</v>
      </c>
      <c r="AQ355" s="13" t="n">
        <v>843.075888</v>
      </c>
      <c r="AR355" s="13" t="n">
        <v>899.93538</v>
      </c>
      <c r="AS355" s="13" t="n">
        <v>786.033477</v>
      </c>
      <c r="AT355" s="13" t="n">
        <v>956.987488</v>
      </c>
    </row>
    <row r="356" customFormat="false" ht="15" hidden="false" customHeight="true" outlineLevel="0" collapsed="false">
      <c r="A356" s="12" t="s">
        <v>1121</v>
      </c>
      <c r="B356" s="12" t="s">
        <v>1122</v>
      </c>
      <c r="C356" s="12" t="n">
        <v>1</v>
      </c>
      <c r="D356" s="12" t="s">
        <v>1123</v>
      </c>
      <c r="E356" s="13" t="n">
        <v>0</v>
      </c>
      <c r="F356" s="13" t="n">
        <v>0</v>
      </c>
      <c r="G356" s="13" t="n">
        <v>0</v>
      </c>
      <c r="H356" s="13" t="n">
        <v>0</v>
      </c>
      <c r="I356" s="13" t="n">
        <v>0</v>
      </c>
      <c r="J356" s="13" t="n">
        <v>0</v>
      </c>
      <c r="K356" s="13" t="n">
        <v>0</v>
      </c>
      <c r="L356" s="13" t="n">
        <v>0</v>
      </c>
      <c r="M356" s="13" t="n">
        <v>0</v>
      </c>
      <c r="N356" s="13" t="n">
        <v>0</v>
      </c>
      <c r="O356" s="13" t="n">
        <v>0</v>
      </c>
      <c r="P356" s="13" t="n">
        <v>521.929555</v>
      </c>
      <c r="Q356" s="13" t="n">
        <v>539.974485</v>
      </c>
      <c r="R356" s="13" t="n">
        <v>540.008937</v>
      </c>
      <c r="S356" s="13" t="n">
        <v>522.01818</v>
      </c>
      <c r="T356" s="13" t="n">
        <v>575.92192</v>
      </c>
      <c r="U356" s="13" t="n">
        <v>475.257059</v>
      </c>
      <c r="V356" s="13" t="n">
        <v>475.144644</v>
      </c>
      <c r="W356" s="13" t="n">
        <v>594.012672</v>
      </c>
      <c r="X356" s="13" t="n">
        <v>593.90251</v>
      </c>
      <c r="Y356" s="13" t="n">
        <v>593.968858</v>
      </c>
      <c r="Z356" s="13" t="n">
        <v>593.974832</v>
      </c>
      <c r="AA356" s="13" t="n">
        <v>0</v>
      </c>
      <c r="AB356" s="13" t="n">
        <v>0</v>
      </c>
      <c r="AC356" s="13" t="n">
        <v>0</v>
      </c>
      <c r="AD356" s="13" t="n">
        <v>0</v>
      </c>
      <c r="AE356" s="13" t="n">
        <v>0</v>
      </c>
      <c r="AF356" s="13" t="n">
        <v>0</v>
      </c>
      <c r="AG356" s="13" t="n">
        <v>0</v>
      </c>
      <c r="AH356" s="13" t="n">
        <v>0</v>
      </c>
      <c r="AI356" s="13" t="n">
        <v>0</v>
      </c>
      <c r="AJ356" s="13" t="n">
        <v>0</v>
      </c>
      <c r="AK356" s="13" t="n">
        <v>0</v>
      </c>
      <c r="AL356" s="13" t="n">
        <v>0</v>
      </c>
      <c r="AM356" s="13" t="n">
        <v>0</v>
      </c>
      <c r="AN356" s="13" t="n">
        <v>0</v>
      </c>
      <c r="AO356" s="13" t="n">
        <v>0</v>
      </c>
      <c r="AP356" s="13" t="n">
        <v>0</v>
      </c>
      <c r="AQ356" s="13" t="n">
        <v>0</v>
      </c>
      <c r="AR356" s="13" t="n">
        <v>0</v>
      </c>
      <c r="AS356" s="13" t="n">
        <v>0</v>
      </c>
      <c r="AT356" s="13" t="n">
        <v>0</v>
      </c>
    </row>
    <row r="357" customFormat="false" ht="15" hidden="false" customHeight="true" outlineLevel="0" collapsed="false">
      <c r="A357" s="12" t="s">
        <v>1124</v>
      </c>
      <c r="B357" s="12" t="s">
        <v>1125</v>
      </c>
      <c r="C357" s="12" t="n">
        <v>1</v>
      </c>
      <c r="D357" s="12" t="s">
        <v>1126</v>
      </c>
      <c r="E357" s="13" t="n">
        <v>0</v>
      </c>
      <c r="F357" s="13" t="n">
        <v>0</v>
      </c>
      <c r="G357" s="13" t="n">
        <v>0</v>
      </c>
      <c r="H357" s="13" t="n">
        <v>0</v>
      </c>
      <c r="I357" s="13" t="n">
        <v>0</v>
      </c>
      <c r="J357" s="13" t="n">
        <v>0</v>
      </c>
      <c r="K357" s="13" t="n">
        <v>0</v>
      </c>
      <c r="L357" s="13" t="n">
        <v>0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  <c r="V357" s="13" t="n">
        <v>0</v>
      </c>
      <c r="W357" s="13" t="n">
        <v>0</v>
      </c>
      <c r="X357" s="13" t="n">
        <v>0</v>
      </c>
      <c r="Y357" s="13" t="n">
        <v>0</v>
      </c>
      <c r="Z357" s="13" t="n">
        <v>0</v>
      </c>
      <c r="AA357" s="13" t="n">
        <v>0</v>
      </c>
      <c r="AB357" s="13" t="n">
        <v>0</v>
      </c>
      <c r="AC357" s="13" t="n">
        <v>0</v>
      </c>
      <c r="AD357" s="13" t="n">
        <v>0</v>
      </c>
      <c r="AE357" s="13" t="n">
        <v>0</v>
      </c>
      <c r="AF357" s="13" t="n">
        <v>0</v>
      </c>
      <c r="AG357" s="13" t="n">
        <v>0</v>
      </c>
      <c r="AH357" s="13" t="n">
        <v>0</v>
      </c>
      <c r="AI357" s="13" t="n">
        <v>0</v>
      </c>
      <c r="AJ357" s="13" t="n">
        <v>0</v>
      </c>
      <c r="AK357" s="13" t="n">
        <v>0</v>
      </c>
      <c r="AL357" s="13" t="n">
        <v>0</v>
      </c>
      <c r="AM357" s="13" t="n">
        <v>0</v>
      </c>
      <c r="AN357" s="13" t="n">
        <v>0</v>
      </c>
      <c r="AO357" s="13" t="n">
        <v>0</v>
      </c>
      <c r="AP357" s="13" t="n">
        <v>0</v>
      </c>
      <c r="AQ357" s="13" t="n">
        <v>0</v>
      </c>
      <c r="AR357" s="13" t="n">
        <v>0</v>
      </c>
      <c r="AS357" s="13" t="n">
        <v>2625.016005</v>
      </c>
      <c r="AT357" s="13" t="n">
        <v>2660.068184</v>
      </c>
    </row>
    <row r="358" customFormat="false" ht="15" hidden="false" customHeight="true" outlineLevel="0" collapsed="false">
      <c r="A358" s="12" t="s">
        <v>1127</v>
      </c>
      <c r="B358" s="12" t="s">
        <v>1128</v>
      </c>
      <c r="C358" s="12" t="n">
        <v>1</v>
      </c>
      <c r="D358" s="12" t="s">
        <v>1129</v>
      </c>
      <c r="E358" s="13" t="n">
        <v>0</v>
      </c>
      <c r="F358" s="13" t="n">
        <v>0</v>
      </c>
      <c r="G358" s="13" t="n">
        <v>0</v>
      </c>
      <c r="H358" s="13" t="n">
        <v>0</v>
      </c>
      <c r="I358" s="13" t="n">
        <v>0</v>
      </c>
      <c r="J358" s="13" t="n">
        <v>0</v>
      </c>
      <c r="K358" s="13" t="n">
        <v>0</v>
      </c>
      <c r="L358" s="13" t="n">
        <v>0</v>
      </c>
      <c r="M358" s="13" t="n">
        <v>0</v>
      </c>
      <c r="N358" s="13" t="n">
        <v>0</v>
      </c>
      <c r="O358" s="13" t="n">
        <v>0</v>
      </c>
      <c r="P358" s="13" t="n">
        <v>0</v>
      </c>
      <c r="Q358" s="13" t="n">
        <v>0</v>
      </c>
      <c r="R358" s="13" t="n">
        <v>0</v>
      </c>
      <c r="S358" s="13" t="n">
        <v>0</v>
      </c>
      <c r="T358" s="13" t="n">
        <v>0</v>
      </c>
      <c r="U358" s="13" t="n">
        <v>6643.934305</v>
      </c>
      <c r="V358" s="13" t="n">
        <v>7655.92698</v>
      </c>
      <c r="W358" s="13" t="n">
        <v>7018.087216</v>
      </c>
      <c r="X358" s="13" t="n">
        <v>7194.053142</v>
      </c>
      <c r="Y358" s="13" t="n">
        <v>7083.920268</v>
      </c>
      <c r="Z358" s="13" t="n">
        <v>7700.022704</v>
      </c>
      <c r="AA358" s="13" t="n">
        <v>7656.02817</v>
      </c>
      <c r="AB358" s="13" t="n">
        <v>8184.005176</v>
      </c>
      <c r="AC358" s="13" t="n">
        <v>8447.9868</v>
      </c>
      <c r="AD358" s="13" t="n">
        <v>8249.9805</v>
      </c>
      <c r="AE358" s="13" t="n">
        <v>9516.0744</v>
      </c>
      <c r="AF358" s="13" t="n">
        <v>8294.088</v>
      </c>
      <c r="AG358" s="13" t="n">
        <v>8052.0905</v>
      </c>
      <c r="AH358" s="13" t="n">
        <v>8469.9225</v>
      </c>
      <c r="AI358" s="13" t="n">
        <v>8975.94344</v>
      </c>
      <c r="AJ358" s="13" t="n">
        <v>11101.94757</v>
      </c>
      <c r="AK358" s="13" t="n">
        <v>10140.0153</v>
      </c>
      <c r="AL358" s="13" t="n">
        <v>10250.041012</v>
      </c>
      <c r="AM358" s="13" t="n">
        <v>10250.052607</v>
      </c>
      <c r="AN358" s="13" t="n">
        <v>10294.000586</v>
      </c>
      <c r="AO358" s="13" t="n">
        <v>10811.157018</v>
      </c>
      <c r="AP358" s="13" t="n">
        <v>10081.30032</v>
      </c>
      <c r="AQ358" s="13" t="n">
        <v>10309.391255</v>
      </c>
      <c r="AR358" s="13" t="n">
        <v>10423.462068</v>
      </c>
      <c r="AS358" s="13" t="n">
        <v>11238.495822</v>
      </c>
      <c r="AT358" s="13" t="n">
        <v>10123.975536</v>
      </c>
    </row>
    <row r="359" customFormat="false" ht="15" hidden="false" customHeight="true" outlineLevel="0" collapsed="false">
      <c r="A359" s="12" t="s">
        <v>1130</v>
      </c>
      <c r="B359" s="12" t="s">
        <v>1131</v>
      </c>
      <c r="C359" s="12" t="n">
        <v>1</v>
      </c>
      <c r="D359" s="12" t="s">
        <v>1132</v>
      </c>
      <c r="E359" s="13" t="n">
        <v>0</v>
      </c>
      <c r="F359" s="13" t="n">
        <v>0</v>
      </c>
      <c r="G359" s="13" t="n">
        <v>0</v>
      </c>
      <c r="H359" s="13" t="n">
        <v>0</v>
      </c>
      <c r="I359" s="13" t="n">
        <v>0</v>
      </c>
      <c r="J359" s="13" t="n">
        <v>0</v>
      </c>
      <c r="K359" s="13" t="n">
        <v>0</v>
      </c>
      <c r="L359" s="13" t="n">
        <v>0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0</v>
      </c>
      <c r="W359" s="13" t="n">
        <v>12120.071056</v>
      </c>
      <c r="X359" s="13" t="n">
        <v>12239.94405</v>
      </c>
      <c r="Y359" s="13" t="n">
        <v>12119.957188</v>
      </c>
      <c r="Z359" s="13" t="n">
        <v>12399.901184</v>
      </c>
      <c r="AA359" s="13" t="n">
        <v>12240.09366</v>
      </c>
      <c r="AB359" s="13" t="n">
        <v>12199.92266</v>
      </c>
      <c r="AC359" s="13" t="n">
        <v>12920.864</v>
      </c>
      <c r="AD359" s="13" t="n">
        <v>12670.7054</v>
      </c>
      <c r="AE359" s="13" t="n">
        <v>12670.749</v>
      </c>
      <c r="AF359" s="13" t="n">
        <v>12920.842</v>
      </c>
      <c r="AG359" s="13" t="n">
        <v>30246.91328</v>
      </c>
      <c r="AH359" s="13" t="n">
        <v>17743.02405</v>
      </c>
      <c r="AI359" s="13" t="n">
        <v>17826.32292</v>
      </c>
      <c r="AJ359" s="13" t="n">
        <v>18118.03995</v>
      </c>
      <c r="AK359" s="13" t="n">
        <v>17784.7437</v>
      </c>
      <c r="AL359" s="13" t="n">
        <v>18034.819339</v>
      </c>
      <c r="AM359" s="13" t="n">
        <v>17953.504875</v>
      </c>
      <c r="AN359" s="13" t="n">
        <v>18233.26787</v>
      </c>
      <c r="AO359" s="13" t="n">
        <v>18788.714764</v>
      </c>
      <c r="AP359" s="13" t="n">
        <v>18788.67792</v>
      </c>
      <c r="AQ359" s="13" t="n">
        <v>13916.908634</v>
      </c>
      <c r="AR359" s="13" t="n">
        <v>18614.803712</v>
      </c>
      <c r="AS359" s="13" t="n">
        <v>14392.323162</v>
      </c>
      <c r="AT359" s="13" t="n">
        <v>14608.410504</v>
      </c>
    </row>
    <row r="360" customFormat="false" ht="15" hidden="false" customHeight="true" outlineLevel="0" collapsed="false">
      <c r="A360" s="12" t="s">
        <v>1133</v>
      </c>
      <c r="B360" s="12" t="s">
        <v>1134</v>
      </c>
      <c r="C360" s="12" t="n">
        <v>1</v>
      </c>
      <c r="D360" s="12" t="s">
        <v>1135</v>
      </c>
      <c r="E360" s="13" t="n">
        <v>0</v>
      </c>
      <c r="F360" s="13" t="n">
        <v>0</v>
      </c>
      <c r="G360" s="13" t="n">
        <v>0</v>
      </c>
      <c r="H360" s="13" t="n">
        <v>0</v>
      </c>
      <c r="I360" s="13" t="n">
        <v>0</v>
      </c>
      <c r="J360" s="13" t="n">
        <v>0</v>
      </c>
      <c r="K360" s="13" t="n">
        <v>0</v>
      </c>
      <c r="L360" s="13" t="n">
        <v>0</v>
      </c>
      <c r="M360" s="13" t="n">
        <v>0</v>
      </c>
      <c r="N360" s="13" t="n">
        <v>0</v>
      </c>
      <c r="O360" s="13" t="n">
        <v>0</v>
      </c>
      <c r="P360" s="13" t="n">
        <v>0</v>
      </c>
      <c r="Q360" s="13" t="n">
        <v>0</v>
      </c>
      <c r="R360" s="13" t="n">
        <v>0</v>
      </c>
      <c r="S360" s="13" t="n">
        <v>0</v>
      </c>
      <c r="T360" s="13" t="n">
        <v>0</v>
      </c>
      <c r="U360" s="13" t="n">
        <v>0</v>
      </c>
      <c r="V360" s="13" t="n">
        <v>0</v>
      </c>
      <c r="W360" s="13" t="n">
        <v>0</v>
      </c>
      <c r="X360" s="13" t="n">
        <v>1833.066712</v>
      </c>
      <c r="Y360" s="13" t="n">
        <v>1793.915888</v>
      </c>
      <c r="Z360" s="13" t="n">
        <v>3158.911712</v>
      </c>
      <c r="AA360" s="13" t="n">
        <v>3158.90502</v>
      </c>
      <c r="AB360" s="13" t="n">
        <v>1403.932052</v>
      </c>
      <c r="AC360" s="13" t="n">
        <v>1422.3704</v>
      </c>
      <c r="AD360" s="13" t="n">
        <v>1422.3184</v>
      </c>
      <c r="AE360" s="13" t="n">
        <v>1422.30816</v>
      </c>
      <c r="AF360" s="13" t="n">
        <v>1422.487</v>
      </c>
      <c r="AG360" s="13" t="n">
        <v>1381.7368</v>
      </c>
      <c r="AH360" s="13" t="n">
        <v>1381.81545</v>
      </c>
      <c r="AI360" s="13" t="n">
        <v>1381.76747</v>
      </c>
      <c r="AJ360" s="13" t="n">
        <v>1381.70907</v>
      </c>
      <c r="AK360" s="13" t="n">
        <v>1381.7454</v>
      </c>
      <c r="AL360" s="13" t="n">
        <v>1381.725862</v>
      </c>
      <c r="AM360" s="13" t="n">
        <v>1381.800789</v>
      </c>
      <c r="AN360" s="13" t="n">
        <v>1381.836772</v>
      </c>
      <c r="AO360" s="13" t="n">
        <v>1390.594532</v>
      </c>
      <c r="AP360" s="13" t="n">
        <v>1685.56608</v>
      </c>
      <c r="AQ360" s="13" t="n">
        <v>1854.18752</v>
      </c>
      <c r="AR360" s="13" t="n">
        <v>1896.35506</v>
      </c>
      <c r="AS360" s="13" t="n">
        <v>1854.215064</v>
      </c>
      <c r="AT360" s="13" t="n">
        <v>1854.119504</v>
      </c>
    </row>
    <row r="361" customFormat="false" ht="15" hidden="false" customHeight="true" outlineLevel="0" collapsed="false">
      <c r="A361" s="12" t="s">
        <v>1136</v>
      </c>
      <c r="B361" s="12" t="s">
        <v>1137</v>
      </c>
      <c r="C361" s="12" t="n">
        <v>1</v>
      </c>
      <c r="D361" s="12" t="s">
        <v>1138</v>
      </c>
      <c r="E361" s="13" t="n">
        <v>0</v>
      </c>
      <c r="F361" s="13" t="n">
        <v>0</v>
      </c>
      <c r="G361" s="13" t="n">
        <v>0</v>
      </c>
      <c r="H361" s="13" t="n">
        <v>0</v>
      </c>
      <c r="I361" s="13" t="n">
        <v>0</v>
      </c>
      <c r="J361" s="13" t="n">
        <v>0</v>
      </c>
      <c r="K361" s="13" t="n">
        <v>0</v>
      </c>
      <c r="L361" s="13" t="n">
        <v>0</v>
      </c>
      <c r="M361" s="13" t="n">
        <v>0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  <c r="V361" s="13" t="n">
        <v>0</v>
      </c>
      <c r="W361" s="13" t="n">
        <v>0</v>
      </c>
      <c r="X361" s="13" t="n">
        <v>0</v>
      </c>
      <c r="Y361" s="13" t="n">
        <v>0</v>
      </c>
      <c r="Z361" s="13" t="n">
        <v>0</v>
      </c>
      <c r="AA361" s="13" t="n">
        <v>0</v>
      </c>
      <c r="AB361" s="13" t="n">
        <v>0</v>
      </c>
      <c r="AC361" s="13" t="n">
        <v>0</v>
      </c>
      <c r="AD361" s="13" t="n">
        <v>0</v>
      </c>
      <c r="AE361" s="13" t="n">
        <v>0</v>
      </c>
      <c r="AF361" s="13" t="n">
        <v>0</v>
      </c>
      <c r="AG361" s="13" t="n">
        <v>0</v>
      </c>
      <c r="AH361" s="13" t="n">
        <v>0</v>
      </c>
      <c r="AI361" s="13" t="n">
        <v>0</v>
      </c>
      <c r="AJ361" s="13" t="n">
        <v>0</v>
      </c>
      <c r="AK361" s="13" t="n">
        <v>0</v>
      </c>
      <c r="AL361" s="13" t="n">
        <v>8750.070948</v>
      </c>
      <c r="AM361" s="13" t="n">
        <v>16599.952768</v>
      </c>
      <c r="AN361" s="13" t="n">
        <v>16600.024564</v>
      </c>
      <c r="AO361" s="13" t="n">
        <v>16600.071374</v>
      </c>
      <c r="AP361" s="13" t="n">
        <v>16599.92688</v>
      </c>
      <c r="AQ361" s="13" t="n">
        <v>22914.969223</v>
      </c>
      <c r="AR361" s="13" t="n">
        <v>22915.02125</v>
      </c>
      <c r="AS361" s="13" t="n">
        <v>22914.927054</v>
      </c>
      <c r="AT361" s="13" t="n">
        <v>27177.184544</v>
      </c>
    </row>
    <row r="362" customFormat="false" ht="15" hidden="false" customHeight="true" outlineLevel="0" collapsed="false">
      <c r="A362" s="12" t="s">
        <v>1139</v>
      </c>
      <c r="B362" s="12" t="s">
        <v>1140</v>
      </c>
      <c r="C362" s="12" t="n">
        <v>1</v>
      </c>
      <c r="D362" s="12" t="s">
        <v>1141</v>
      </c>
      <c r="E362" s="13" t="n">
        <v>0</v>
      </c>
      <c r="F362" s="13" t="n">
        <v>0</v>
      </c>
      <c r="G362" s="13" t="n">
        <v>794.965176</v>
      </c>
      <c r="H362" s="13" t="n">
        <v>0</v>
      </c>
      <c r="I362" s="13" t="n">
        <v>0</v>
      </c>
      <c r="J362" s="13" t="n">
        <v>0</v>
      </c>
      <c r="K362" s="13" t="n">
        <v>0</v>
      </c>
      <c r="L362" s="13" t="n">
        <v>0</v>
      </c>
      <c r="M362" s="13" t="n">
        <v>0</v>
      </c>
      <c r="N362" s="13" t="n">
        <v>0</v>
      </c>
      <c r="O362" s="13" t="n">
        <v>0</v>
      </c>
      <c r="P362" s="13" t="n">
        <v>0</v>
      </c>
      <c r="Q362" s="13" t="n">
        <v>0</v>
      </c>
      <c r="R362" s="13" t="n">
        <v>0</v>
      </c>
      <c r="S362" s="13" t="n">
        <v>0</v>
      </c>
      <c r="T362" s="13" t="n">
        <v>0</v>
      </c>
      <c r="U362" s="13" t="n">
        <v>0</v>
      </c>
      <c r="V362" s="13" t="n">
        <v>0</v>
      </c>
      <c r="W362" s="13" t="n">
        <v>0</v>
      </c>
      <c r="X362" s="13" t="n">
        <v>0</v>
      </c>
      <c r="Y362" s="13" t="n">
        <v>0</v>
      </c>
      <c r="Z362" s="13" t="n">
        <v>0</v>
      </c>
      <c r="AA362" s="13" t="n">
        <v>0</v>
      </c>
      <c r="AB362" s="13" t="n">
        <v>0</v>
      </c>
      <c r="AC362" s="13" t="n">
        <v>0</v>
      </c>
      <c r="AD362" s="13" t="n">
        <v>0</v>
      </c>
      <c r="AE362" s="13" t="n">
        <v>0</v>
      </c>
      <c r="AF362" s="13" t="n">
        <v>0</v>
      </c>
      <c r="AG362" s="13" t="n">
        <v>0</v>
      </c>
      <c r="AH362" s="13" t="n">
        <v>0</v>
      </c>
      <c r="AI362" s="13" t="n">
        <v>0</v>
      </c>
      <c r="AJ362" s="13" t="n">
        <v>0</v>
      </c>
      <c r="AK362" s="13" t="n">
        <v>0</v>
      </c>
      <c r="AL362" s="13" t="n">
        <v>0</v>
      </c>
      <c r="AM362" s="13" t="n">
        <v>0</v>
      </c>
      <c r="AN362" s="13" t="n">
        <v>0</v>
      </c>
      <c r="AO362" s="13" t="n">
        <v>0</v>
      </c>
      <c r="AP362" s="13" t="n">
        <v>0</v>
      </c>
      <c r="AQ362" s="13" t="n">
        <v>0</v>
      </c>
      <c r="AR362" s="13" t="n">
        <v>0</v>
      </c>
      <c r="AS362" s="13" t="n">
        <v>0</v>
      </c>
      <c r="AT362" s="13" t="n">
        <v>0</v>
      </c>
    </row>
    <row r="363" customFormat="false" ht="15" hidden="false" customHeight="true" outlineLevel="0" collapsed="false">
      <c r="A363" s="12" t="s">
        <v>1142</v>
      </c>
      <c r="B363" s="12" t="s">
        <v>1143</v>
      </c>
      <c r="C363" s="12" t="n">
        <v>1</v>
      </c>
      <c r="D363" s="12" t="s">
        <v>1144</v>
      </c>
      <c r="E363" s="13" t="n">
        <v>0</v>
      </c>
      <c r="F363" s="13" t="n">
        <v>0</v>
      </c>
      <c r="G363" s="13" t="n">
        <v>0</v>
      </c>
      <c r="H363" s="13" t="n">
        <v>0</v>
      </c>
      <c r="I363" s="13" t="n">
        <v>0</v>
      </c>
      <c r="J363" s="13" t="n">
        <v>0</v>
      </c>
      <c r="K363" s="13" t="n">
        <v>0</v>
      </c>
      <c r="L363" s="13" t="n">
        <v>0</v>
      </c>
      <c r="M363" s="13" t="n">
        <v>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  <c r="V363" s="13" t="n">
        <v>0</v>
      </c>
      <c r="W363" s="13" t="n">
        <v>0</v>
      </c>
      <c r="X363" s="13" t="n">
        <v>0</v>
      </c>
      <c r="Y363" s="13" t="n">
        <v>0</v>
      </c>
      <c r="Z363" s="13" t="n">
        <v>0</v>
      </c>
      <c r="AA363" s="13" t="n">
        <v>0</v>
      </c>
      <c r="AB363" s="13" t="n">
        <v>0</v>
      </c>
      <c r="AC363" s="13" t="n">
        <v>0</v>
      </c>
      <c r="AD363" s="13" t="n">
        <v>0</v>
      </c>
      <c r="AE363" s="13" t="n">
        <v>0</v>
      </c>
      <c r="AF363" s="13" t="n">
        <v>0</v>
      </c>
      <c r="AG363" s="13" t="n">
        <v>0</v>
      </c>
      <c r="AH363" s="13" t="n">
        <v>0</v>
      </c>
      <c r="AI363" s="13" t="n">
        <v>0</v>
      </c>
      <c r="AJ363" s="13" t="n">
        <v>0</v>
      </c>
      <c r="AK363" s="13" t="n">
        <v>0</v>
      </c>
      <c r="AL363" s="13" t="n">
        <v>840.049541</v>
      </c>
      <c r="AM363" s="13" t="n">
        <v>0</v>
      </c>
      <c r="AN363" s="13" t="n">
        <v>0</v>
      </c>
      <c r="AO363" s="13" t="n">
        <v>0</v>
      </c>
      <c r="AP363" s="13" t="n">
        <v>0</v>
      </c>
      <c r="AQ363" s="13" t="n">
        <v>0</v>
      </c>
      <c r="AR363" s="13" t="n">
        <v>0</v>
      </c>
      <c r="AS363" s="13" t="n">
        <v>0</v>
      </c>
      <c r="AT363" s="13" t="n">
        <v>0</v>
      </c>
    </row>
    <row r="364" customFormat="false" ht="15" hidden="false" customHeight="true" outlineLevel="0" collapsed="false">
      <c r="A364" s="12" t="s">
        <v>1145</v>
      </c>
      <c r="B364" s="12" t="s">
        <v>1146</v>
      </c>
      <c r="C364" s="12" t="n">
        <v>1</v>
      </c>
      <c r="D364" s="12" t="s">
        <v>1147</v>
      </c>
      <c r="E364" s="13" t="n">
        <v>0</v>
      </c>
      <c r="F364" s="13" t="n">
        <v>0</v>
      </c>
      <c r="G364" s="13" t="n">
        <v>0</v>
      </c>
      <c r="H364" s="13" t="n">
        <v>0</v>
      </c>
      <c r="I364" s="13" t="n">
        <v>0</v>
      </c>
      <c r="J364" s="13" t="n">
        <v>0</v>
      </c>
      <c r="K364" s="13" t="n">
        <v>0</v>
      </c>
      <c r="L364" s="13" t="n">
        <v>0</v>
      </c>
      <c r="M364" s="13" t="n">
        <v>0</v>
      </c>
      <c r="N364" s="13" t="n">
        <v>0</v>
      </c>
      <c r="O364" s="13" t="n">
        <v>0</v>
      </c>
      <c r="P364" s="13" t="n">
        <v>0</v>
      </c>
      <c r="Q364" s="13" t="n">
        <v>0</v>
      </c>
      <c r="R364" s="13" t="n">
        <v>0</v>
      </c>
      <c r="S364" s="13" t="n">
        <v>0</v>
      </c>
      <c r="T364" s="13" t="n">
        <v>0</v>
      </c>
      <c r="U364" s="13" t="n">
        <v>0</v>
      </c>
      <c r="V364" s="13" t="n">
        <v>0</v>
      </c>
      <c r="W364" s="13" t="n">
        <v>0</v>
      </c>
      <c r="X364" s="13" t="n">
        <v>0</v>
      </c>
      <c r="Y364" s="13" t="n">
        <v>0</v>
      </c>
      <c r="Z364" s="13" t="n">
        <v>0</v>
      </c>
      <c r="AA364" s="13" t="n">
        <v>0</v>
      </c>
      <c r="AB364" s="13" t="n">
        <v>0</v>
      </c>
      <c r="AC364" s="13" t="n">
        <v>0</v>
      </c>
      <c r="AD364" s="13" t="n">
        <v>0</v>
      </c>
      <c r="AE364" s="13" t="n">
        <v>0</v>
      </c>
      <c r="AF364" s="13" t="n">
        <v>0</v>
      </c>
      <c r="AG364" s="13" t="n">
        <v>0</v>
      </c>
      <c r="AH364" s="13" t="n">
        <v>0</v>
      </c>
      <c r="AI364" s="13" t="n">
        <v>0</v>
      </c>
      <c r="AJ364" s="13" t="n">
        <v>0</v>
      </c>
      <c r="AK364" s="13" t="n">
        <v>3210.0081</v>
      </c>
      <c r="AL364" s="13" t="n">
        <v>3239.927971</v>
      </c>
      <c r="AM364" s="13" t="n">
        <v>3179.994488</v>
      </c>
      <c r="AN364" s="13" t="n">
        <v>3074.964467</v>
      </c>
      <c r="AO364" s="13" t="n">
        <v>3044.964124</v>
      </c>
      <c r="AP364" s="13" t="n">
        <v>3135.07008</v>
      </c>
      <c r="AQ364" s="13" t="n">
        <v>3224.91013</v>
      </c>
      <c r="AR364" s="13" t="n">
        <v>3225.031584</v>
      </c>
      <c r="AS364" s="13" t="n">
        <v>3179.964987</v>
      </c>
      <c r="AT364" s="13" t="n">
        <v>3059.979744</v>
      </c>
    </row>
    <row r="365" customFormat="false" ht="15" hidden="false" customHeight="true" outlineLevel="0" collapsed="false">
      <c r="A365" s="12" t="s">
        <v>1148</v>
      </c>
      <c r="B365" s="12" t="s">
        <v>1149</v>
      </c>
      <c r="C365" s="12" t="n">
        <v>1</v>
      </c>
      <c r="D365" s="12" t="s">
        <v>1150</v>
      </c>
      <c r="E365" s="13" t="n">
        <v>0</v>
      </c>
      <c r="F365" s="13" t="n">
        <v>0</v>
      </c>
      <c r="G365" s="13" t="n">
        <v>0</v>
      </c>
      <c r="H365" s="13" t="n">
        <v>0</v>
      </c>
      <c r="I365" s="13" t="n">
        <v>0</v>
      </c>
      <c r="J365" s="13" t="n">
        <v>5180.019265</v>
      </c>
      <c r="K365" s="13" t="n">
        <v>5109.98808</v>
      </c>
      <c r="L365" s="13" t="n">
        <v>5110.072415</v>
      </c>
      <c r="M365" s="13" t="n">
        <v>0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0</v>
      </c>
      <c r="V365" s="13" t="n">
        <v>0</v>
      </c>
      <c r="W365" s="13" t="n">
        <v>0</v>
      </c>
      <c r="X365" s="13" t="n">
        <v>0</v>
      </c>
      <c r="Y365" s="13" t="n">
        <v>0</v>
      </c>
      <c r="Z365" s="13" t="n">
        <v>0</v>
      </c>
      <c r="AA365" s="13" t="n">
        <v>0</v>
      </c>
      <c r="AB365" s="13" t="n">
        <v>0</v>
      </c>
      <c r="AC365" s="13" t="n">
        <v>0</v>
      </c>
      <c r="AD365" s="13" t="n">
        <v>0</v>
      </c>
      <c r="AE365" s="13" t="n">
        <v>0</v>
      </c>
      <c r="AF365" s="13" t="n">
        <v>0</v>
      </c>
      <c r="AG365" s="13" t="n">
        <v>0</v>
      </c>
      <c r="AH365" s="13" t="n">
        <v>0</v>
      </c>
      <c r="AI365" s="13" t="n">
        <v>0</v>
      </c>
      <c r="AJ365" s="13" t="n">
        <v>0</v>
      </c>
      <c r="AK365" s="13" t="n">
        <v>0</v>
      </c>
      <c r="AL365" s="13" t="n">
        <v>0</v>
      </c>
      <c r="AM365" s="13" t="n">
        <v>0</v>
      </c>
      <c r="AN365" s="13" t="n">
        <v>0</v>
      </c>
      <c r="AO365" s="13" t="n">
        <v>0</v>
      </c>
      <c r="AP365" s="13" t="n">
        <v>0</v>
      </c>
      <c r="AQ365" s="13" t="n">
        <v>0</v>
      </c>
      <c r="AR365" s="13" t="n">
        <v>0</v>
      </c>
      <c r="AS365" s="13" t="n">
        <v>0</v>
      </c>
      <c r="AT365" s="13" t="n">
        <v>0</v>
      </c>
    </row>
    <row r="366" customFormat="false" ht="15" hidden="false" customHeight="true" outlineLevel="0" collapsed="false">
      <c r="A366" s="12" t="s">
        <v>1151</v>
      </c>
      <c r="B366" s="12" t="s">
        <v>1152</v>
      </c>
      <c r="C366" s="12" t="n">
        <v>1</v>
      </c>
      <c r="D366" s="12" t="s">
        <v>1153</v>
      </c>
      <c r="E366" s="13" t="n">
        <v>0</v>
      </c>
      <c r="F366" s="13" t="n">
        <v>0</v>
      </c>
      <c r="G366" s="13" t="n">
        <v>0</v>
      </c>
      <c r="H366" s="13" t="n">
        <v>0</v>
      </c>
      <c r="I366" s="13" t="n">
        <v>0</v>
      </c>
      <c r="J366" s="13" t="n">
        <v>0</v>
      </c>
      <c r="K366" s="13" t="n">
        <v>0</v>
      </c>
      <c r="L366" s="13" t="n">
        <v>0</v>
      </c>
      <c r="M366" s="13" t="n">
        <v>0</v>
      </c>
      <c r="N366" s="13" t="n">
        <v>0</v>
      </c>
      <c r="O366" s="13" t="n">
        <v>0</v>
      </c>
      <c r="P366" s="13" t="n">
        <v>0</v>
      </c>
      <c r="Q366" s="13" t="n">
        <v>0</v>
      </c>
      <c r="R366" s="13" t="n">
        <v>0</v>
      </c>
      <c r="S366" s="13" t="n">
        <v>0</v>
      </c>
      <c r="T366" s="13" t="n">
        <v>0</v>
      </c>
      <c r="U366" s="13" t="n">
        <v>0</v>
      </c>
      <c r="V366" s="13" t="n">
        <v>0</v>
      </c>
      <c r="W366" s="13" t="n">
        <v>0</v>
      </c>
      <c r="X366" s="13" t="n">
        <v>0</v>
      </c>
      <c r="Y366" s="13" t="n">
        <v>0</v>
      </c>
      <c r="Z366" s="13" t="n">
        <v>0</v>
      </c>
      <c r="AA366" s="13" t="n">
        <v>0</v>
      </c>
      <c r="AB366" s="13" t="n">
        <v>0</v>
      </c>
      <c r="AC366" s="13" t="n">
        <v>0</v>
      </c>
      <c r="AD366" s="13" t="n">
        <v>0</v>
      </c>
      <c r="AE366" s="13" t="n">
        <v>0</v>
      </c>
      <c r="AF366" s="13" t="n">
        <v>0</v>
      </c>
      <c r="AG366" s="13" t="n">
        <v>0</v>
      </c>
      <c r="AH366" s="13" t="n">
        <v>0</v>
      </c>
      <c r="AI366" s="13" t="n">
        <v>0</v>
      </c>
      <c r="AJ366" s="13" t="n">
        <v>992.71314</v>
      </c>
      <c r="AK366" s="13" t="n">
        <v>0</v>
      </c>
      <c r="AL366" s="13" t="n">
        <v>9077.728947</v>
      </c>
      <c r="AM366" s="13" t="n">
        <v>9077.732304</v>
      </c>
      <c r="AN366" s="13" t="n">
        <v>9217.700081</v>
      </c>
      <c r="AO366" s="13" t="n">
        <v>9742.781824</v>
      </c>
      <c r="AP366" s="13" t="n">
        <v>9917.71344</v>
      </c>
      <c r="AQ366" s="13" t="n">
        <v>10022.752696</v>
      </c>
      <c r="AR366" s="13" t="n">
        <v>9707.723988</v>
      </c>
      <c r="AS366" s="13" t="n">
        <v>9847.661427</v>
      </c>
      <c r="AT366" s="13" t="n">
        <v>9602.777888</v>
      </c>
    </row>
    <row r="367" customFormat="false" ht="15" hidden="false" customHeight="true" outlineLevel="0" collapsed="false">
      <c r="A367" s="12" t="s">
        <v>1154</v>
      </c>
      <c r="B367" s="12" t="s">
        <v>1155</v>
      </c>
      <c r="C367" s="12" t="n">
        <v>1</v>
      </c>
      <c r="D367" s="12" t="s">
        <v>1156</v>
      </c>
      <c r="E367" s="13" t="n">
        <v>0</v>
      </c>
      <c r="F367" s="13" t="n">
        <v>0</v>
      </c>
      <c r="G367" s="13" t="n">
        <v>0</v>
      </c>
      <c r="H367" s="13" t="n">
        <v>0</v>
      </c>
      <c r="I367" s="13" t="n">
        <v>0</v>
      </c>
      <c r="J367" s="13" t="n">
        <v>0</v>
      </c>
      <c r="K367" s="13" t="n">
        <v>0</v>
      </c>
      <c r="L367" s="13" t="n">
        <v>0</v>
      </c>
      <c r="M367" s="13" t="n">
        <v>0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0</v>
      </c>
      <c r="V367" s="13" t="n">
        <v>944.946444</v>
      </c>
      <c r="W367" s="13" t="n">
        <v>810.01728</v>
      </c>
      <c r="X367" s="13" t="n">
        <v>629.992746</v>
      </c>
      <c r="Y367" s="13" t="n">
        <v>629.9968</v>
      </c>
      <c r="Z367" s="13" t="n">
        <v>494.945616</v>
      </c>
      <c r="AA367" s="13" t="n">
        <v>494.91825</v>
      </c>
      <c r="AB367" s="13" t="n">
        <v>0</v>
      </c>
      <c r="AC367" s="13" t="n">
        <v>0</v>
      </c>
      <c r="AD367" s="13" t="n">
        <v>0</v>
      </c>
      <c r="AE367" s="13" t="n">
        <v>0</v>
      </c>
      <c r="AF367" s="13" t="n">
        <v>0</v>
      </c>
      <c r="AG367" s="13" t="n">
        <v>0</v>
      </c>
      <c r="AH367" s="13" t="n">
        <v>0</v>
      </c>
      <c r="AI367" s="13" t="n">
        <v>0</v>
      </c>
      <c r="AJ367" s="13" t="n">
        <v>0</v>
      </c>
      <c r="AK367" s="13" t="n">
        <v>0</v>
      </c>
      <c r="AL367" s="13" t="n">
        <v>0</v>
      </c>
      <c r="AM367" s="13" t="n">
        <v>0</v>
      </c>
      <c r="AN367" s="13" t="n">
        <v>0</v>
      </c>
      <c r="AO367" s="13" t="n">
        <v>0</v>
      </c>
      <c r="AP367" s="13" t="n">
        <v>0</v>
      </c>
      <c r="AQ367" s="13" t="n">
        <v>0</v>
      </c>
      <c r="AR367" s="13" t="n">
        <v>0</v>
      </c>
      <c r="AS367" s="13" t="n">
        <v>0</v>
      </c>
      <c r="AT367" s="13" t="n">
        <v>0</v>
      </c>
    </row>
    <row r="368" customFormat="false" ht="15" hidden="false" customHeight="true" outlineLevel="0" collapsed="false">
      <c r="A368" s="12" t="s">
        <v>1157</v>
      </c>
      <c r="B368" s="12" t="s">
        <v>1158</v>
      </c>
      <c r="C368" s="12" t="n">
        <v>1</v>
      </c>
      <c r="D368" s="12" t="s">
        <v>1159</v>
      </c>
      <c r="E368" s="13" t="n">
        <v>0</v>
      </c>
      <c r="F368" s="13" t="n">
        <v>0</v>
      </c>
      <c r="G368" s="13" t="n">
        <v>0</v>
      </c>
      <c r="H368" s="13" t="n">
        <v>0</v>
      </c>
      <c r="I368" s="13" t="n">
        <v>0</v>
      </c>
      <c r="J368" s="13" t="n">
        <v>0</v>
      </c>
      <c r="K368" s="13" t="n">
        <v>0</v>
      </c>
      <c r="L368" s="13" t="n">
        <v>0</v>
      </c>
      <c r="M368" s="13" t="n">
        <v>0</v>
      </c>
      <c r="N368" s="13" t="n">
        <v>0</v>
      </c>
      <c r="O368" s="13" t="n">
        <v>0</v>
      </c>
      <c r="P368" s="13" t="n">
        <v>0</v>
      </c>
      <c r="Q368" s="13" t="n">
        <v>0</v>
      </c>
      <c r="R368" s="13" t="n">
        <v>0</v>
      </c>
      <c r="S368" s="13" t="n">
        <v>0</v>
      </c>
      <c r="T368" s="13" t="n">
        <v>0</v>
      </c>
      <c r="U368" s="13" t="n">
        <v>0</v>
      </c>
      <c r="V368" s="13" t="n">
        <v>0</v>
      </c>
      <c r="W368" s="13" t="n">
        <v>0</v>
      </c>
      <c r="X368" s="13" t="n">
        <v>0</v>
      </c>
      <c r="Y368" s="13" t="n">
        <v>0</v>
      </c>
      <c r="Z368" s="13" t="n">
        <v>0</v>
      </c>
      <c r="AA368" s="13" t="n">
        <v>0</v>
      </c>
      <c r="AB368" s="13" t="n">
        <v>0</v>
      </c>
      <c r="AC368" s="13" t="n">
        <v>0</v>
      </c>
      <c r="AD368" s="13" t="n">
        <v>0</v>
      </c>
      <c r="AE368" s="13" t="n">
        <v>0</v>
      </c>
      <c r="AF368" s="13" t="n">
        <v>0</v>
      </c>
      <c r="AG368" s="13" t="n">
        <v>0</v>
      </c>
      <c r="AH368" s="13" t="n">
        <v>0</v>
      </c>
      <c r="AI368" s="13" t="n">
        <v>0</v>
      </c>
      <c r="AJ368" s="13" t="n">
        <v>0</v>
      </c>
      <c r="AK368" s="13" t="n">
        <v>0</v>
      </c>
      <c r="AL368" s="13" t="n">
        <v>0</v>
      </c>
      <c r="AM368" s="13" t="n">
        <v>0</v>
      </c>
      <c r="AN368" s="13" t="n">
        <v>0</v>
      </c>
      <c r="AO368" s="13" t="n">
        <v>0</v>
      </c>
      <c r="AP368" s="13" t="n">
        <v>0</v>
      </c>
      <c r="AQ368" s="13" t="n">
        <v>0</v>
      </c>
      <c r="AR368" s="13" t="n">
        <v>0</v>
      </c>
      <c r="AS368" s="13" t="n">
        <v>0</v>
      </c>
      <c r="AT368" s="13" t="n">
        <v>0</v>
      </c>
    </row>
    <row r="369" customFormat="false" ht="15" hidden="false" customHeight="true" outlineLevel="0" collapsed="false">
      <c r="A369" s="12" t="s">
        <v>1160</v>
      </c>
      <c r="B369" s="12" t="s">
        <v>1161</v>
      </c>
      <c r="C369" s="12" t="n">
        <v>1</v>
      </c>
      <c r="D369" s="12" t="s">
        <v>1162</v>
      </c>
      <c r="E369" s="13" t="n">
        <v>0</v>
      </c>
      <c r="F369" s="13" t="n">
        <v>0</v>
      </c>
      <c r="G369" s="13" t="n">
        <v>0</v>
      </c>
      <c r="H369" s="13" t="n">
        <v>0</v>
      </c>
      <c r="I369" s="13" t="n">
        <v>0</v>
      </c>
      <c r="J369" s="13" t="n">
        <v>0</v>
      </c>
      <c r="K369" s="13" t="n">
        <v>0</v>
      </c>
      <c r="L369" s="13" t="n">
        <v>0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0</v>
      </c>
      <c r="U369" s="13" t="n">
        <v>0</v>
      </c>
      <c r="V369" s="13" t="n">
        <v>0</v>
      </c>
      <c r="W369" s="13" t="n">
        <v>0</v>
      </c>
      <c r="X369" s="13" t="n">
        <v>0</v>
      </c>
      <c r="Y369" s="13" t="n">
        <v>0</v>
      </c>
      <c r="Z369" s="13" t="n">
        <v>0</v>
      </c>
      <c r="AA369" s="13" t="n">
        <v>0</v>
      </c>
      <c r="AB369" s="13" t="n">
        <v>0</v>
      </c>
      <c r="AC369" s="13" t="n">
        <v>0</v>
      </c>
      <c r="AD369" s="13" t="n">
        <v>0</v>
      </c>
      <c r="AE369" s="13" t="n">
        <v>0</v>
      </c>
      <c r="AF369" s="13" t="n">
        <v>0</v>
      </c>
      <c r="AG369" s="13" t="n">
        <v>390.01258</v>
      </c>
      <c r="AH369" s="13" t="n">
        <v>437.56545</v>
      </c>
      <c r="AI369" s="13" t="n">
        <v>519.92502</v>
      </c>
      <c r="AJ369" s="13" t="n">
        <v>454.97799</v>
      </c>
      <c r="AK369" s="13" t="n">
        <v>863.86605</v>
      </c>
      <c r="AL369" s="13" t="n">
        <v>714.990642</v>
      </c>
      <c r="AM369" s="13" t="n">
        <v>584.967837</v>
      </c>
      <c r="AN369" s="13" t="n">
        <v>520.077036</v>
      </c>
      <c r="AO369" s="13" t="n">
        <v>1534.032996</v>
      </c>
      <c r="AP369" s="13" t="n">
        <v>1466.58744</v>
      </c>
      <c r="AQ369" s="13" t="n">
        <v>1534.050456</v>
      </c>
      <c r="AR369" s="13" t="n">
        <v>539.259524</v>
      </c>
      <c r="AS369" s="13" t="n">
        <v>0</v>
      </c>
      <c r="AT369" s="13" t="n">
        <v>0</v>
      </c>
    </row>
    <row r="370" customFormat="false" ht="15" hidden="false" customHeight="true" outlineLevel="0" collapsed="false">
      <c r="A370" s="12" t="s">
        <v>1163</v>
      </c>
      <c r="B370" s="12" t="s">
        <v>1164</v>
      </c>
      <c r="C370" s="12" t="n">
        <v>1</v>
      </c>
      <c r="D370" s="12" t="s">
        <v>1165</v>
      </c>
      <c r="E370" s="13" t="n">
        <v>0</v>
      </c>
      <c r="F370" s="13" t="n">
        <v>0</v>
      </c>
      <c r="G370" s="13" t="n">
        <v>0</v>
      </c>
      <c r="H370" s="13" t="n">
        <v>0</v>
      </c>
      <c r="I370" s="13" t="n">
        <v>0</v>
      </c>
      <c r="J370" s="13" t="n">
        <v>0</v>
      </c>
      <c r="K370" s="13" t="n">
        <v>0</v>
      </c>
      <c r="L370" s="13" t="n">
        <v>0</v>
      </c>
      <c r="M370" s="13" t="n">
        <v>0</v>
      </c>
      <c r="N370" s="13" t="n">
        <v>0</v>
      </c>
      <c r="O370" s="13" t="n">
        <v>0</v>
      </c>
      <c r="P370" s="13" t="n">
        <v>0</v>
      </c>
      <c r="Q370" s="13" t="n">
        <v>0</v>
      </c>
      <c r="R370" s="13" t="n">
        <v>0</v>
      </c>
      <c r="S370" s="13" t="n">
        <v>0</v>
      </c>
      <c r="T370" s="13" t="n">
        <v>0</v>
      </c>
      <c r="U370" s="13" t="n">
        <v>0</v>
      </c>
      <c r="V370" s="13" t="n">
        <v>0</v>
      </c>
      <c r="W370" s="13" t="n">
        <v>0</v>
      </c>
      <c r="X370" s="13" t="n">
        <v>0</v>
      </c>
      <c r="Y370" s="13" t="n">
        <v>0</v>
      </c>
      <c r="Z370" s="13" t="n">
        <v>0</v>
      </c>
      <c r="AA370" s="13" t="n">
        <v>0</v>
      </c>
      <c r="AB370" s="13" t="n">
        <v>0</v>
      </c>
      <c r="AC370" s="13" t="n">
        <v>0</v>
      </c>
      <c r="AD370" s="13" t="n">
        <v>0</v>
      </c>
      <c r="AE370" s="13" t="n">
        <v>0</v>
      </c>
      <c r="AF370" s="13" t="n">
        <v>0</v>
      </c>
      <c r="AG370" s="13" t="n">
        <v>0</v>
      </c>
      <c r="AH370" s="13" t="n">
        <v>0</v>
      </c>
      <c r="AI370" s="13" t="n">
        <v>0</v>
      </c>
      <c r="AJ370" s="13" t="n">
        <v>0</v>
      </c>
      <c r="AK370" s="13" t="n">
        <v>0</v>
      </c>
      <c r="AL370" s="13" t="n">
        <v>0</v>
      </c>
      <c r="AM370" s="13" t="n">
        <v>0</v>
      </c>
      <c r="AN370" s="13" t="n">
        <v>0</v>
      </c>
      <c r="AO370" s="13" t="n">
        <v>0</v>
      </c>
      <c r="AP370" s="13" t="n">
        <v>0</v>
      </c>
      <c r="AQ370" s="13" t="n">
        <v>440.00739</v>
      </c>
      <c r="AR370" s="13" t="n">
        <v>439.968408</v>
      </c>
      <c r="AS370" s="13" t="n">
        <v>15510.010491</v>
      </c>
      <c r="AT370" s="13" t="n">
        <v>5686.969904</v>
      </c>
    </row>
    <row r="371" customFormat="false" ht="15" hidden="false" customHeight="true" outlineLevel="0" collapsed="false">
      <c r="A371" s="12" t="s">
        <v>1166</v>
      </c>
      <c r="B371" s="12" t="s">
        <v>1167</v>
      </c>
      <c r="C371" s="12" t="n">
        <v>1</v>
      </c>
      <c r="D371" s="12" t="s">
        <v>1168</v>
      </c>
      <c r="E371" s="13" t="n">
        <v>0</v>
      </c>
      <c r="F371" s="13" t="n">
        <v>0</v>
      </c>
      <c r="G371" s="13" t="n">
        <v>0</v>
      </c>
      <c r="H371" s="13" t="n">
        <v>0</v>
      </c>
      <c r="I371" s="13" t="n">
        <v>0</v>
      </c>
      <c r="J371" s="13" t="n">
        <v>0</v>
      </c>
      <c r="K371" s="13" t="n">
        <v>0</v>
      </c>
      <c r="L371" s="13" t="n">
        <v>0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749.926941</v>
      </c>
      <c r="S371" s="13" t="n">
        <v>749.94627</v>
      </c>
      <c r="T371" s="13" t="n">
        <v>750.07744</v>
      </c>
      <c r="U371" s="13" t="n">
        <v>749.932919</v>
      </c>
      <c r="V371" s="13" t="n">
        <v>750.024756</v>
      </c>
      <c r="W371" s="13" t="n">
        <v>750.016</v>
      </c>
      <c r="X371" s="13" t="n">
        <v>749.963036</v>
      </c>
      <c r="Y371" s="13" t="n">
        <v>750.08994</v>
      </c>
      <c r="Z371" s="13" t="n">
        <v>749.935824</v>
      </c>
      <c r="AA371" s="13" t="n">
        <v>750.03075</v>
      </c>
      <c r="AB371" s="13" t="n">
        <v>749.923924</v>
      </c>
      <c r="AC371" s="13" t="n">
        <v>781.4972</v>
      </c>
      <c r="AD371" s="13" t="n">
        <v>781.5771</v>
      </c>
      <c r="AE371" s="13" t="n">
        <v>781.57548</v>
      </c>
      <c r="AF371" s="13" t="n">
        <v>781.6336</v>
      </c>
      <c r="AG371" s="13" t="n">
        <v>781.569</v>
      </c>
      <c r="AH371" s="13" t="n">
        <v>781.65015</v>
      </c>
      <c r="AI371" s="13" t="n">
        <v>0</v>
      </c>
      <c r="AJ371" s="13" t="n">
        <v>0</v>
      </c>
      <c r="AK371" s="13" t="n">
        <v>0</v>
      </c>
      <c r="AL371" s="13" t="n">
        <v>0</v>
      </c>
      <c r="AM371" s="13" t="n">
        <v>0</v>
      </c>
      <c r="AN371" s="13" t="n">
        <v>0</v>
      </c>
      <c r="AO371" s="13" t="n">
        <v>0</v>
      </c>
      <c r="AP371" s="13" t="n">
        <v>0</v>
      </c>
      <c r="AQ371" s="13" t="n">
        <v>0</v>
      </c>
      <c r="AR371" s="13" t="n">
        <v>0</v>
      </c>
      <c r="AS371" s="13" t="n">
        <v>0</v>
      </c>
      <c r="AT371" s="13" t="n">
        <v>0</v>
      </c>
    </row>
    <row r="372" customFormat="false" ht="15" hidden="false" customHeight="true" outlineLevel="0" collapsed="false">
      <c r="A372" s="12" t="s">
        <v>1169</v>
      </c>
      <c r="B372" s="12" t="s">
        <v>1170</v>
      </c>
      <c r="C372" s="12" t="n">
        <v>1</v>
      </c>
      <c r="D372" s="12" t="s">
        <v>1171</v>
      </c>
      <c r="E372" s="13" t="n">
        <v>0</v>
      </c>
      <c r="F372" s="13" t="n">
        <v>0</v>
      </c>
      <c r="G372" s="13" t="n">
        <v>0</v>
      </c>
      <c r="H372" s="13" t="n">
        <v>0</v>
      </c>
      <c r="I372" s="13" t="n">
        <v>0</v>
      </c>
      <c r="J372" s="13" t="n">
        <v>0</v>
      </c>
      <c r="K372" s="13" t="n">
        <v>0</v>
      </c>
      <c r="L372" s="13" t="n">
        <v>0</v>
      </c>
      <c r="M372" s="13" t="n">
        <v>0</v>
      </c>
      <c r="N372" s="13" t="n">
        <v>0</v>
      </c>
      <c r="O372" s="13" t="n">
        <v>0</v>
      </c>
      <c r="P372" s="13" t="n">
        <v>0</v>
      </c>
      <c r="Q372" s="13" t="n">
        <v>0</v>
      </c>
      <c r="R372" s="13" t="n">
        <v>0</v>
      </c>
      <c r="S372" s="13" t="n">
        <v>0</v>
      </c>
      <c r="T372" s="13" t="n">
        <v>0</v>
      </c>
      <c r="U372" s="13" t="n">
        <v>0</v>
      </c>
      <c r="V372" s="13" t="n">
        <v>0</v>
      </c>
      <c r="W372" s="13" t="n">
        <v>0</v>
      </c>
      <c r="X372" s="13" t="n">
        <v>0</v>
      </c>
      <c r="Y372" s="13" t="n">
        <v>0</v>
      </c>
      <c r="Z372" s="13" t="n">
        <v>0</v>
      </c>
      <c r="AA372" s="13" t="n">
        <v>0</v>
      </c>
      <c r="AB372" s="13" t="n">
        <v>0</v>
      </c>
      <c r="AC372" s="13" t="n">
        <v>0</v>
      </c>
      <c r="AD372" s="13" t="n">
        <v>0</v>
      </c>
      <c r="AE372" s="13" t="n">
        <v>0</v>
      </c>
      <c r="AF372" s="13" t="n">
        <v>0</v>
      </c>
      <c r="AG372" s="13" t="n">
        <v>0</v>
      </c>
      <c r="AH372" s="13" t="n">
        <v>0</v>
      </c>
      <c r="AI372" s="13" t="n">
        <v>2850.00114</v>
      </c>
      <c r="AJ372" s="13" t="n">
        <v>3250.08243</v>
      </c>
      <c r="AK372" s="13" t="n">
        <v>3199.91835</v>
      </c>
      <c r="AL372" s="13" t="n">
        <v>3099.950411</v>
      </c>
      <c r="AM372" s="13" t="n">
        <v>3250.065894</v>
      </c>
      <c r="AN372" s="13" t="n">
        <v>3299.93555</v>
      </c>
      <c r="AO372" s="13" t="n">
        <v>3299.946682</v>
      </c>
      <c r="AP372" s="13" t="n">
        <v>2950.08576</v>
      </c>
      <c r="AQ372" s="13" t="n">
        <v>2950.041316</v>
      </c>
      <c r="AR372" s="13" t="n">
        <v>2949.963616</v>
      </c>
      <c r="AS372" s="13" t="n">
        <v>3150.019206</v>
      </c>
      <c r="AT372" s="13" t="n">
        <v>3199.992544</v>
      </c>
    </row>
    <row r="373" customFormat="false" ht="15" hidden="false" customHeight="true" outlineLevel="0" collapsed="false">
      <c r="A373" s="12" t="s">
        <v>1172</v>
      </c>
      <c r="B373" s="12" t="s">
        <v>1173</v>
      </c>
      <c r="C373" s="12" t="n">
        <v>1</v>
      </c>
      <c r="D373" s="12" t="s">
        <v>1174</v>
      </c>
      <c r="E373" s="13" t="n">
        <v>0</v>
      </c>
      <c r="F373" s="13" t="n">
        <v>0</v>
      </c>
      <c r="G373" s="13" t="n">
        <v>0</v>
      </c>
      <c r="H373" s="13" t="n">
        <v>0</v>
      </c>
      <c r="I373" s="13" t="n">
        <v>0</v>
      </c>
      <c r="J373" s="13" t="n">
        <v>0</v>
      </c>
      <c r="K373" s="13" t="n">
        <v>0</v>
      </c>
      <c r="L373" s="13" t="n">
        <v>0</v>
      </c>
      <c r="M373" s="13" t="n">
        <v>0</v>
      </c>
      <c r="N373" s="13" t="n">
        <v>349.973286</v>
      </c>
      <c r="O373" s="13" t="n">
        <v>490.080992</v>
      </c>
      <c r="P373" s="13" t="n">
        <v>350.039627</v>
      </c>
      <c r="Q373" s="13" t="n">
        <v>350.082027</v>
      </c>
      <c r="R373" s="13" t="n">
        <v>349.920321</v>
      </c>
      <c r="S373" s="13" t="n">
        <v>385.06284</v>
      </c>
      <c r="T373" s="13" t="n">
        <v>419.98208</v>
      </c>
      <c r="U373" s="13" t="n">
        <v>279.932003</v>
      </c>
      <c r="V373" s="13" t="n">
        <v>280.03872</v>
      </c>
      <c r="W373" s="13" t="n">
        <v>0</v>
      </c>
      <c r="X373" s="13" t="n">
        <v>0</v>
      </c>
      <c r="Y373" s="13" t="n">
        <v>0</v>
      </c>
      <c r="Z373" s="13" t="n">
        <v>0</v>
      </c>
      <c r="AA373" s="13" t="n">
        <v>0</v>
      </c>
      <c r="AB373" s="13" t="n">
        <v>0</v>
      </c>
      <c r="AC373" s="13" t="n">
        <v>0</v>
      </c>
      <c r="AD373" s="13" t="n">
        <v>0</v>
      </c>
      <c r="AE373" s="13" t="n">
        <v>0</v>
      </c>
      <c r="AF373" s="13" t="n">
        <v>0</v>
      </c>
      <c r="AG373" s="13" t="n">
        <v>0</v>
      </c>
      <c r="AH373" s="13" t="n">
        <v>0</v>
      </c>
      <c r="AI373" s="13" t="n">
        <v>0</v>
      </c>
      <c r="AJ373" s="13" t="n">
        <v>0</v>
      </c>
      <c r="AK373" s="13" t="n">
        <v>0</v>
      </c>
      <c r="AL373" s="13" t="n">
        <v>0</v>
      </c>
      <c r="AM373" s="13" t="n">
        <v>0</v>
      </c>
      <c r="AN373" s="13" t="n">
        <v>0</v>
      </c>
      <c r="AO373" s="13" t="n">
        <v>0</v>
      </c>
      <c r="AP373" s="13" t="n">
        <v>0</v>
      </c>
      <c r="AQ373" s="13" t="n">
        <v>0</v>
      </c>
      <c r="AR373" s="13" t="n">
        <v>0</v>
      </c>
      <c r="AS373" s="13" t="n">
        <v>0</v>
      </c>
      <c r="AT373" s="13" t="n">
        <v>0</v>
      </c>
    </row>
    <row r="374" customFormat="false" ht="15" hidden="false" customHeight="true" outlineLevel="0" collapsed="false">
      <c r="A374" s="12" t="s">
        <v>1175</v>
      </c>
      <c r="B374" s="12" t="s">
        <v>1176</v>
      </c>
      <c r="C374" s="12" t="n">
        <v>1</v>
      </c>
      <c r="D374" s="12" t="s">
        <v>1177</v>
      </c>
      <c r="E374" s="13" t="n">
        <v>0</v>
      </c>
      <c r="F374" s="13" t="n">
        <v>0</v>
      </c>
      <c r="G374" s="13" t="n">
        <v>0</v>
      </c>
      <c r="H374" s="13" t="n">
        <v>0</v>
      </c>
      <c r="I374" s="13" t="n">
        <v>0</v>
      </c>
      <c r="J374" s="13" t="n">
        <v>0</v>
      </c>
      <c r="K374" s="13" t="n">
        <v>0</v>
      </c>
      <c r="L374" s="13" t="n">
        <v>0</v>
      </c>
      <c r="M374" s="13" t="n">
        <v>0</v>
      </c>
      <c r="N374" s="13" t="n">
        <v>0</v>
      </c>
      <c r="O374" s="13" t="n">
        <v>0</v>
      </c>
      <c r="P374" s="13" t="n">
        <v>0</v>
      </c>
      <c r="Q374" s="13" t="n">
        <v>0</v>
      </c>
      <c r="R374" s="13" t="n">
        <v>0</v>
      </c>
      <c r="S374" s="13" t="n">
        <v>0</v>
      </c>
      <c r="T374" s="13" t="n">
        <v>0</v>
      </c>
      <c r="U374" s="13" t="n">
        <v>4079.953839</v>
      </c>
      <c r="V374" s="13" t="n">
        <v>4139.967156</v>
      </c>
      <c r="W374" s="13" t="n">
        <v>5399.927696</v>
      </c>
      <c r="X374" s="13" t="n">
        <v>5540.049524</v>
      </c>
      <c r="Y374" s="13" t="n">
        <v>5619.965204</v>
      </c>
      <c r="Z374" s="13" t="n">
        <v>6260.089792</v>
      </c>
      <c r="AA374" s="13" t="n">
        <v>5440.01895</v>
      </c>
      <c r="AB374" s="13" t="n">
        <v>5459.915628</v>
      </c>
      <c r="AC374" s="13" t="n">
        <v>5772.6152</v>
      </c>
      <c r="AD374" s="13" t="n">
        <v>11545.4561</v>
      </c>
      <c r="AE374" s="13" t="n">
        <v>8294.4162</v>
      </c>
      <c r="AF374" s="13" t="n">
        <v>7981.787</v>
      </c>
      <c r="AG374" s="13" t="n">
        <v>8148.38752</v>
      </c>
      <c r="AH374" s="13" t="n">
        <v>8148.4998</v>
      </c>
      <c r="AI374" s="13" t="n">
        <v>9044.55249</v>
      </c>
      <c r="AJ374" s="13" t="n">
        <v>8794.43937</v>
      </c>
      <c r="AK374" s="13" t="n">
        <v>9607.2765</v>
      </c>
      <c r="AL374" s="13" t="n">
        <v>10315.793629</v>
      </c>
      <c r="AM374" s="13" t="n">
        <v>11191.063897</v>
      </c>
      <c r="AN374" s="13" t="n">
        <v>9503.095052</v>
      </c>
      <c r="AO374" s="13" t="n">
        <v>12317.778096</v>
      </c>
      <c r="AP374" s="13" t="n">
        <v>14003.244</v>
      </c>
      <c r="AQ374" s="13" t="n">
        <v>14608.426421</v>
      </c>
      <c r="AR374" s="13" t="n">
        <v>11561.275104</v>
      </c>
      <c r="AS374" s="13" t="n">
        <v>8752.130514</v>
      </c>
      <c r="AT374" s="13" t="n">
        <v>9011.398824</v>
      </c>
    </row>
    <row r="375" customFormat="false" ht="15" hidden="false" customHeight="true" outlineLevel="0" collapsed="false">
      <c r="A375" s="12" t="s">
        <v>1178</v>
      </c>
      <c r="B375" s="12" t="s">
        <v>1179</v>
      </c>
      <c r="C375" s="12" t="n">
        <v>1</v>
      </c>
      <c r="D375" s="12" t="s">
        <v>1180</v>
      </c>
      <c r="E375" s="13" t="n">
        <v>0</v>
      </c>
      <c r="F375" s="13" t="n">
        <v>0</v>
      </c>
      <c r="G375" s="13" t="n">
        <v>0</v>
      </c>
      <c r="H375" s="13" t="n">
        <v>0</v>
      </c>
      <c r="I375" s="13" t="n">
        <v>0</v>
      </c>
      <c r="J375" s="13" t="n">
        <v>0</v>
      </c>
      <c r="K375" s="13" t="n">
        <v>0</v>
      </c>
      <c r="L375" s="13" t="n">
        <v>0</v>
      </c>
      <c r="M375" s="13" t="n">
        <v>0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0</v>
      </c>
      <c r="V375" s="13" t="n">
        <v>0</v>
      </c>
      <c r="W375" s="13" t="n">
        <v>0</v>
      </c>
      <c r="X375" s="13" t="n">
        <v>0</v>
      </c>
      <c r="Y375" s="13" t="n">
        <v>0</v>
      </c>
      <c r="Z375" s="13" t="n">
        <v>0</v>
      </c>
      <c r="AA375" s="13" t="n">
        <v>0</v>
      </c>
      <c r="AB375" s="13" t="n">
        <v>0</v>
      </c>
      <c r="AC375" s="13" t="n">
        <v>0</v>
      </c>
      <c r="AD375" s="13" t="n">
        <v>0</v>
      </c>
      <c r="AE375" s="13" t="n">
        <v>0</v>
      </c>
      <c r="AF375" s="13" t="n">
        <v>0</v>
      </c>
      <c r="AG375" s="13" t="n">
        <v>0</v>
      </c>
      <c r="AH375" s="13" t="n">
        <v>0</v>
      </c>
      <c r="AI375" s="13" t="n">
        <v>0</v>
      </c>
      <c r="AJ375" s="13" t="n">
        <v>2519.9928</v>
      </c>
      <c r="AK375" s="13" t="n">
        <v>0</v>
      </c>
      <c r="AL375" s="13" t="n">
        <v>1191.835251</v>
      </c>
      <c r="AM375" s="13" t="n">
        <v>1716.749447</v>
      </c>
      <c r="AN375" s="13" t="n">
        <v>1226.820726</v>
      </c>
      <c r="AO375" s="13" t="n">
        <v>2696.884486</v>
      </c>
      <c r="AP375" s="13" t="n">
        <v>2731.79736</v>
      </c>
      <c r="AQ375" s="13" t="n">
        <v>2731.848351</v>
      </c>
      <c r="AR375" s="13" t="n">
        <v>2801.904072</v>
      </c>
      <c r="AS375" s="13" t="n">
        <v>2766.782448</v>
      </c>
      <c r="AT375" s="13" t="n">
        <v>2451.799144</v>
      </c>
    </row>
    <row r="376" customFormat="false" ht="15" hidden="false" customHeight="true" outlineLevel="0" collapsed="false">
      <c r="A376" s="12" t="s">
        <v>1181</v>
      </c>
      <c r="B376" s="12" t="s">
        <v>1182</v>
      </c>
      <c r="C376" s="12" t="n">
        <v>1</v>
      </c>
      <c r="D376" s="12" t="s">
        <v>1183</v>
      </c>
      <c r="E376" s="13" t="n">
        <v>2054.475468</v>
      </c>
      <c r="F376" s="13" t="n">
        <v>2054.466264</v>
      </c>
      <c r="G376" s="13" t="n">
        <v>2054.38405</v>
      </c>
      <c r="H376" s="13" t="n">
        <v>3081.551121</v>
      </c>
      <c r="I376" s="13" t="n">
        <v>2328.235539</v>
      </c>
      <c r="J376" s="13" t="n">
        <v>2328.365715</v>
      </c>
      <c r="K376" s="13" t="n">
        <v>1848.907836</v>
      </c>
      <c r="L376" s="13" t="n">
        <v>1917.42845</v>
      </c>
      <c r="M376" s="13" t="n">
        <v>1712.061945</v>
      </c>
      <c r="N376" s="13" t="n">
        <v>1574.970126</v>
      </c>
      <c r="O376" s="13" t="n">
        <v>0</v>
      </c>
      <c r="P376" s="13" t="n">
        <v>0</v>
      </c>
      <c r="Q376" s="13" t="n">
        <v>0</v>
      </c>
      <c r="R376" s="13" t="n">
        <v>0</v>
      </c>
      <c r="S376" s="13" t="n">
        <v>0</v>
      </c>
      <c r="T376" s="13" t="n">
        <v>0</v>
      </c>
      <c r="U376" s="13" t="n">
        <v>0</v>
      </c>
      <c r="V376" s="13" t="n">
        <v>0</v>
      </c>
      <c r="W376" s="13" t="n">
        <v>0</v>
      </c>
      <c r="X376" s="13" t="n">
        <v>0</v>
      </c>
      <c r="Y376" s="13" t="n">
        <v>0</v>
      </c>
      <c r="Z376" s="13" t="n">
        <v>0</v>
      </c>
      <c r="AA376" s="13" t="n">
        <v>0</v>
      </c>
      <c r="AB376" s="13" t="n">
        <v>0</v>
      </c>
      <c r="AC376" s="13" t="n">
        <v>0</v>
      </c>
      <c r="AD376" s="13" t="n">
        <v>0</v>
      </c>
      <c r="AE376" s="13" t="n">
        <v>0</v>
      </c>
      <c r="AF376" s="13" t="n">
        <v>0</v>
      </c>
      <c r="AG376" s="13" t="n">
        <v>0</v>
      </c>
      <c r="AH376" s="13" t="n">
        <v>0</v>
      </c>
      <c r="AI376" s="13" t="n">
        <v>0</v>
      </c>
      <c r="AJ376" s="13" t="n">
        <v>0</v>
      </c>
      <c r="AK376" s="13" t="n">
        <v>0</v>
      </c>
      <c r="AL376" s="13" t="n">
        <v>0</v>
      </c>
      <c r="AM376" s="13" t="n">
        <v>0</v>
      </c>
      <c r="AN376" s="13" t="n">
        <v>0</v>
      </c>
      <c r="AO376" s="13" t="n">
        <v>0</v>
      </c>
      <c r="AP376" s="13" t="n">
        <v>0</v>
      </c>
      <c r="AQ376" s="13" t="n">
        <v>0</v>
      </c>
      <c r="AR376" s="13" t="n">
        <v>0</v>
      </c>
      <c r="AS376" s="13" t="n">
        <v>0</v>
      </c>
      <c r="AT376" s="13" t="n">
        <v>0</v>
      </c>
    </row>
    <row r="377" customFormat="false" ht="15" hidden="false" customHeight="true" outlineLevel="0" collapsed="false">
      <c r="A377" s="12" t="s">
        <v>1184</v>
      </c>
      <c r="B377" s="12" t="s">
        <v>1185</v>
      </c>
      <c r="C377" s="12" t="n">
        <v>1</v>
      </c>
      <c r="D377" s="12" t="s">
        <v>1186</v>
      </c>
      <c r="E377" s="13" t="n">
        <v>0</v>
      </c>
      <c r="F377" s="13" t="n">
        <v>0</v>
      </c>
      <c r="G377" s="13" t="n">
        <v>0</v>
      </c>
      <c r="H377" s="13" t="n">
        <v>0</v>
      </c>
      <c r="I377" s="13" t="n">
        <v>0</v>
      </c>
      <c r="J377" s="13" t="n">
        <v>0</v>
      </c>
      <c r="K377" s="13" t="n">
        <v>0</v>
      </c>
      <c r="L377" s="13" t="n">
        <v>0</v>
      </c>
      <c r="M377" s="13" t="n">
        <v>0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0</v>
      </c>
      <c r="W377" s="13" t="n">
        <v>0</v>
      </c>
      <c r="X377" s="13" t="n">
        <v>0</v>
      </c>
      <c r="Y377" s="13" t="n">
        <v>0</v>
      </c>
      <c r="Z377" s="13" t="n">
        <v>0</v>
      </c>
      <c r="AA377" s="13" t="n">
        <v>0</v>
      </c>
      <c r="AB377" s="13" t="n">
        <v>0</v>
      </c>
      <c r="AC377" s="13" t="n">
        <v>0</v>
      </c>
      <c r="AD377" s="13" t="n">
        <v>2199.9948</v>
      </c>
      <c r="AE377" s="13" t="n">
        <v>2200.00536</v>
      </c>
      <c r="AF377" s="13" t="n">
        <v>2150.0798</v>
      </c>
      <c r="AG377" s="13" t="n">
        <v>2100.00836</v>
      </c>
      <c r="AH377" s="13" t="n">
        <v>2100.012</v>
      </c>
      <c r="AI377" s="13" t="n">
        <v>2200.00088</v>
      </c>
      <c r="AJ377" s="13" t="n">
        <v>2049.91722</v>
      </c>
      <c r="AK377" s="13" t="n">
        <v>1649.9493</v>
      </c>
      <c r="AL377" s="13" t="n">
        <v>1550.067296</v>
      </c>
      <c r="AM377" s="13" t="n">
        <v>1450.037865</v>
      </c>
      <c r="AN377" s="13" t="n">
        <v>1549.980627</v>
      </c>
      <c r="AO377" s="13" t="n">
        <v>1606.959042</v>
      </c>
      <c r="AP377" s="13" t="n">
        <v>2125.42152</v>
      </c>
      <c r="AQ377" s="13" t="n">
        <v>2073.647996</v>
      </c>
      <c r="AR377" s="13" t="n">
        <v>2073.53532</v>
      </c>
      <c r="AS377" s="13" t="n">
        <v>2073.528963</v>
      </c>
      <c r="AT377" s="13" t="n">
        <v>1969.980096</v>
      </c>
    </row>
    <row r="378" customFormat="false" ht="15" hidden="false" customHeight="true" outlineLevel="0" collapsed="false">
      <c r="A378" s="12" t="s">
        <v>1187</v>
      </c>
      <c r="B378" s="12" t="s">
        <v>1188</v>
      </c>
      <c r="C378" s="12" t="n">
        <v>1</v>
      </c>
      <c r="D378" s="12" t="s">
        <v>1189</v>
      </c>
      <c r="E378" s="13" t="n">
        <v>0</v>
      </c>
      <c r="F378" s="13" t="n">
        <v>0</v>
      </c>
      <c r="G378" s="13" t="n">
        <v>0</v>
      </c>
      <c r="H378" s="13" t="n">
        <v>0</v>
      </c>
      <c r="I378" s="13" t="n">
        <v>0</v>
      </c>
      <c r="J378" s="13" t="n">
        <v>0</v>
      </c>
      <c r="K378" s="13" t="n">
        <v>0</v>
      </c>
      <c r="L378" s="13" t="n">
        <v>0</v>
      </c>
      <c r="M378" s="13" t="n">
        <v>0</v>
      </c>
      <c r="N378" s="13" t="n">
        <v>0</v>
      </c>
      <c r="O378" s="13" t="n">
        <v>0</v>
      </c>
      <c r="P378" s="13" t="n">
        <v>0</v>
      </c>
      <c r="Q378" s="13" t="n">
        <v>0</v>
      </c>
      <c r="R378" s="13" t="n">
        <v>0</v>
      </c>
      <c r="S378" s="13" t="n">
        <v>0</v>
      </c>
      <c r="T378" s="13" t="n">
        <v>0</v>
      </c>
      <c r="U378" s="13" t="n">
        <v>0</v>
      </c>
      <c r="V378" s="13" t="n">
        <v>815.981244</v>
      </c>
      <c r="W378" s="13" t="n">
        <v>816.017408</v>
      </c>
      <c r="X378" s="13" t="n">
        <v>1088.061126</v>
      </c>
      <c r="Y378" s="13" t="n">
        <v>781.983528</v>
      </c>
      <c r="Z378" s="13" t="n">
        <v>901.08568</v>
      </c>
      <c r="AA378" s="13" t="n">
        <v>680.02788</v>
      </c>
      <c r="AB378" s="13" t="n">
        <v>782.09821</v>
      </c>
      <c r="AC378" s="13" t="n">
        <v>673.3408</v>
      </c>
      <c r="AD378" s="13" t="n">
        <v>673.384</v>
      </c>
      <c r="AE378" s="13" t="n">
        <v>620.11656</v>
      </c>
      <c r="AF378" s="13" t="n">
        <v>992.3144</v>
      </c>
      <c r="AG378" s="13" t="n">
        <v>1080.88098</v>
      </c>
      <c r="AH378" s="13" t="n">
        <v>992.40675</v>
      </c>
      <c r="AI378" s="13" t="n">
        <v>0</v>
      </c>
      <c r="AJ378" s="13" t="n">
        <v>1080.87561</v>
      </c>
      <c r="AK378" s="13" t="n">
        <v>744.25665</v>
      </c>
      <c r="AL378" s="13" t="n">
        <v>939.138919</v>
      </c>
      <c r="AM378" s="13" t="n">
        <v>885.98139</v>
      </c>
      <c r="AN378" s="13" t="n">
        <v>850.61009</v>
      </c>
      <c r="AO378" s="13" t="n">
        <v>1212.503266</v>
      </c>
      <c r="AP378" s="13" t="n">
        <v>973.58352</v>
      </c>
      <c r="AQ378" s="13" t="n">
        <v>991.917894</v>
      </c>
      <c r="AR378" s="13" t="n">
        <v>992.03403</v>
      </c>
      <c r="AS378" s="13" t="n">
        <v>992.018907</v>
      </c>
      <c r="AT378" s="13" t="n">
        <v>918.483968</v>
      </c>
    </row>
    <row r="379" customFormat="false" ht="15" hidden="false" customHeight="true" outlineLevel="0" collapsed="false">
      <c r="A379" s="12" t="s">
        <v>1190</v>
      </c>
      <c r="B379" s="12" t="s">
        <v>1191</v>
      </c>
      <c r="C379" s="12" t="n">
        <v>1</v>
      </c>
      <c r="D379" s="12" t="s">
        <v>1192</v>
      </c>
      <c r="E379" s="13" t="n">
        <v>0</v>
      </c>
      <c r="F379" s="13" t="n">
        <v>0</v>
      </c>
      <c r="G379" s="13" t="n">
        <v>0</v>
      </c>
      <c r="H379" s="13" t="n">
        <v>0</v>
      </c>
      <c r="I379" s="13" t="n">
        <v>0</v>
      </c>
      <c r="J379" s="13" t="n">
        <v>0</v>
      </c>
      <c r="K379" s="13" t="n">
        <v>1300.02636</v>
      </c>
      <c r="L379" s="13" t="n">
        <v>1950.083345</v>
      </c>
      <c r="M379" s="13" t="n">
        <v>1650.016665</v>
      </c>
      <c r="N379" s="13" t="n">
        <v>1699.999302</v>
      </c>
      <c r="O379" s="13" t="n">
        <v>1699.968441</v>
      </c>
      <c r="P379" s="13" t="n">
        <v>1750.028952</v>
      </c>
      <c r="Q379" s="13" t="n">
        <v>1627.477947</v>
      </c>
      <c r="R379" s="13" t="n">
        <v>1627.548303</v>
      </c>
      <c r="S379" s="13" t="n">
        <v>1627.419795</v>
      </c>
      <c r="T379" s="13" t="n">
        <v>1627.4944</v>
      </c>
      <c r="U379" s="13" t="n">
        <v>1627.539247</v>
      </c>
      <c r="V379" s="13" t="n">
        <v>1627.540824</v>
      </c>
      <c r="W379" s="13" t="n">
        <v>1627.53472</v>
      </c>
      <c r="X379" s="13" t="n">
        <v>1627.431686</v>
      </c>
      <c r="Y379" s="13" t="n">
        <v>1627.557358</v>
      </c>
      <c r="Z379" s="13" t="n">
        <v>1627.567216</v>
      </c>
      <c r="AA379" s="13" t="n">
        <v>0</v>
      </c>
      <c r="AB379" s="13" t="n">
        <v>0</v>
      </c>
      <c r="AC379" s="13" t="n">
        <v>0</v>
      </c>
      <c r="AD379" s="13" t="n">
        <v>0</v>
      </c>
      <c r="AE379" s="13" t="n">
        <v>0</v>
      </c>
      <c r="AF379" s="13" t="n">
        <v>0</v>
      </c>
      <c r="AG379" s="13" t="n">
        <v>0</v>
      </c>
      <c r="AH379" s="13" t="n">
        <v>0</v>
      </c>
      <c r="AI379" s="13" t="n">
        <v>0</v>
      </c>
      <c r="AJ379" s="13" t="n">
        <v>0</v>
      </c>
      <c r="AK379" s="13" t="n">
        <v>0</v>
      </c>
      <c r="AL379" s="13" t="n">
        <v>0</v>
      </c>
      <c r="AM379" s="13" t="n">
        <v>0</v>
      </c>
      <c r="AN379" s="13" t="n">
        <v>0</v>
      </c>
      <c r="AO379" s="13" t="n">
        <v>0</v>
      </c>
      <c r="AP379" s="13" t="n">
        <v>0</v>
      </c>
      <c r="AQ379" s="13" t="n">
        <v>0</v>
      </c>
      <c r="AR379" s="13" t="n">
        <v>0</v>
      </c>
      <c r="AS379" s="13" t="n">
        <v>0</v>
      </c>
      <c r="AT379" s="13" t="n">
        <v>0</v>
      </c>
    </row>
    <row r="380" customFormat="false" ht="15" hidden="false" customHeight="true" outlineLevel="0" collapsed="false">
      <c r="A380" s="12" t="s">
        <v>1193</v>
      </c>
      <c r="B380" s="12" t="s">
        <v>1194</v>
      </c>
      <c r="C380" s="12" t="n">
        <v>1</v>
      </c>
      <c r="D380" s="12" t="s">
        <v>1195</v>
      </c>
      <c r="E380" s="13" t="n">
        <v>0</v>
      </c>
      <c r="F380" s="13" t="n">
        <v>0</v>
      </c>
      <c r="G380" s="13" t="n">
        <v>0</v>
      </c>
      <c r="H380" s="13" t="n">
        <v>0</v>
      </c>
      <c r="I380" s="13" t="n">
        <v>0</v>
      </c>
      <c r="J380" s="13" t="n">
        <v>0</v>
      </c>
      <c r="K380" s="13" t="n">
        <v>0</v>
      </c>
      <c r="L380" s="13" t="n">
        <v>0</v>
      </c>
      <c r="M380" s="13" t="n">
        <v>0</v>
      </c>
      <c r="N380" s="13" t="n">
        <v>0</v>
      </c>
      <c r="O380" s="13" t="n">
        <v>0</v>
      </c>
      <c r="P380" s="13" t="n">
        <v>0</v>
      </c>
      <c r="Q380" s="13" t="n">
        <v>0</v>
      </c>
      <c r="R380" s="13" t="n">
        <v>0</v>
      </c>
      <c r="S380" s="13" t="n">
        <v>0</v>
      </c>
      <c r="T380" s="13" t="n">
        <v>0</v>
      </c>
      <c r="U380" s="13" t="n">
        <v>0</v>
      </c>
      <c r="V380" s="13" t="n">
        <v>0</v>
      </c>
      <c r="W380" s="13" t="n">
        <v>0</v>
      </c>
      <c r="X380" s="13" t="n">
        <v>0</v>
      </c>
      <c r="Y380" s="13" t="n">
        <v>0</v>
      </c>
      <c r="Z380" s="13" t="n">
        <v>0</v>
      </c>
      <c r="AA380" s="13" t="n">
        <v>560.02296</v>
      </c>
      <c r="AB380" s="13" t="n">
        <v>559.913518</v>
      </c>
      <c r="AC380" s="13" t="n">
        <v>560.0144</v>
      </c>
      <c r="AD380" s="13" t="n">
        <v>630.0657</v>
      </c>
      <c r="AE380" s="13" t="n">
        <v>629.91432</v>
      </c>
      <c r="AF380" s="13" t="n">
        <v>630.0844</v>
      </c>
      <c r="AG380" s="13" t="n">
        <v>699.93846</v>
      </c>
      <c r="AH380" s="13" t="n">
        <v>769.94145</v>
      </c>
      <c r="AI380" s="13" t="n">
        <v>0</v>
      </c>
      <c r="AJ380" s="13" t="n">
        <v>0</v>
      </c>
      <c r="AK380" s="13" t="n">
        <v>0</v>
      </c>
      <c r="AL380" s="13" t="n">
        <v>0</v>
      </c>
      <c r="AM380" s="13" t="n">
        <v>0</v>
      </c>
      <c r="AN380" s="13" t="n">
        <v>0</v>
      </c>
      <c r="AO380" s="13" t="n">
        <v>0</v>
      </c>
      <c r="AP380" s="13" t="n">
        <v>0</v>
      </c>
      <c r="AQ380" s="13" t="n">
        <v>0</v>
      </c>
      <c r="AR380" s="13" t="n">
        <v>0</v>
      </c>
      <c r="AS380" s="13" t="n">
        <v>0</v>
      </c>
      <c r="AT380" s="13" t="n">
        <v>0</v>
      </c>
    </row>
    <row r="381" customFormat="false" ht="15" hidden="false" customHeight="true" outlineLevel="0" collapsed="false">
      <c r="A381" s="12" t="s">
        <v>1196</v>
      </c>
      <c r="B381" s="12" t="s">
        <v>1197</v>
      </c>
      <c r="C381" s="12" t="n">
        <v>1</v>
      </c>
      <c r="D381" s="12" t="s">
        <v>1198</v>
      </c>
      <c r="E381" s="13" t="n">
        <v>0</v>
      </c>
      <c r="F381" s="13" t="n">
        <v>0</v>
      </c>
      <c r="G381" s="13" t="n">
        <v>0</v>
      </c>
      <c r="H381" s="13" t="n">
        <v>0</v>
      </c>
      <c r="I381" s="13" t="n">
        <v>0</v>
      </c>
      <c r="J381" s="13" t="n">
        <v>0</v>
      </c>
      <c r="K381" s="13" t="n">
        <v>0</v>
      </c>
      <c r="L381" s="13" t="n">
        <v>0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  <c r="X381" s="13" t="n">
        <v>0</v>
      </c>
      <c r="Y381" s="13" t="n">
        <v>0</v>
      </c>
      <c r="Z381" s="13" t="n">
        <v>0</v>
      </c>
      <c r="AA381" s="13" t="n">
        <v>0</v>
      </c>
      <c r="AB381" s="13" t="n">
        <v>0</v>
      </c>
      <c r="AC381" s="13" t="n">
        <v>0</v>
      </c>
      <c r="AD381" s="13" t="n">
        <v>700.073</v>
      </c>
      <c r="AE381" s="13" t="n">
        <v>699.92748</v>
      </c>
      <c r="AF381" s="13" t="n">
        <v>699.985</v>
      </c>
      <c r="AG381" s="13" t="n">
        <v>599.97482</v>
      </c>
      <c r="AH381" s="13" t="n">
        <v>599.97645</v>
      </c>
      <c r="AI381" s="13" t="n">
        <v>1000.0004</v>
      </c>
      <c r="AJ381" s="13" t="n">
        <v>950.02983</v>
      </c>
      <c r="AK381" s="13" t="n">
        <v>950.08755</v>
      </c>
      <c r="AL381" s="13" t="n">
        <v>899.908366</v>
      </c>
      <c r="AM381" s="13" t="n">
        <v>949.999507</v>
      </c>
      <c r="AN381" s="13" t="n">
        <v>800.077017</v>
      </c>
      <c r="AO381" s="13" t="n">
        <v>881.319024</v>
      </c>
      <c r="AP381" s="13" t="n">
        <v>881.26392</v>
      </c>
      <c r="AQ381" s="13" t="n">
        <v>777.527462</v>
      </c>
      <c r="AR381" s="13" t="n">
        <v>881.340224</v>
      </c>
      <c r="AS381" s="13" t="n">
        <v>881.236827</v>
      </c>
      <c r="AT381" s="13" t="n">
        <v>933.185312</v>
      </c>
    </row>
    <row r="382" customFormat="false" ht="15" hidden="false" customHeight="true" outlineLevel="0" collapsed="false">
      <c r="A382" s="12" t="s">
        <v>1199</v>
      </c>
      <c r="B382" s="12" t="s">
        <v>1200</v>
      </c>
      <c r="C382" s="12" t="n">
        <v>1</v>
      </c>
      <c r="D382" s="12" t="s">
        <v>1201</v>
      </c>
      <c r="E382" s="13" t="n">
        <v>0</v>
      </c>
      <c r="F382" s="13" t="n">
        <v>0</v>
      </c>
      <c r="G382" s="13" t="n">
        <v>0</v>
      </c>
      <c r="H382" s="13" t="n">
        <v>0</v>
      </c>
      <c r="I382" s="13" t="n">
        <v>0</v>
      </c>
      <c r="J382" s="13" t="n">
        <v>0</v>
      </c>
      <c r="K382" s="13" t="n">
        <v>1950.03954</v>
      </c>
      <c r="L382" s="13" t="n">
        <v>2400.051052</v>
      </c>
      <c r="M382" s="13" t="n">
        <v>1850.07744</v>
      </c>
      <c r="N382" s="13" t="n">
        <v>2049.972588</v>
      </c>
      <c r="O382" s="13" t="n">
        <v>2100.052116</v>
      </c>
      <c r="P382" s="13" t="n">
        <v>1899.92509</v>
      </c>
      <c r="Q382" s="13" t="n">
        <v>2572.476219</v>
      </c>
      <c r="R382" s="13" t="n">
        <v>2625.000708</v>
      </c>
      <c r="S382" s="13" t="n">
        <v>2519.945175</v>
      </c>
      <c r="T382" s="13" t="n">
        <v>1470.0224</v>
      </c>
      <c r="U382" s="13" t="n">
        <v>1470.02451</v>
      </c>
      <c r="V382" s="13" t="n">
        <v>1785.062604</v>
      </c>
      <c r="W382" s="13" t="n">
        <v>2205.04704</v>
      </c>
      <c r="X382" s="13" t="n">
        <v>2047.42685</v>
      </c>
      <c r="Y382" s="13" t="n">
        <v>2467.421842</v>
      </c>
      <c r="Z382" s="13" t="n">
        <v>0</v>
      </c>
      <c r="AA382" s="13" t="n">
        <v>3412.58889</v>
      </c>
      <c r="AB382" s="13" t="n">
        <v>2992.410952</v>
      </c>
      <c r="AC382" s="13" t="n">
        <v>3227.9412</v>
      </c>
      <c r="AD382" s="13" t="n">
        <v>4923.9152</v>
      </c>
      <c r="AE382" s="13" t="n">
        <v>5306.91588</v>
      </c>
      <c r="AF382" s="13" t="n">
        <v>5361.5914</v>
      </c>
      <c r="AG382" s="13" t="n">
        <v>5470.983</v>
      </c>
      <c r="AH382" s="13" t="n">
        <v>5361.64035</v>
      </c>
      <c r="AI382" s="13" t="n">
        <v>4486.27999</v>
      </c>
      <c r="AJ382" s="13" t="n">
        <v>6674.6259</v>
      </c>
      <c r="AK382" s="13" t="n">
        <v>8698.8321</v>
      </c>
      <c r="AL382" s="13" t="n">
        <v>6948.228225</v>
      </c>
      <c r="AM382" s="13" t="n">
        <v>6619.913537</v>
      </c>
      <c r="AN382" s="13" t="n">
        <v>0</v>
      </c>
      <c r="AO382" s="13" t="n">
        <v>0</v>
      </c>
      <c r="AP382" s="13" t="n">
        <v>0</v>
      </c>
      <c r="AQ382" s="13" t="n">
        <v>0</v>
      </c>
      <c r="AR382" s="13" t="n">
        <v>0</v>
      </c>
      <c r="AS382" s="13" t="n">
        <v>0</v>
      </c>
      <c r="AT382" s="13" t="n">
        <v>0</v>
      </c>
    </row>
    <row r="383" customFormat="false" ht="15" hidden="false" customHeight="true" outlineLevel="0" collapsed="false">
      <c r="A383" s="12" t="s">
        <v>1202</v>
      </c>
      <c r="B383" s="12" t="s">
        <v>1203</v>
      </c>
      <c r="C383" s="12" t="n">
        <v>1</v>
      </c>
      <c r="D383" s="12" t="s">
        <v>1204</v>
      </c>
      <c r="E383" s="13" t="n">
        <v>0</v>
      </c>
      <c r="F383" s="13" t="n">
        <v>0</v>
      </c>
      <c r="G383" s="13" t="n">
        <v>0</v>
      </c>
      <c r="H383" s="13" t="n">
        <v>0</v>
      </c>
      <c r="I383" s="13" t="n">
        <v>0</v>
      </c>
      <c r="J383" s="13" t="n">
        <v>0</v>
      </c>
      <c r="K383" s="13" t="n">
        <v>0</v>
      </c>
      <c r="L383" s="13" t="n">
        <v>0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0</v>
      </c>
      <c r="X383" s="13" t="n">
        <v>0</v>
      </c>
      <c r="Y383" s="13" t="n">
        <v>0</v>
      </c>
      <c r="Z383" s="13" t="n">
        <v>0</v>
      </c>
      <c r="AA383" s="13" t="n">
        <v>0</v>
      </c>
      <c r="AB383" s="13" t="n">
        <v>0</v>
      </c>
      <c r="AC383" s="13" t="n">
        <v>0</v>
      </c>
      <c r="AD383" s="13" t="n">
        <v>0</v>
      </c>
      <c r="AE383" s="13" t="n">
        <v>0</v>
      </c>
      <c r="AF383" s="13" t="n">
        <v>0</v>
      </c>
      <c r="AG383" s="13" t="n">
        <v>0</v>
      </c>
      <c r="AH383" s="13" t="n">
        <v>0</v>
      </c>
      <c r="AI383" s="13" t="n">
        <v>10175.00407</v>
      </c>
      <c r="AJ383" s="13" t="n">
        <v>5059.92933</v>
      </c>
      <c r="AK383" s="13" t="n">
        <v>4564.9698</v>
      </c>
      <c r="AL383" s="13" t="n">
        <v>6434.915778</v>
      </c>
      <c r="AM383" s="13" t="n">
        <v>6984.945207</v>
      </c>
      <c r="AN383" s="13" t="n">
        <v>6930.044488</v>
      </c>
      <c r="AO383" s="13" t="n">
        <v>7128.8227</v>
      </c>
      <c r="AP383" s="13" t="n">
        <v>6900.6744</v>
      </c>
      <c r="AQ383" s="13" t="n">
        <v>18762.78426</v>
      </c>
      <c r="AR383" s="13" t="n">
        <v>18819.876706</v>
      </c>
      <c r="AS383" s="13" t="n">
        <v>18762.849315</v>
      </c>
      <c r="AT383" s="13" t="n">
        <v>18306.6736</v>
      </c>
    </row>
    <row r="384" customFormat="false" ht="15" hidden="false" customHeight="true" outlineLevel="0" collapsed="false">
      <c r="A384" s="12" t="s">
        <v>1205</v>
      </c>
      <c r="B384" s="12" t="s">
        <v>1206</v>
      </c>
      <c r="C384" s="12" t="n">
        <v>1</v>
      </c>
      <c r="D384" s="12" t="s">
        <v>1207</v>
      </c>
      <c r="E384" s="13" t="n">
        <v>1711.90638</v>
      </c>
      <c r="F384" s="13" t="n">
        <v>1711.993878</v>
      </c>
      <c r="G384" s="13" t="n">
        <v>1711.926374</v>
      </c>
      <c r="H384" s="13" t="n">
        <v>1643.505957</v>
      </c>
      <c r="I384" s="13" t="n">
        <v>1574.956873</v>
      </c>
      <c r="J384" s="13" t="n">
        <v>1574.995455</v>
      </c>
      <c r="K384" s="13" t="n">
        <v>1575.051192</v>
      </c>
      <c r="L384" s="13" t="n">
        <v>1917.42845</v>
      </c>
      <c r="M384" s="13" t="n">
        <v>1917.41067</v>
      </c>
      <c r="N384" s="13" t="n">
        <v>1917.354936</v>
      </c>
      <c r="O384" s="13" t="n">
        <v>1917.476297</v>
      </c>
      <c r="P384" s="13" t="n">
        <v>1917.520122</v>
      </c>
      <c r="Q384" s="13" t="n">
        <v>1917.467424</v>
      </c>
      <c r="R384" s="13" t="n">
        <v>1917.467631</v>
      </c>
      <c r="S384" s="13" t="n">
        <v>1917.37476</v>
      </c>
      <c r="T384" s="13" t="n">
        <v>1917.41312</v>
      </c>
      <c r="U384" s="13" t="n">
        <v>0</v>
      </c>
      <c r="V384" s="13" t="n">
        <v>0</v>
      </c>
      <c r="W384" s="13" t="n">
        <v>0</v>
      </c>
      <c r="X384" s="13" t="n">
        <v>0</v>
      </c>
      <c r="Y384" s="13" t="n">
        <v>0</v>
      </c>
      <c r="Z384" s="13" t="n">
        <v>0</v>
      </c>
      <c r="AA384" s="13" t="n">
        <v>0</v>
      </c>
      <c r="AB384" s="13" t="n">
        <v>0</v>
      </c>
      <c r="AC384" s="13" t="n">
        <v>0</v>
      </c>
      <c r="AD384" s="13" t="n">
        <v>0</v>
      </c>
      <c r="AE384" s="13" t="n">
        <v>0</v>
      </c>
      <c r="AF384" s="13" t="n">
        <v>0</v>
      </c>
      <c r="AG384" s="13" t="n">
        <v>0</v>
      </c>
      <c r="AH384" s="13" t="n">
        <v>0</v>
      </c>
      <c r="AI384" s="13" t="n">
        <v>0</v>
      </c>
      <c r="AJ384" s="13" t="n">
        <v>0</v>
      </c>
      <c r="AK384" s="13" t="n">
        <v>0</v>
      </c>
      <c r="AL384" s="13" t="n">
        <v>0</v>
      </c>
      <c r="AM384" s="13" t="n">
        <v>0</v>
      </c>
      <c r="AN384" s="13" t="n">
        <v>0</v>
      </c>
      <c r="AO384" s="13" t="n">
        <v>0</v>
      </c>
      <c r="AP384" s="13" t="n">
        <v>0</v>
      </c>
      <c r="AQ384" s="13" t="n">
        <v>0</v>
      </c>
      <c r="AR384" s="13" t="n">
        <v>0</v>
      </c>
      <c r="AS384" s="13" t="n">
        <v>0</v>
      </c>
      <c r="AT384" s="13" t="n">
        <v>0</v>
      </c>
    </row>
    <row r="385" customFormat="false" ht="15" hidden="false" customHeight="true" outlineLevel="0" collapsed="false">
      <c r="A385" s="12" t="s">
        <v>1208</v>
      </c>
      <c r="B385" s="12" t="s">
        <v>1209</v>
      </c>
      <c r="C385" s="12" t="n">
        <v>1</v>
      </c>
      <c r="D385" s="12" t="s">
        <v>1210</v>
      </c>
      <c r="E385" s="13" t="n">
        <v>0</v>
      </c>
      <c r="F385" s="13" t="n">
        <v>0</v>
      </c>
      <c r="G385" s="13" t="n">
        <v>0</v>
      </c>
      <c r="H385" s="13" t="n">
        <v>0</v>
      </c>
      <c r="I385" s="13" t="n">
        <v>0</v>
      </c>
      <c r="J385" s="13" t="n">
        <v>0</v>
      </c>
      <c r="K385" s="13" t="n">
        <v>0</v>
      </c>
      <c r="L385" s="13" t="n">
        <v>0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0</v>
      </c>
      <c r="U385" s="13" t="n">
        <v>0</v>
      </c>
      <c r="V385" s="13" t="n">
        <v>0</v>
      </c>
      <c r="W385" s="13" t="n">
        <v>0</v>
      </c>
      <c r="X385" s="13" t="n">
        <v>0</v>
      </c>
      <c r="Y385" s="13" t="n">
        <v>0</v>
      </c>
      <c r="Z385" s="13" t="n">
        <v>0</v>
      </c>
      <c r="AA385" s="13" t="n">
        <v>0</v>
      </c>
      <c r="AB385" s="13" t="n">
        <v>0</v>
      </c>
      <c r="AC385" s="13" t="n">
        <v>0</v>
      </c>
      <c r="AD385" s="13" t="n">
        <v>0</v>
      </c>
      <c r="AE385" s="13" t="n">
        <v>0</v>
      </c>
      <c r="AF385" s="13" t="n">
        <v>0</v>
      </c>
      <c r="AG385" s="13" t="n">
        <v>0</v>
      </c>
      <c r="AH385" s="13" t="n">
        <v>0</v>
      </c>
      <c r="AI385" s="13" t="n">
        <v>0</v>
      </c>
      <c r="AJ385" s="13" t="n">
        <v>0</v>
      </c>
      <c r="AK385" s="13" t="n">
        <v>0</v>
      </c>
      <c r="AL385" s="13" t="n">
        <v>0</v>
      </c>
      <c r="AM385" s="13" t="n">
        <v>0</v>
      </c>
      <c r="AN385" s="13" t="n">
        <v>0</v>
      </c>
      <c r="AO385" s="13" t="n">
        <v>0</v>
      </c>
      <c r="AP385" s="13" t="n">
        <v>0</v>
      </c>
      <c r="AQ385" s="13" t="n">
        <v>0</v>
      </c>
      <c r="AR385" s="13" t="n">
        <v>0</v>
      </c>
      <c r="AS385" s="13" t="n">
        <v>6955.03746</v>
      </c>
      <c r="AT385" s="13" t="n">
        <v>7410.002424</v>
      </c>
    </row>
    <row r="386" customFormat="false" ht="15" hidden="false" customHeight="true" outlineLevel="0" collapsed="false">
      <c r="A386" s="12" t="s">
        <v>1211</v>
      </c>
      <c r="B386" s="12" t="s">
        <v>1212</v>
      </c>
      <c r="C386" s="12" t="n">
        <v>1</v>
      </c>
      <c r="D386" s="12" t="s">
        <v>1213</v>
      </c>
      <c r="E386" s="13" t="n">
        <v>0</v>
      </c>
      <c r="F386" s="13" t="n">
        <v>0</v>
      </c>
      <c r="G386" s="13" t="n">
        <v>0</v>
      </c>
      <c r="H386" s="13" t="n">
        <v>0</v>
      </c>
      <c r="I386" s="13" t="n">
        <v>0</v>
      </c>
      <c r="J386" s="13" t="n">
        <v>0</v>
      </c>
      <c r="K386" s="13" t="n">
        <v>0</v>
      </c>
      <c r="L386" s="13" t="n">
        <v>0</v>
      </c>
      <c r="M386" s="13" t="n">
        <v>0</v>
      </c>
      <c r="N386" s="13" t="n">
        <v>0</v>
      </c>
      <c r="O386" s="13" t="n">
        <v>0</v>
      </c>
      <c r="P386" s="13" t="n">
        <v>0</v>
      </c>
      <c r="Q386" s="13" t="n">
        <v>0</v>
      </c>
      <c r="R386" s="13" t="n">
        <v>0</v>
      </c>
      <c r="S386" s="13" t="n">
        <v>0</v>
      </c>
      <c r="T386" s="13" t="n">
        <v>0</v>
      </c>
      <c r="U386" s="13" t="n">
        <v>0</v>
      </c>
      <c r="V386" s="13" t="n">
        <v>0</v>
      </c>
      <c r="W386" s="13" t="n">
        <v>0</v>
      </c>
      <c r="X386" s="13" t="n">
        <v>0</v>
      </c>
      <c r="Y386" s="13" t="n">
        <v>0</v>
      </c>
      <c r="Z386" s="13" t="n">
        <v>0</v>
      </c>
      <c r="AA386" s="13" t="n">
        <v>0</v>
      </c>
      <c r="AB386" s="13" t="n">
        <v>0</v>
      </c>
      <c r="AC386" s="13" t="n">
        <v>0</v>
      </c>
      <c r="AD386" s="13" t="n">
        <v>0</v>
      </c>
      <c r="AE386" s="13" t="n">
        <v>0</v>
      </c>
      <c r="AF386" s="13" t="n">
        <v>0</v>
      </c>
      <c r="AG386" s="13" t="n">
        <v>0</v>
      </c>
      <c r="AH386" s="13" t="n">
        <v>0</v>
      </c>
      <c r="AI386" s="13" t="n">
        <v>0</v>
      </c>
      <c r="AJ386" s="13" t="n">
        <v>0</v>
      </c>
      <c r="AK386" s="13" t="n">
        <v>0</v>
      </c>
      <c r="AL386" s="13" t="n">
        <v>0</v>
      </c>
      <c r="AM386" s="13" t="n">
        <v>0</v>
      </c>
      <c r="AN386" s="13" t="n">
        <v>0</v>
      </c>
      <c r="AO386" s="13" t="n">
        <v>0</v>
      </c>
      <c r="AP386" s="13" t="n">
        <v>0</v>
      </c>
      <c r="AQ386" s="13" t="n">
        <v>0</v>
      </c>
      <c r="AR386" s="13" t="n">
        <v>0</v>
      </c>
      <c r="AS386" s="13" t="n">
        <v>0</v>
      </c>
      <c r="AT386" s="13" t="n">
        <v>0</v>
      </c>
    </row>
    <row r="387" customFormat="false" ht="15" hidden="false" customHeight="true" outlineLevel="0" collapsed="false">
      <c r="A387" s="12" t="s">
        <v>1214</v>
      </c>
      <c r="B387" s="12" t="s">
        <v>1215</v>
      </c>
      <c r="C387" s="12" t="n">
        <v>1</v>
      </c>
      <c r="D387" s="12" t="s">
        <v>1216</v>
      </c>
      <c r="E387" s="13" t="n">
        <v>0</v>
      </c>
      <c r="F387" s="13" t="n">
        <v>0</v>
      </c>
      <c r="G387" s="13" t="n">
        <v>0</v>
      </c>
      <c r="H387" s="13" t="n">
        <v>0</v>
      </c>
      <c r="I387" s="13" t="n">
        <v>0</v>
      </c>
      <c r="J387" s="13" t="n">
        <v>0</v>
      </c>
      <c r="K387" s="13" t="n">
        <v>0</v>
      </c>
      <c r="L387" s="13" t="n">
        <v>0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  <c r="X387" s="13" t="n">
        <v>0</v>
      </c>
      <c r="Y387" s="13" t="n">
        <v>0</v>
      </c>
      <c r="Z387" s="13" t="n">
        <v>0</v>
      </c>
      <c r="AA387" s="13" t="n">
        <v>0</v>
      </c>
      <c r="AB387" s="13" t="n">
        <v>0</v>
      </c>
      <c r="AC387" s="13" t="n">
        <v>0</v>
      </c>
      <c r="AD387" s="13" t="n">
        <v>0</v>
      </c>
      <c r="AE387" s="13" t="n">
        <v>0</v>
      </c>
      <c r="AF387" s="13" t="n">
        <v>0</v>
      </c>
      <c r="AG387" s="13" t="n">
        <v>0</v>
      </c>
      <c r="AH387" s="13" t="n">
        <v>0</v>
      </c>
      <c r="AI387" s="13" t="n">
        <v>0</v>
      </c>
      <c r="AJ387" s="13" t="n">
        <v>0</v>
      </c>
      <c r="AK387" s="13" t="n">
        <v>0</v>
      </c>
      <c r="AL387" s="13" t="n">
        <v>0</v>
      </c>
      <c r="AM387" s="13" t="n">
        <v>0</v>
      </c>
      <c r="AN387" s="13" t="n">
        <v>0</v>
      </c>
      <c r="AO387" s="13" t="n">
        <v>0</v>
      </c>
      <c r="AP387" s="13" t="n">
        <v>0</v>
      </c>
      <c r="AQ387" s="13" t="n">
        <v>1264.975978</v>
      </c>
      <c r="AR387" s="13" t="n">
        <v>2420.00167</v>
      </c>
      <c r="AS387" s="13" t="n">
        <v>10999.968156</v>
      </c>
      <c r="AT387" s="13" t="n">
        <v>10999.930616</v>
      </c>
    </row>
    <row r="388" customFormat="false" ht="15" hidden="false" customHeight="true" outlineLevel="0" collapsed="false">
      <c r="A388" s="12" t="s">
        <v>1217</v>
      </c>
      <c r="B388" s="12" t="s">
        <v>1218</v>
      </c>
      <c r="C388" s="12" t="n">
        <v>1</v>
      </c>
      <c r="D388" s="12" t="s">
        <v>1219</v>
      </c>
      <c r="E388" s="13" t="n">
        <v>802.520676</v>
      </c>
      <c r="F388" s="13" t="n">
        <v>802.537386</v>
      </c>
      <c r="G388" s="13" t="n">
        <v>802.567302</v>
      </c>
      <c r="H388" s="13" t="n">
        <v>802.541763</v>
      </c>
      <c r="I388" s="13" t="n">
        <v>802.41322</v>
      </c>
      <c r="J388" s="13" t="n">
        <v>802.465915</v>
      </c>
      <c r="K388" s="13" t="n">
        <v>802.545156</v>
      </c>
      <c r="L388" s="13" t="n">
        <v>802.473112</v>
      </c>
      <c r="M388" s="13" t="n">
        <v>802.534545</v>
      </c>
      <c r="N388" s="13" t="n">
        <v>802.571676</v>
      </c>
      <c r="O388" s="13" t="n">
        <v>802.576456</v>
      </c>
      <c r="P388" s="13" t="n">
        <v>802.434969</v>
      </c>
      <c r="Q388" s="13" t="n">
        <v>842.669244</v>
      </c>
      <c r="R388" s="13" t="n">
        <v>842.578047</v>
      </c>
      <c r="S388" s="13" t="n">
        <v>842.57307</v>
      </c>
      <c r="T388" s="13" t="n">
        <v>842.688</v>
      </c>
      <c r="U388" s="13" t="n">
        <v>0</v>
      </c>
      <c r="V388" s="13" t="n">
        <v>0</v>
      </c>
      <c r="W388" s="13" t="n">
        <v>0</v>
      </c>
      <c r="X388" s="13" t="n">
        <v>0</v>
      </c>
      <c r="Y388" s="13" t="n">
        <v>0</v>
      </c>
      <c r="Z388" s="13" t="n">
        <v>0</v>
      </c>
      <c r="AA388" s="13" t="n">
        <v>0</v>
      </c>
      <c r="AB388" s="13" t="n">
        <v>0</v>
      </c>
      <c r="AC388" s="13" t="n">
        <v>0</v>
      </c>
      <c r="AD388" s="13" t="n">
        <v>0</v>
      </c>
      <c r="AE388" s="13" t="n">
        <v>0</v>
      </c>
      <c r="AF388" s="13" t="n">
        <v>0</v>
      </c>
      <c r="AG388" s="13" t="n">
        <v>0</v>
      </c>
      <c r="AH388" s="13" t="n">
        <v>0</v>
      </c>
      <c r="AI388" s="13" t="n">
        <v>0</v>
      </c>
      <c r="AJ388" s="13" t="n">
        <v>0</v>
      </c>
      <c r="AK388" s="13" t="n">
        <v>0</v>
      </c>
      <c r="AL388" s="13" t="n">
        <v>0</v>
      </c>
      <c r="AM388" s="13" t="n">
        <v>0</v>
      </c>
      <c r="AN388" s="13" t="n">
        <v>0</v>
      </c>
      <c r="AO388" s="13" t="n">
        <v>0</v>
      </c>
      <c r="AP388" s="13" t="n">
        <v>0</v>
      </c>
      <c r="AQ388" s="13" t="n">
        <v>1299.923067</v>
      </c>
      <c r="AR388" s="13" t="n">
        <v>1430.072752</v>
      </c>
      <c r="AS388" s="13" t="n">
        <v>1429.954317</v>
      </c>
      <c r="AT388" s="13" t="n">
        <v>1430.055736</v>
      </c>
    </row>
    <row r="389" customFormat="false" ht="15" hidden="false" customHeight="true" outlineLevel="0" collapsed="false">
      <c r="A389" s="12" t="s">
        <v>1220</v>
      </c>
      <c r="B389" s="12" t="s">
        <v>1221</v>
      </c>
      <c r="C389" s="12" t="n">
        <v>1</v>
      </c>
      <c r="D389" s="12" t="s">
        <v>1222</v>
      </c>
      <c r="E389" s="13" t="n">
        <v>0</v>
      </c>
      <c r="F389" s="13" t="n">
        <v>0</v>
      </c>
      <c r="G389" s="13" t="n">
        <v>0</v>
      </c>
      <c r="H389" s="13" t="n">
        <v>0</v>
      </c>
      <c r="I389" s="13" t="n">
        <v>0</v>
      </c>
      <c r="J389" s="13" t="n">
        <v>0</v>
      </c>
      <c r="K389" s="13" t="n">
        <v>0</v>
      </c>
      <c r="L389" s="13" t="n">
        <v>0</v>
      </c>
      <c r="M389" s="13" t="n">
        <v>0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0</v>
      </c>
      <c r="V389" s="13" t="n">
        <v>0</v>
      </c>
      <c r="W389" s="13" t="n">
        <v>0</v>
      </c>
      <c r="X389" s="13" t="n">
        <v>0</v>
      </c>
      <c r="Y389" s="13" t="n">
        <v>0</v>
      </c>
      <c r="Z389" s="13" t="n">
        <v>0</v>
      </c>
      <c r="AA389" s="13" t="n">
        <v>0</v>
      </c>
      <c r="AB389" s="13" t="n">
        <v>0</v>
      </c>
      <c r="AC389" s="13" t="n">
        <v>0</v>
      </c>
      <c r="AD389" s="13" t="n">
        <v>0</v>
      </c>
      <c r="AE389" s="13" t="n">
        <v>0</v>
      </c>
      <c r="AF389" s="13" t="n">
        <v>0</v>
      </c>
      <c r="AG389" s="13" t="n">
        <v>0</v>
      </c>
      <c r="AH389" s="13" t="n">
        <v>0</v>
      </c>
      <c r="AI389" s="13" t="n">
        <v>0</v>
      </c>
      <c r="AJ389" s="13" t="n">
        <v>0</v>
      </c>
      <c r="AK389" s="13" t="n">
        <v>0</v>
      </c>
      <c r="AL389" s="13" t="n">
        <v>0</v>
      </c>
      <c r="AM389" s="13" t="n">
        <v>0</v>
      </c>
      <c r="AN389" s="13" t="n">
        <v>0</v>
      </c>
      <c r="AO389" s="13" t="n">
        <v>0</v>
      </c>
      <c r="AP389" s="13" t="n">
        <v>0</v>
      </c>
      <c r="AQ389" s="13" t="n">
        <v>0</v>
      </c>
      <c r="AR389" s="13" t="n">
        <v>0</v>
      </c>
      <c r="AS389" s="13" t="n">
        <v>0</v>
      </c>
      <c r="AT389" s="13" t="n">
        <v>1430.055736</v>
      </c>
    </row>
    <row r="390" customFormat="false" ht="15" hidden="false" customHeight="true" outlineLevel="0" collapsed="false">
      <c r="A390" s="12" t="s">
        <v>1223</v>
      </c>
      <c r="B390" s="12" t="s">
        <v>1224</v>
      </c>
      <c r="C390" s="12" t="n">
        <v>1</v>
      </c>
      <c r="D390" s="12" t="s">
        <v>1225</v>
      </c>
      <c r="E390" s="13" t="n">
        <v>0</v>
      </c>
      <c r="F390" s="13" t="n">
        <v>0</v>
      </c>
      <c r="G390" s="13" t="n">
        <v>0</v>
      </c>
      <c r="H390" s="13" t="n">
        <v>0</v>
      </c>
      <c r="I390" s="13" t="n">
        <v>0</v>
      </c>
      <c r="J390" s="13" t="n">
        <v>0</v>
      </c>
      <c r="K390" s="13" t="n">
        <v>0</v>
      </c>
      <c r="L390" s="13" t="n">
        <v>0</v>
      </c>
      <c r="M390" s="13" t="n">
        <v>0</v>
      </c>
      <c r="N390" s="13" t="n">
        <v>0</v>
      </c>
      <c r="O390" s="13" t="n">
        <v>0</v>
      </c>
      <c r="P390" s="13" t="n">
        <v>0</v>
      </c>
      <c r="Q390" s="13" t="n">
        <v>0</v>
      </c>
      <c r="R390" s="13" t="n">
        <v>0</v>
      </c>
      <c r="S390" s="13" t="n">
        <v>0</v>
      </c>
      <c r="T390" s="13" t="n">
        <v>0</v>
      </c>
      <c r="U390" s="13" t="n">
        <v>0</v>
      </c>
      <c r="V390" s="13" t="n">
        <v>0</v>
      </c>
      <c r="W390" s="13" t="n">
        <v>0</v>
      </c>
      <c r="X390" s="13" t="n">
        <v>0</v>
      </c>
      <c r="Y390" s="13" t="n">
        <v>0</v>
      </c>
      <c r="Z390" s="13" t="n">
        <v>0</v>
      </c>
      <c r="AA390" s="13" t="n">
        <v>0</v>
      </c>
      <c r="AB390" s="13" t="n">
        <v>0</v>
      </c>
      <c r="AC390" s="13" t="n">
        <v>0</v>
      </c>
      <c r="AD390" s="13" t="n">
        <v>0</v>
      </c>
      <c r="AE390" s="13" t="n">
        <v>0</v>
      </c>
      <c r="AF390" s="13" t="n">
        <v>0</v>
      </c>
      <c r="AG390" s="13" t="n">
        <v>0</v>
      </c>
      <c r="AH390" s="13" t="n">
        <v>0</v>
      </c>
      <c r="AI390" s="13" t="n">
        <v>0</v>
      </c>
      <c r="AJ390" s="13" t="n">
        <v>0</v>
      </c>
      <c r="AK390" s="13" t="n">
        <v>0</v>
      </c>
      <c r="AL390" s="13" t="n">
        <v>0</v>
      </c>
      <c r="AM390" s="13" t="n">
        <v>0</v>
      </c>
      <c r="AN390" s="13" t="n">
        <v>0</v>
      </c>
      <c r="AO390" s="13" t="n">
        <v>0</v>
      </c>
      <c r="AP390" s="13" t="n">
        <v>0</v>
      </c>
      <c r="AQ390" s="13" t="n">
        <v>910.072898</v>
      </c>
      <c r="AR390" s="13" t="n">
        <v>909.934662</v>
      </c>
      <c r="AS390" s="13" t="n">
        <v>700.004268</v>
      </c>
      <c r="AT390" s="13" t="n">
        <v>700.064</v>
      </c>
    </row>
    <row r="391" customFormat="false" ht="15" hidden="false" customHeight="true" outlineLevel="0" collapsed="false">
      <c r="A391" s="12" t="s">
        <v>1226</v>
      </c>
      <c r="B391" s="12" t="s">
        <v>1227</v>
      </c>
      <c r="C391" s="12" t="n">
        <v>1</v>
      </c>
      <c r="D391" s="12" t="s">
        <v>1228</v>
      </c>
      <c r="E391" s="13" t="n">
        <v>0</v>
      </c>
      <c r="F391" s="13" t="n">
        <v>0</v>
      </c>
      <c r="G391" s="13" t="n">
        <v>0</v>
      </c>
      <c r="H391" s="13" t="n">
        <v>0</v>
      </c>
      <c r="I391" s="13" t="n">
        <v>0</v>
      </c>
      <c r="J391" s="13" t="n">
        <v>0</v>
      </c>
      <c r="K391" s="13" t="n">
        <v>0</v>
      </c>
      <c r="L391" s="13" t="n">
        <v>0</v>
      </c>
      <c r="M391" s="13" t="n">
        <v>0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  <c r="V391" s="13" t="n">
        <v>0</v>
      </c>
      <c r="W391" s="13" t="n">
        <v>0</v>
      </c>
      <c r="X391" s="13" t="n">
        <v>0</v>
      </c>
      <c r="Y391" s="13" t="n">
        <v>0</v>
      </c>
      <c r="Z391" s="13" t="n">
        <v>0</v>
      </c>
      <c r="AA391" s="13" t="n">
        <v>0</v>
      </c>
      <c r="AB391" s="13" t="n">
        <v>0</v>
      </c>
      <c r="AC391" s="13" t="n">
        <v>0</v>
      </c>
      <c r="AD391" s="13" t="n">
        <v>0</v>
      </c>
      <c r="AE391" s="13" t="n">
        <v>0</v>
      </c>
      <c r="AF391" s="13" t="n">
        <v>0</v>
      </c>
      <c r="AG391" s="13" t="n">
        <v>0</v>
      </c>
      <c r="AH391" s="13" t="n">
        <v>0</v>
      </c>
      <c r="AI391" s="13" t="n">
        <v>0</v>
      </c>
      <c r="AJ391" s="13" t="n">
        <v>0</v>
      </c>
      <c r="AK391" s="13" t="n">
        <v>0</v>
      </c>
      <c r="AL391" s="13" t="n">
        <v>0</v>
      </c>
      <c r="AM391" s="13" t="n">
        <v>0</v>
      </c>
      <c r="AN391" s="13" t="n">
        <v>0</v>
      </c>
      <c r="AO391" s="13" t="n">
        <v>0</v>
      </c>
      <c r="AP391" s="13" t="n">
        <v>0</v>
      </c>
      <c r="AQ391" s="13" t="n">
        <v>0</v>
      </c>
      <c r="AR391" s="13" t="n">
        <v>0</v>
      </c>
      <c r="AS391" s="13" t="n">
        <v>0</v>
      </c>
      <c r="AT391" s="13" t="n">
        <v>0</v>
      </c>
    </row>
    <row r="392" customFormat="false" ht="15" hidden="false" customHeight="true" outlineLevel="0" collapsed="false">
      <c r="A392" s="12" t="s">
        <v>1229</v>
      </c>
      <c r="B392" s="12" t="s">
        <v>1230</v>
      </c>
      <c r="C392" s="12" t="n">
        <v>1</v>
      </c>
      <c r="D392" s="12" t="s">
        <v>1231</v>
      </c>
      <c r="E392" s="13" t="n">
        <v>0</v>
      </c>
      <c r="F392" s="13" t="n">
        <v>0</v>
      </c>
      <c r="G392" s="13" t="n">
        <v>0</v>
      </c>
      <c r="H392" s="13" t="n">
        <v>0</v>
      </c>
      <c r="I392" s="13" t="n">
        <v>0</v>
      </c>
      <c r="J392" s="13" t="n">
        <v>0</v>
      </c>
      <c r="K392" s="13" t="n">
        <v>0</v>
      </c>
      <c r="L392" s="13" t="n">
        <v>0</v>
      </c>
      <c r="M392" s="13" t="n">
        <v>0</v>
      </c>
      <c r="N392" s="13" t="n">
        <v>0</v>
      </c>
      <c r="O392" s="13" t="n">
        <v>0</v>
      </c>
      <c r="P392" s="13" t="n">
        <v>0</v>
      </c>
      <c r="Q392" s="13" t="n">
        <v>0</v>
      </c>
      <c r="R392" s="13" t="n">
        <v>0</v>
      </c>
      <c r="S392" s="13" t="n">
        <v>0</v>
      </c>
      <c r="T392" s="13" t="n">
        <v>0</v>
      </c>
      <c r="U392" s="13" t="n">
        <v>0</v>
      </c>
      <c r="V392" s="13" t="n">
        <v>0</v>
      </c>
      <c r="W392" s="13" t="n">
        <v>0</v>
      </c>
      <c r="X392" s="13" t="n">
        <v>0</v>
      </c>
      <c r="Y392" s="13" t="n">
        <v>0</v>
      </c>
      <c r="Z392" s="13" t="n">
        <v>0</v>
      </c>
      <c r="AA392" s="13" t="n">
        <v>0</v>
      </c>
      <c r="AB392" s="13" t="n">
        <v>1260.058358</v>
      </c>
      <c r="AC392" s="13" t="n">
        <v>1260.0324</v>
      </c>
      <c r="AD392" s="13" t="n">
        <v>1259.9261</v>
      </c>
      <c r="AE392" s="13" t="n">
        <v>1260.03276</v>
      </c>
      <c r="AF392" s="13" t="n">
        <v>1259.973</v>
      </c>
      <c r="AG392" s="13" t="n">
        <v>1259.96642</v>
      </c>
      <c r="AH392" s="13" t="n">
        <v>1260.0072</v>
      </c>
      <c r="AI392" s="13" t="n">
        <v>0</v>
      </c>
      <c r="AJ392" s="13" t="n">
        <v>0</v>
      </c>
      <c r="AK392" s="13" t="n">
        <v>0</v>
      </c>
      <c r="AL392" s="13" t="n">
        <v>0</v>
      </c>
      <c r="AM392" s="13" t="n">
        <v>0</v>
      </c>
      <c r="AN392" s="13" t="n">
        <v>0</v>
      </c>
      <c r="AO392" s="13" t="n">
        <v>0</v>
      </c>
      <c r="AP392" s="13" t="n">
        <v>0</v>
      </c>
      <c r="AQ392" s="13" t="n">
        <v>0</v>
      </c>
      <c r="AR392" s="13" t="n">
        <v>0</v>
      </c>
      <c r="AS392" s="13" t="n">
        <v>0</v>
      </c>
      <c r="AT392" s="13" t="n">
        <v>0</v>
      </c>
    </row>
    <row r="393" customFormat="false" ht="15" hidden="false" customHeight="true" outlineLevel="0" collapsed="false">
      <c r="A393" s="12" t="s">
        <v>1232</v>
      </c>
      <c r="B393" s="12" t="s">
        <v>1233</v>
      </c>
      <c r="C393" s="12" t="n">
        <v>1</v>
      </c>
      <c r="D393" s="12" t="s">
        <v>1234</v>
      </c>
      <c r="E393" s="13" t="n">
        <v>0</v>
      </c>
      <c r="F393" s="13" t="n">
        <v>0</v>
      </c>
      <c r="G393" s="13" t="n">
        <v>0</v>
      </c>
      <c r="H393" s="13" t="n">
        <v>0</v>
      </c>
      <c r="I393" s="13" t="n">
        <v>0</v>
      </c>
      <c r="J393" s="13" t="n">
        <v>0</v>
      </c>
      <c r="K393" s="13" t="n">
        <v>0</v>
      </c>
      <c r="L393" s="13" t="n">
        <v>0</v>
      </c>
      <c r="M393" s="13" t="n">
        <v>0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  <c r="V393" s="13" t="n">
        <v>0</v>
      </c>
      <c r="W393" s="13" t="n">
        <v>0</v>
      </c>
      <c r="X393" s="13" t="n">
        <v>0</v>
      </c>
      <c r="Y393" s="13" t="n">
        <v>0</v>
      </c>
      <c r="Z393" s="13" t="n">
        <v>0</v>
      </c>
      <c r="AA393" s="13" t="n">
        <v>0</v>
      </c>
      <c r="AB393" s="13" t="n">
        <v>0</v>
      </c>
      <c r="AC393" s="13" t="n">
        <v>0</v>
      </c>
      <c r="AD393" s="13" t="n">
        <v>0</v>
      </c>
      <c r="AE393" s="13" t="n">
        <v>0</v>
      </c>
      <c r="AF393" s="13" t="n">
        <v>0</v>
      </c>
      <c r="AG393" s="13" t="n">
        <v>0</v>
      </c>
      <c r="AH393" s="13" t="n">
        <v>0</v>
      </c>
      <c r="AI393" s="13" t="n">
        <v>0</v>
      </c>
      <c r="AJ393" s="13" t="n">
        <v>0</v>
      </c>
      <c r="AK393" s="13" t="n">
        <v>0</v>
      </c>
      <c r="AL393" s="13" t="n">
        <v>0</v>
      </c>
      <c r="AM393" s="13" t="n">
        <v>558.003186</v>
      </c>
      <c r="AN393" s="13" t="n">
        <v>558.021799</v>
      </c>
      <c r="AO393" s="13" t="n">
        <v>558.065274</v>
      </c>
      <c r="AP393" s="13" t="n">
        <v>500.94168</v>
      </c>
      <c r="AQ393" s="13" t="n">
        <v>501.028991</v>
      </c>
      <c r="AR393" s="13" t="n">
        <v>558.030106</v>
      </c>
      <c r="AS393" s="13" t="n">
        <v>558.064728</v>
      </c>
      <c r="AT393" s="13" t="n">
        <v>615.006224</v>
      </c>
    </row>
    <row r="394" customFormat="false" ht="15" hidden="false" customHeight="true" outlineLevel="0" collapsed="false">
      <c r="A394" s="12" t="s">
        <v>1235</v>
      </c>
      <c r="B394" s="12" t="s">
        <v>1236</v>
      </c>
      <c r="C394" s="12" t="n">
        <v>1</v>
      </c>
      <c r="D394" s="12" t="s">
        <v>1237</v>
      </c>
      <c r="E394" s="13" t="n">
        <v>5071.86306</v>
      </c>
      <c r="F394" s="13" t="n">
        <v>5392.88193</v>
      </c>
      <c r="G394" s="13" t="n">
        <v>5585.390574</v>
      </c>
      <c r="H394" s="13" t="n">
        <v>5585.322681</v>
      </c>
      <c r="I394" s="13" t="n">
        <v>5778.082156</v>
      </c>
      <c r="J394" s="13" t="n">
        <v>5328.67475</v>
      </c>
      <c r="K394" s="13" t="n">
        <v>6291.5268</v>
      </c>
      <c r="L394" s="13" t="n">
        <v>6612.532507</v>
      </c>
      <c r="M394" s="13" t="n">
        <v>6676.741935</v>
      </c>
      <c r="N394" s="13" t="n">
        <v>5007.671448</v>
      </c>
      <c r="O394" s="13" t="n">
        <v>5007.670979</v>
      </c>
      <c r="P394" s="13" t="n">
        <v>4814.94818</v>
      </c>
      <c r="Q394" s="13" t="n">
        <v>4622.318946</v>
      </c>
      <c r="R394" s="13" t="n">
        <v>4301.438709</v>
      </c>
      <c r="S394" s="13" t="n">
        <v>3980.471325</v>
      </c>
      <c r="T394" s="13" t="n">
        <v>3595.12832</v>
      </c>
      <c r="U394" s="13" t="n">
        <v>3659.462399</v>
      </c>
      <c r="V394" s="13" t="n">
        <v>3980.41878</v>
      </c>
      <c r="W394" s="13" t="n">
        <v>3980.334912</v>
      </c>
      <c r="X394" s="13" t="n">
        <v>3787.888396</v>
      </c>
      <c r="Y394" s="13" t="n">
        <v>3659.493912</v>
      </c>
      <c r="Z394" s="13" t="n">
        <v>4173.059088</v>
      </c>
      <c r="AA394" s="13" t="n">
        <v>4044.65562</v>
      </c>
      <c r="AB394" s="13" t="n">
        <v>3852.010744</v>
      </c>
      <c r="AC394" s="13" t="n">
        <v>3679.5924</v>
      </c>
      <c r="AD394" s="13" t="n">
        <v>4080.9534</v>
      </c>
      <c r="AE394" s="13" t="n">
        <v>4194.05364</v>
      </c>
      <c r="AF394" s="13" t="n">
        <v>0</v>
      </c>
      <c r="AG394" s="13" t="n">
        <v>0</v>
      </c>
      <c r="AH394" s="13" t="n">
        <v>0</v>
      </c>
      <c r="AI394" s="13" t="n">
        <v>0</v>
      </c>
      <c r="AJ394" s="13" t="n">
        <v>0</v>
      </c>
      <c r="AK394" s="13" t="n">
        <v>0</v>
      </c>
      <c r="AL394" s="13" t="n">
        <v>0</v>
      </c>
      <c r="AM394" s="13" t="n">
        <v>0</v>
      </c>
      <c r="AN394" s="13" t="n">
        <v>0</v>
      </c>
      <c r="AO394" s="13" t="n">
        <v>0</v>
      </c>
      <c r="AP394" s="13" t="n">
        <v>0</v>
      </c>
      <c r="AQ394" s="13" t="n">
        <v>0</v>
      </c>
      <c r="AR394" s="13" t="n">
        <v>0</v>
      </c>
      <c r="AS394" s="13" t="n">
        <v>0</v>
      </c>
      <c r="AT394" s="13" t="n">
        <v>0</v>
      </c>
    </row>
    <row r="395" customFormat="false" ht="15" hidden="false" customHeight="true" outlineLevel="0" collapsed="false">
      <c r="A395" s="12" t="s">
        <v>1238</v>
      </c>
      <c r="B395" s="12" t="s">
        <v>1239</v>
      </c>
      <c r="C395" s="12" t="n">
        <v>1</v>
      </c>
      <c r="D395" s="12" t="s">
        <v>1240</v>
      </c>
      <c r="E395" s="13" t="n">
        <v>4654.544796</v>
      </c>
      <c r="F395" s="13" t="n">
        <v>4868.591856</v>
      </c>
      <c r="G395" s="13" t="n">
        <v>5135.960125</v>
      </c>
      <c r="H395" s="13" t="n">
        <v>4387.01184</v>
      </c>
      <c r="I395" s="13" t="n">
        <v>4386.938003</v>
      </c>
      <c r="J395" s="13" t="n">
        <v>4386.961925</v>
      </c>
      <c r="K395" s="13" t="n">
        <v>3958.989132</v>
      </c>
      <c r="L395" s="13" t="n">
        <v>4386.975817</v>
      </c>
      <c r="M395" s="13" t="n">
        <v>4119.489315</v>
      </c>
      <c r="N395" s="13" t="n">
        <v>4119.4584</v>
      </c>
      <c r="O395" s="13" t="n">
        <v>4119.57126</v>
      </c>
      <c r="P395" s="13" t="n">
        <v>4119.436867</v>
      </c>
      <c r="Q395" s="13" t="n">
        <v>4325.461749</v>
      </c>
      <c r="R395" s="13" t="n">
        <v>4437.851223</v>
      </c>
      <c r="S395" s="13" t="n">
        <v>4213.19616</v>
      </c>
      <c r="T395" s="13" t="n">
        <v>4269.27872</v>
      </c>
      <c r="U395" s="13" t="n">
        <v>4213.052944</v>
      </c>
      <c r="V395" s="13" t="n">
        <v>4156.916868</v>
      </c>
      <c r="W395" s="13" t="n">
        <v>4156.96368</v>
      </c>
      <c r="X395" s="13" t="n">
        <v>3988.367674</v>
      </c>
      <c r="Y395" s="13" t="n">
        <v>3932.55815</v>
      </c>
      <c r="Z395" s="13" t="n">
        <v>3932.702752</v>
      </c>
      <c r="AA395" s="13" t="n">
        <v>3932.61021</v>
      </c>
      <c r="AB395" s="13" t="n">
        <v>3932.547636</v>
      </c>
      <c r="AC395" s="13" t="n">
        <v>4157.0936</v>
      </c>
      <c r="AD395" s="13" t="n">
        <v>4157.1197</v>
      </c>
      <c r="AE395" s="13" t="n">
        <v>4157.31204</v>
      </c>
      <c r="AF395" s="13" t="n">
        <v>3922.853</v>
      </c>
      <c r="AG395" s="13" t="n">
        <v>3922.89744</v>
      </c>
      <c r="AH395" s="13" t="n">
        <v>3922.7922</v>
      </c>
      <c r="AI395" s="13" t="n">
        <v>3922.9339</v>
      </c>
      <c r="AJ395" s="13" t="n">
        <v>3981.47679</v>
      </c>
      <c r="AK395" s="13" t="n">
        <v>3864.37425</v>
      </c>
      <c r="AL395" s="13" t="n">
        <v>3864.301561</v>
      </c>
      <c r="AM395" s="13" t="n">
        <v>3922.898138</v>
      </c>
      <c r="AN395" s="13" t="n">
        <v>3922.877062</v>
      </c>
      <c r="AO395" s="13" t="n">
        <v>4006.794882</v>
      </c>
      <c r="AP395" s="13" t="n">
        <v>3703.31016</v>
      </c>
      <c r="AQ395" s="13" t="n">
        <v>3763.964451</v>
      </c>
      <c r="AR395" s="13" t="n">
        <v>3763.940256</v>
      </c>
      <c r="AS395" s="13" t="n">
        <v>3763.994265</v>
      </c>
      <c r="AT395" s="13" t="n">
        <v>3824.799664</v>
      </c>
    </row>
    <row r="396" customFormat="false" ht="15" hidden="false" customHeight="true" outlineLevel="0" collapsed="false">
      <c r="A396" s="12" t="s">
        <v>1241</v>
      </c>
      <c r="B396" s="12" t="s">
        <v>1242</v>
      </c>
      <c r="C396" s="12" t="n">
        <v>1</v>
      </c>
      <c r="D396" s="12" t="s">
        <v>1243</v>
      </c>
      <c r="E396" s="13" t="n">
        <v>0</v>
      </c>
      <c r="F396" s="13" t="n">
        <v>0</v>
      </c>
      <c r="G396" s="13" t="n">
        <v>0</v>
      </c>
      <c r="H396" s="13" t="n">
        <v>0</v>
      </c>
      <c r="I396" s="13" t="n">
        <v>0</v>
      </c>
      <c r="J396" s="13" t="n">
        <v>0</v>
      </c>
      <c r="K396" s="13" t="n">
        <v>0</v>
      </c>
      <c r="L396" s="13" t="n">
        <v>0</v>
      </c>
      <c r="M396" s="13" t="n">
        <v>0</v>
      </c>
      <c r="N396" s="13" t="n">
        <v>0</v>
      </c>
      <c r="O396" s="13" t="n">
        <v>0</v>
      </c>
      <c r="P396" s="13" t="n">
        <v>0</v>
      </c>
      <c r="Q396" s="13" t="n">
        <v>0</v>
      </c>
      <c r="R396" s="13" t="n">
        <v>0</v>
      </c>
      <c r="S396" s="13" t="n">
        <v>0</v>
      </c>
      <c r="T396" s="13" t="n">
        <v>0</v>
      </c>
      <c r="U396" s="13" t="n">
        <v>0</v>
      </c>
      <c r="V396" s="13" t="n">
        <v>0</v>
      </c>
      <c r="W396" s="13" t="n">
        <v>0</v>
      </c>
      <c r="X396" s="13" t="n">
        <v>0</v>
      </c>
      <c r="Y396" s="13" t="n">
        <v>0</v>
      </c>
      <c r="Z396" s="13" t="n">
        <v>0</v>
      </c>
      <c r="AA396" s="13" t="n">
        <v>0</v>
      </c>
      <c r="AB396" s="13" t="n">
        <v>0</v>
      </c>
      <c r="AC396" s="13" t="n">
        <v>0</v>
      </c>
      <c r="AD396" s="13" t="n">
        <v>0</v>
      </c>
      <c r="AE396" s="13" t="n">
        <v>0</v>
      </c>
      <c r="AF396" s="13" t="n">
        <v>0</v>
      </c>
      <c r="AG396" s="13" t="n">
        <v>0</v>
      </c>
      <c r="AH396" s="13" t="n">
        <v>0</v>
      </c>
      <c r="AI396" s="13" t="n">
        <v>0</v>
      </c>
      <c r="AJ396" s="13" t="n">
        <v>0</v>
      </c>
      <c r="AK396" s="13" t="n">
        <v>0</v>
      </c>
      <c r="AL396" s="13" t="n">
        <v>12360.018548</v>
      </c>
      <c r="AM396" s="13" t="n">
        <v>19230.015122</v>
      </c>
      <c r="AN396" s="13" t="n">
        <v>23849.991959</v>
      </c>
      <c r="AO396" s="13" t="n">
        <v>27959.983958</v>
      </c>
      <c r="AP396" s="13" t="n">
        <v>32780.01528</v>
      </c>
      <c r="AQ396" s="13" t="n">
        <v>37377.994025</v>
      </c>
      <c r="AR396" s="13" t="n">
        <v>45847.935952</v>
      </c>
      <c r="AS396" s="13" t="n">
        <v>48774.060981</v>
      </c>
      <c r="AT396" s="13" t="n">
        <v>67187.942336</v>
      </c>
    </row>
    <row r="397" customFormat="false" ht="15" hidden="false" customHeight="true" outlineLevel="0" collapsed="false">
      <c r="A397" s="12" t="s">
        <v>1244</v>
      </c>
      <c r="B397" s="12" t="s">
        <v>1245</v>
      </c>
      <c r="C397" s="12" t="n">
        <v>1</v>
      </c>
      <c r="D397" s="12" t="s">
        <v>1246</v>
      </c>
      <c r="E397" s="13" t="n">
        <v>0</v>
      </c>
      <c r="F397" s="13" t="n">
        <v>0</v>
      </c>
      <c r="G397" s="13" t="n">
        <v>0</v>
      </c>
      <c r="H397" s="13" t="n">
        <v>0</v>
      </c>
      <c r="I397" s="13" t="n">
        <v>0</v>
      </c>
      <c r="J397" s="13" t="n">
        <v>0</v>
      </c>
      <c r="K397" s="13" t="n">
        <v>0</v>
      </c>
      <c r="L397" s="13" t="n">
        <v>0</v>
      </c>
      <c r="M397" s="13" t="n">
        <v>0</v>
      </c>
      <c r="N397" s="13" t="n">
        <v>0</v>
      </c>
      <c r="O397" s="13" t="n">
        <v>288.060246</v>
      </c>
      <c r="P397" s="13" t="n">
        <v>287.949466</v>
      </c>
      <c r="Q397" s="13" t="n">
        <v>1763.973882</v>
      </c>
      <c r="R397" s="13" t="n">
        <v>2735.942715</v>
      </c>
      <c r="S397" s="13" t="n">
        <v>2556.003465</v>
      </c>
      <c r="T397" s="13" t="n">
        <v>3023.97312</v>
      </c>
      <c r="U397" s="13" t="n">
        <v>3312.048302</v>
      </c>
      <c r="V397" s="13" t="n">
        <v>3599.97144</v>
      </c>
      <c r="W397" s="13" t="n">
        <v>3888.082944</v>
      </c>
      <c r="X397" s="13" t="n">
        <v>3779.956476</v>
      </c>
      <c r="Y397" s="13" t="n">
        <v>3959.923636</v>
      </c>
      <c r="Z397" s="13" t="n">
        <v>4176.066048</v>
      </c>
      <c r="AA397" s="13" t="n">
        <v>4212.00942</v>
      </c>
      <c r="AB397" s="13" t="n">
        <v>2159.926596</v>
      </c>
      <c r="AC397" s="13" t="n">
        <v>4127.1076</v>
      </c>
      <c r="AD397" s="13" t="n">
        <v>4164.7158</v>
      </c>
      <c r="AE397" s="13" t="n">
        <v>3526.78536</v>
      </c>
      <c r="AF397" s="13" t="n">
        <v>2588.8676</v>
      </c>
      <c r="AG397" s="13" t="n">
        <v>3564.3406</v>
      </c>
      <c r="AH397" s="13" t="n">
        <v>3639.5172</v>
      </c>
      <c r="AI397" s="13" t="n">
        <v>3827.0692</v>
      </c>
      <c r="AJ397" s="13" t="n">
        <v>3376.82763</v>
      </c>
      <c r="AK397" s="13" t="n">
        <v>3226.70205</v>
      </c>
      <c r="AL397" s="13" t="n">
        <v>3526.881969</v>
      </c>
      <c r="AM397" s="13" t="n">
        <v>3489.445959</v>
      </c>
      <c r="AN397" s="13" t="n">
        <v>3039.1777</v>
      </c>
      <c r="AO397" s="13" t="n">
        <v>3228.744656</v>
      </c>
      <c r="AP397" s="13" t="n">
        <v>3462.07128</v>
      </c>
      <c r="AQ397" s="13" t="n">
        <v>3617.657467</v>
      </c>
      <c r="AR397" s="13" t="n">
        <v>3034.168096</v>
      </c>
      <c r="AS397" s="13" t="n">
        <v>6912.974889</v>
      </c>
      <c r="AT397" s="13" t="n">
        <v>7394.951048</v>
      </c>
    </row>
    <row r="398" customFormat="false" ht="15" hidden="false" customHeight="true" outlineLevel="0" collapsed="false">
      <c r="A398" s="12" t="s">
        <v>1247</v>
      </c>
      <c r="B398" s="12" t="s">
        <v>1248</v>
      </c>
      <c r="C398" s="12" t="n">
        <v>1</v>
      </c>
      <c r="D398" s="12" t="s">
        <v>1249</v>
      </c>
      <c r="E398" s="13" t="n">
        <v>0</v>
      </c>
      <c r="F398" s="13" t="n">
        <v>0</v>
      </c>
      <c r="G398" s="13" t="n">
        <v>0</v>
      </c>
      <c r="H398" s="13" t="n">
        <v>0</v>
      </c>
      <c r="I398" s="13" t="n">
        <v>0</v>
      </c>
      <c r="J398" s="13" t="n">
        <v>0</v>
      </c>
      <c r="K398" s="13" t="n">
        <v>0</v>
      </c>
      <c r="L398" s="13" t="n">
        <v>0</v>
      </c>
      <c r="M398" s="13" t="n">
        <v>0</v>
      </c>
      <c r="N398" s="13" t="n">
        <v>0</v>
      </c>
      <c r="O398" s="13" t="n">
        <v>0</v>
      </c>
      <c r="P398" s="13" t="n">
        <v>0</v>
      </c>
      <c r="Q398" s="13" t="n">
        <v>0</v>
      </c>
      <c r="R398" s="13" t="n">
        <v>0</v>
      </c>
      <c r="S398" s="13" t="n">
        <v>0</v>
      </c>
      <c r="T398" s="13" t="n">
        <v>0</v>
      </c>
      <c r="U398" s="13" t="n">
        <v>0</v>
      </c>
      <c r="V398" s="13" t="n">
        <v>0</v>
      </c>
      <c r="W398" s="13" t="n">
        <v>0</v>
      </c>
      <c r="X398" s="13" t="n">
        <v>0</v>
      </c>
      <c r="Y398" s="13" t="n">
        <v>0</v>
      </c>
      <c r="Z398" s="13" t="n">
        <v>0</v>
      </c>
      <c r="AA398" s="13" t="n">
        <v>0</v>
      </c>
      <c r="AB398" s="13" t="n">
        <v>0</v>
      </c>
      <c r="AC398" s="13" t="n">
        <v>0</v>
      </c>
      <c r="AD398" s="13" t="n">
        <v>0</v>
      </c>
      <c r="AE398" s="13" t="n">
        <v>0</v>
      </c>
      <c r="AF398" s="13" t="n">
        <v>0</v>
      </c>
      <c r="AG398" s="13" t="n">
        <v>0</v>
      </c>
      <c r="AH398" s="13" t="n">
        <v>0</v>
      </c>
      <c r="AI398" s="13" t="n">
        <v>0</v>
      </c>
      <c r="AJ398" s="13" t="n">
        <v>3914.93556</v>
      </c>
      <c r="AK398" s="13" t="n">
        <v>4185.04485</v>
      </c>
      <c r="AL398" s="13" t="n">
        <v>3374.932644</v>
      </c>
      <c r="AM398" s="13" t="n">
        <v>4769.991732</v>
      </c>
      <c r="AN398" s="13" t="n">
        <v>3600.076827</v>
      </c>
      <c r="AO398" s="13" t="n">
        <v>4246.088858</v>
      </c>
      <c r="AP398" s="13" t="n">
        <v>6905.67864</v>
      </c>
      <c r="AQ398" s="13" t="n">
        <v>6065.764427</v>
      </c>
      <c r="AR398" s="13" t="n">
        <v>5319.267172</v>
      </c>
      <c r="AS398" s="13" t="n">
        <v>6159.137454</v>
      </c>
      <c r="AT398" s="13" t="n">
        <v>6719.039256</v>
      </c>
    </row>
    <row r="399" customFormat="false" ht="15" hidden="false" customHeight="true" outlineLevel="0" collapsed="false">
      <c r="A399" s="12" t="s">
        <v>1250</v>
      </c>
      <c r="B399" s="12" t="s">
        <v>1251</v>
      </c>
      <c r="C399" s="12" t="n">
        <v>1</v>
      </c>
      <c r="D399" s="12" t="s">
        <v>1252</v>
      </c>
      <c r="E399" s="13" t="n">
        <v>0</v>
      </c>
      <c r="F399" s="13" t="n">
        <v>0</v>
      </c>
      <c r="G399" s="13" t="n">
        <v>0</v>
      </c>
      <c r="H399" s="13" t="n">
        <v>0</v>
      </c>
      <c r="I399" s="13" t="n">
        <v>0</v>
      </c>
      <c r="J399" s="13" t="n">
        <v>0</v>
      </c>
      <c r="K399" s="13" t="n">
        <v>0</v>
      </c>
      <c r="L399" s="13" t="n">
        <v>0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0</v>
      </c>
      <c r="U399" s="13" t="n">
        <v>0</v>
      </c>
      <c r="V399" s="13" t="n">
        <v>0</v>
      </c>
      <c r="W399" s="13" t="n">
        <v>0</v>
      </c>
      <c r="X399" s="13" t="n">
        <v>0</v>
      </c>
      <c r="Y399" s="13" t="n">
        <v>0</v>
      </c>
      <c r="Z399" s="13" t="n">
        <v>0</v>
      </c>
      <c r="AA399" s="13" t="n">
        <v>0</v>
      </c>
      <c r="AB399" s="13" t="n">
        <v>0</v>
      </c>
      <c r="AC399" s="13" t="n">
        <v>0</v>
      </c>
      <c r="AD399" s="13" t="n">
        <v>0</v>
      </c>
      <c r="AE399" s="13" t="n">
        <v>0</v>
      </c>
      <c r="AF399" s="13" t="n">
        <v>0</v>
      </c>
      <c r="AG399" s="13" t="n">
        <v>0</v>
      </c>
      <c r="AH399" s="13" t="n">
        <v>0</v>
      </c>
      <c r="AI399" s="13" t="n">
        <v>0</v>
      </c>
      <c r="AJ399" s="13" t="n">
        <v>750.03336</v>
      </c>
      <c r="AK399" s="13" t="n">
        <v>749.9436</v>
      </c>
      <c r="AL399" s="13" t="n">
        <v>749.985032</v>
      </c>
      <c r="AM399" s="13" t="n">
        <v>0</v>
      </c>
      <c r="AN399" s="13" t="n">
        <v>0</v>
      </c>
      <c r="AO399" s="13" t="n">
        <v>0</v>
      </c>
      <c r="AP399" s="13" t="n">
        <v>0</v>
      </c>
      <c r="AQ399" s="13" t="n">
        <v>0</v>
      </c>
      <c r="AR399" s="13" t="n">
        <v>0</v>
      </c>
      <c r="AS399" s="13" t="n">
        <v>0</v>
      </c>
      <c r="AT399" s="13" t="n">
        <v>0</v>
      </c>
    </row>
    <row r="400" customFormat="false" ht="15" hidden="false" customHeight="true" outlineLevel="0" collapsed="false">
      <c r="A400" s="12" t="s">
        <v>1253</v>
      </c>
      <c r="B400" s="12" t="s">
        <v>1254</v>
      </c>
      <c r="C400" s="12" t="n">
        <v>1</v>
      </c>
      <c r="D400" s="12" t="s">
        <v>1255</v>
      </c>
      <c r="E400" s="13" t="n">
        <v>0</v>
      </c>
      <c r="F400" s="13" t="n">
        <v>0</v>
      </c>
      <c r="G400" s="13" t="n">
        <v>0</v>
      </c>
      <c r="H400" s="13" t="n">
        <v>0</v>
      </c>
      <c r="I400" s="13" t="n">
        <v>0</v>
      </c>
      <c r="J400" s="13" t="n">
        <v>0</v>
      </c>
      <c r="K400" s="13" t="n">
        <v>0</v>
      </c>
      <c r="L400" s="13" t="n">
        <v>0</v>
      </c>
      <c r="M400" s="13" t="n">
        <v>0</v>
      </c>
      <c r="N400" s="13" t="n">
        <v>0</v>
      </c>
      <c r="O400" s="13" t="n">
        <v>0</v>
      </c>
      <c r="P400" s="13" t="n">
        <v>0</v>
      </c>
      <c r="Q400" s="13" t="n">
        <v>0</v>
      </c>
      <c r="R400" s="13" t="n">
        <v>0</v>
      </c>
      <c r="S400" s="13" t="n">
        <v>0</v>
      </c>
      <c r="T400" s="13" t="n">
        <v>0</v>
      </c>
      <c r="U400" s="13" t="n">
        <v>0</v>
      </c>
      <c r="V400" s="13" t="n">
        <v>0</v>
      </c>
      <c r="W400" s="13" t="n">
        <v>0</v>
      </c>
      <c r="X400" s="13" t="n">
        <v>0</v>
      </c>
      <c r="Y400" s="13" t="n">
        <v>0</v>
      </c>
      <c r="Z400" s="13" t="n">
        <v>0</v>
      </c>
      <c r="AA400" s="13" t="n">
        <v>0</v>
      </c>
      <c r="AB400" s="13" t="n">
        <v>0</v>
      </c>
      <c r="AC400" s="13" t="n">
        <v>0</v>
      </c>
      <c r="AD400" s="13" t="n">
        <v>0</v>
      </c>
      <c r="AE400" s="13" t="n">
        <v>0</v>
      </c>
      <c r="AF400" s="13" t="n">
        <v>0</v>
      </c>
      <c r="AG400" s="13" t="n">
        <v>0</v>
      </c>
      <c r="AH400" s="13" t="n">
        <v>0</v>
      </c>
      <c r="AI400" s="13" t="n">
        <v>0</v>
      </c>
      <c r="AJ400" s="13" t="n">
        <v>0</v>
      </c>
      <c r="AK400" s="13" t="n">
        <v>0</v>
      </c>
      <c r="AL400" s="13" t="n">
        <v>0</v>
      </c>
      <c r="AM400" s="13" t="n">
        <v>0</v>
      </c>
      <c r="AN400" s="13" t="n">
        <v>0</v>
      </c>
      <c r="AO400" s="13" t="n">
        <v>799.94528</v>
      </c>
      <c r="AP400" s="13" t="n">
        <v>799.98816</v>
      </c>
      <c r="AQ400" s="13" t="n">
        <v>799.980514</v>
      </c>
      <c r="AR400" s="13" t="n">
        <v>799.94256</v>
      </c>
      <c r="AS400" s="13" t="n">
        <v>800.054334</v>
      </c>
      <c r="AT400" s="13" t="n">
        <v>799.998136</v>
      </c>
    </row>
    <row r="401" customFormat="false" ht="15" hidden="false" customHeight="true" outlineLevel="0" collapsed="false">
      <c r="A401" s="12" t="s">
        <v>1256</v>
      </c>
      <c r="B401" s="12" t="s">
        <v>1257</v>
      </c>
      <c r="C401" s="12" t="n">
        <v>1</v>
      </c>
      <c r="D401" s="12" t="s">
        <v>1258</v>
      </c>
      <c r="E401" s="13" t="n">
        <v>0</v>
      </c>
      <c r="F401" s="13" t="n">
        <v>0</v>
      </c>
      <c r="G401" s="13" t="n">
        <v>0</v>
      </c>
      <c r="H401" s="13" t="n">
        <v>0</v>
      </c>
      <c r="I401" s="13" t="n">
        <v>0</v>
      </c>
      <c r="J401" s="13" t="n">
        <v>0</v>
      </c>
      <c r="K401" s="13" t="n">
        <v>0</v>
      </c>
      <c r="L401" s="13" t="n">
        <v>0</v>
      </c>
      <c r="M401" s="13" t="n">
        <v>0</v>
      </c>
      <c r="N401" s="13" t="n">
        <v>10016.065608</v>
      </c>
      <c r="O401" s="13" t="n">
        <v>10144.05705</v>
      </c>
      <c r="P401" s="13" t="n">
        <v>8768.078158</v>
      </c>
      <c r="Q401" s="13" t="n">
        <v>8447.982372</v>
      </c>
      <c r="R401" s="13" t="n">
        <v>8736.042015</v>
      </c>
      <c r="S401" s="13" t="n">
        <v>8575.91844</v>
      </c>
      <c r="T401" s="13" t="n">
        <v>8544.00512</v>
      </c>
      <c r="U401" s="13" t="n">
        <v>8895.937251</v>
      </c>
      <c r="V401" s="13" t="n">
        <v>14816.074884</v>
      </c>
      <c r="W401" s="13" t="n">
        <v>14527.997424</v>
      </c>
      <c r="X401" s="13" t="n">
        <v>13856.07275</v>
      </c>
      <c r="Y401" s="13" t="n">
        <v>21439.972348</v>
      </c>
      <c r="Z401" s="13" t="n">
        <v>9088.03544</v>
      </c>
      <c r="AA401" s="13" t="n">
        <v>11455.97988</v>
      </c>
      <c r="AB401" s="13" t="n">
        <v>10623.989708</v>
      </c>
      <c r="AC401" s="13" t="n">
        <v>10772.0052</v>
      </c>
      <c r="AD401" s="13" t="n">
        <v>10605.3874</v>
      </c>
      <c r="AE401" s="13" t="n">
        <v>17952.55812</v>
      </c>
      <c r="AF401" s="13" t="n">
        <v>5869.6924</v>
      </c>
      <c r="AG401" s="13" t="n">
        <v>12860.57316</v>
      </c>
      <c r="AH401" s="13" t="n">
        <v>1667.5455</v>
      </c>
      <c r="AI401" s="13" t="n">
        <v>1800.94057</v>
      </c>
      <c r="AJ401" s="13" t="n">
        <v>2167.7157</v>
      </c>
      <c r="AK401" s="13" t="n">
        <v>2134.44075</v>
      </c>
      <c r="AL401" s="13" t="n">
        <v>2101.136848</v>
      </c>
      <c r="AM401" s="13" t="n">
        <v>1500.665373</v>
      </c>
      <c r="AN401" s="13" t="n">
        <v>1583.969064</v>
      </c>
      <c r="AO401" s="13" t="n">
        <v>2213.124474</v>
      </c>
      <c r="AP401" s="13" t="n">
        <v>2074.86144</v>
      </c>
      <c r="AQ401" s="13" t="n">
        <v>2005.564548</v>
      </c>
      <c r="AR401" s="13" t="n">
        <v>1901.968692</v>
      </c>
      <c r="AS401" s="13" t="n">
        <v>1832.751036</v>
      </c>
      <c r="AT401" s="13" t="n">
        <v>1832.767552</v>
      </c>
    </row>
    <row r="402" customFormat="false" ht="15" hidden="false" customHeight="true" outlineLevel="0" collapsed="false">
      <c r="A402" s="12" t="s">
        <v>1259</v>
      </c>
      <c r="B402" s="12" t="s">
        <v>1260</v>
      </c>
      <c r="C402" s="12" t="n">
        <v>1</v>
      </c>
      <c r="D402" s="12" t="s">
        <v>1261</v>
      </c>
      <c r="E402" s="13" t="n">
        <v>0</v>
      </c>
      <c r="F402" s="13" t="n">
        <v>0</v>
      </c>
      <c r="G402" s="13" t="n">
        <v>0</v>
      </c>
      <c r="H402" s="13" t="n">
        <v>0</v>
      </c>
      <c r="I402" s="13" t="n">
        <v>0</v>
      </c>
      <c r="J402" s="13" t="n">
        <v>0</v>
      </c>
      <c r="K402" s="13" t="n">
        <v>0</v>
      </c>
      <c r="L402" s="13" t="n">
        <v>0</v>
      </c>
      <c r="M402" s="13" t="n">
        <v>0</v>
      </c>
      <c r="N402" s="13" t="n">
        <v>0</v>
      </c>
      <c r="O402" s="13" t="n">
        <v>0</v>
      </c>
      <c r="P402" s="13" t="n">
        <v>0</v>
      </c>
      <c r="Q402" s="13" t="n">
        <v>0</v>
      </c>
      <c r="R402" s="13" t="n">
        <v>0</v>
      </c>
      <c r="S402" s="13" t="n">
        <v>0</v>
      </c>
      <c r="T402" s="13" t="n">
        <v>0</v>
      </c>
      <c r="U402" s="13" t="n">
        <v>0</v>
      </c>
      <c r="V402" s="13" t="n">
        <v>0</v>
      </c>
      <c r="W402" s="13" t="n">
        <v>0</v>
      </c>
      <c r="X402" s="13" t="n">
        <v>0</v>
      </c>
      <c r="Y402" s="13" t="n">
        <v>0</v>
      </c>
      <c r="Z402" s="13" t="n">
        <v>0</v>
      </c>
      <c r="AA402" s="13" t="n">
        <v>0</v>
      </c>
      <c r="AB402" s="13" t="n">
        <v>0</v>
      </c>
      <c r="AC402" s="13" t="n">
        <v>750.0636</v>
      </c>
      <c r="AD402" s="13" t="n">
        <v>749.9609</v>
      </c>
      <c r="AE402" s="13" t="n">
        <v>749.93688</v>
      </c>
      <c r="AF402" s="13" t="n">
        <v>749.914</v>
      </c>
      <c r="AG402" s="13" t="n">
        <v>749.92028</v>
      </c>
      <c r="AH402" s="13" t="n">
        <v>0</v>
      </c>
      <c r="AI402" s="13" t="n">
        <v>0</v>
      </c>
      <c r="AJ402" s="13" t="n">
        <v>0</v>
      </c>
      <c r="AK402" s="13" t="n">
        <v>0</v>
      </c>
      <c r="AL402" s="13" t="n">
        <v>0</v>
      </c>
      <c r="AM402" s="13" t="n">
        <v>0</v>
      </c>
      <c r="AN402" s="13" t="n">
        <v>0</v>
      </c>
      <c r="AO402" s="13" t="n">
        <v>0</v>
      </c>
      <c r="AP402" s="13" t="n">
        <v>0</v>
      </c>
      <c r="AQ402" s="13" t="n">
        <v>0</v>
      </c>
      <c r="AR402" s="13" t="n">
        <v>0</v>
      </c>
      <c r="AS402" s="13" t="n">
        <v>0</v>
      </c>
      <c r="AT402" s="13" t="n">
        <v>0</v>
      </c>
    </row>
    <row r="403" customFormat="false" ht="15" hidden="false" customHeight="true" outlineLevel="0" collapsed="false">
      <c r="A403" s="12" t="s">
        <v>1262</v>
      </c>
      <c r="B403" s="12" t="s">
        <v>1263</v>
      </c>
      <c r="C403" s="12" t="n">
        <v>1</v>
      </c>
      <c r="D403" s="12" t="s">
        <v>1264</v>
      </c>
      <c r="E403" s="13" t="n">
        <v>0</v>
      </c>
      <c r="F403" s="13" t="n">
        <v>0</v>
      </c>
      <c r="G403" s="13" t="n">
        <v>0</v>
      </c>
      <c r="H403" s="13" t="n">
        <v>0</v>
      </c>
      <c r="I403" s="13" t="n">
        <v>0</v>
      </c>
      <c r="J403" s="13" t="n">
        <v>0</v>
      </c>
      <c r="K403" s="13" t="n">
        <v>0</v>
      </c>
      <c r="L403" s="13" t="n">
        <v>0</v>
      </c>
      <c r="M403" s="13" t="n">
        <v>0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  <c r="V403" s="13" t="n">
        <v>0</v>
      </c>
      <c r="W403" s="13" t="n">
        <v>0</v>
      </c>
      <c r="X403" s="13" t="n">
        <v>0</v>
      </c>
      <c r="Y403" s="13" t="n">
        <v>0</v>
      </c>
      <c r="Z403" s="13" t="n">
        <v>0</v>
      </c>
      <c r="AA403" s="13" t="n">
        <v>0</v>
      </c>
      <c r="AB403" s="13" t="n">
        <v>0</v>
      </c>
      <c r="AC403" s="13" t="n">
        <v>0</v>
      </c>
      <c r="AD403" s="13" t="n">
        <v>0</v>
      </c>
      <c r="AE403" s="13" t="n">
        <v>0</v>
      </c>
      <c r="AF403" s="13" t="n">
        <v>0</v>
      </c>
      <c r="AG403" s="13" t="n">
        <v>0</v>
      </c>
      <c r="AH403" s="13" t="n">
        <v>0</v>
      </c>
      <c r="AI403" s="13" t="n">
        <v>0</v>
      </c>
      <c r="AJ403" s="13" t="n">
        <v>0</v>
      </c>
      <c r="AK403" s="13" t="n">
        <v>0</v>
      </c>
      <c r="AL403" s="13" t="n">
        <v>0</v>
      </c>
      <c r="AM403" s="13" t="n">
        <v>0</v>
      </c>
      <c r="AN403" s="13" t="n">
        <v>0</v>
      </c>
      <c r="AO403" s="13" t="n">
        <v>0</v>
      </c>
      <c r="AP403" s="13" t="n">
        <v>0</v>
      </c>
      <c r="AQ403" s="13" t="n">
        <v>0</v>
      </c>
      <c r="AR403" s="13" t="n">
        <v>0</v>
      </c>
      <c r="AS403" s="13" t="n">
        <v>0</v>
      </c>
      <c r="AT403" s="13" t="n">
        <v>13857.941896</v>
      </c>
    </row>
    <row r="404" customFormat="false" ht="15" hidden="false" customHeight="true" outlineLevel="0" collapsed="false">
      <c r="A404" s="12" t="s">
        <v>1265</v>
      </c>
      <c r="B404" s="12" t="s">
        <v>1266</v>
      </c>
      <c r="C404" s="12" t="n">
        <v>1</v>
      </c>
      <c r="D404" s="12" t="s">
        <v>1267</v>
      </c>
      <c r="E404" s="13" t="n">
        <v>0</v>
      </c>
      <c r="F404" s="13" t="n">
        <v>0</v>
      </c>
      <c r="G404" s="13" t="n">
        <v>0</v>
      </c>
      <c r="H404" s="13" t="n">
        <v>0</v>
      </c>
      <c r="I404" s="13" t="n">
        <v>0</v>
      </c>
      <c r="J404" s="13" t="n">
        <v>0</v>
      </c>
      <c r="K404" s="13" t="n">
        <v>0</v>
      </c>
      <c r="L404" s="13" t="n">
        <v>0</v>
      </c>
      <c r="M404" s="13" t="n">
        <v>0</v>
      </c>
      <c r="N404" s="13" t="n">
        <v>0</v>
      </c>
      <c r="O404" s="13" t="n">
        <v>0</v>
      </c>
      <c r="P404" s="13" t="n">
        <v>0</v>
      </c>
      <c r="Q404" s="13" t="n">
        <v>0</v>
      </c>
      <c r="R404" s="13" t="n">
        <v>0</v>
      </c>
      <c r="S404" s="13" t="n">
        <v>0</v>
      </c>
      <c r="T404" s="13" t="n">
        <v>0</v>
      </c>
      <c r="U404" s="13" t="n">
        <v>0</v>
      </c>
      <c r="V404" s="13" t="n">
        <v>0</v>
      </c>
      <c r="W404" s="13" t="n">
        <v>0</v>
      </c>
      <c r="X404" s="13" t="n">
        <v>0</v>
      </c>
      <c r="Y404" s="13" t="n">
        <v>0</v>
      </c>
      <c r="Z404" s="13" t="n">
        <v>0</v>
      </c>
      <c r="AA404" s="13" t="n">
        <v>0</v>
      </c>
      <c r="AB404" s="13" t="n">
        <v>0</v>
      </c>
      <c r="AC404" s="13" t="n">
        <v>0</v>
      </c>
      <c r="AD404" s="13" t="n">
        <v>0</v>
      </c>
      <c r="AE404" s="13" t="n">
        <v>0</v>
      </c>
      <c r="AF404" s="13" t="n">
        <v>0</v>
      </c>
      <c r="AG404" s="13" t="n">
        <v>0</v>
      </c>
      <c r="AH404" s="13" t="n">
        <v>0</v>
      </c>
      <c r="AI404" s="13" t="n">
        <v>1350.00054</v>
      </c>
      <c r="AJ404" s="13" t="n">
        <v>1350.02277</v>
      </c>
      <c r="AK404" s="13" t="n">
        <v>1350.00855</v>
      </c>
      <c r="AL404" s="13" t="n">
        <v>1350.04673</v>
      </c>
      <c r="AM404" s="13" t="n">
        <v>1260.001277</v>
      </c>
      <c r="AN404" s="13" t="n">
        <v>1260.089831</v>
      </c>
      <c r="AO404" s="13" t="n">
        <v>1259.913816</v>
      </c>
      <c r="AP404" s="13" t="n">
        <v>1306.45176</v>
      </c>
      <c r="AQ404" s="13" t="n">
        <v>1306.441695</v>
      </c>
      <c r="AR404" s="13" t="n">
        <v>1306.397422</v>
      </c>
      <c r="AS404" s="13" t="n">
        <v>1306.536156</v>
      </c>
      <c r="AT404" s="13" t="n">
        <v>1399.777968</v>
      </c>
    </row>
    <row r="405" customFormat="false" ht="15" hidden="false" customHeight="true" outlineLevel="0" collapsed="false">
      <c r="A405" s="12" t="s">
        <v>1268</v>
      </c>
      <c r="B405" s="12" t="s">
        <v>1269</v>
      </c>
      <c r="C405" s="12" t="n">
        <v>1</v>
      </c>
      <c r="D405" s="12" t="s">
        <v>1270</v>
      </c>
      <c r="E405" s="13" t="n">
        <v>0</v>
      </c>
      <c r="F405" s="13" t="n">
        <v>0</v>
      </c>
      <c r="G405" s="13" t="n">
        <v>0</v>
      </c>
      <c r="H405" s="13" t="n">
        <v>0</v>
      </c>
      <c r="I405" s="13" t="n">
        <v>0</v>
      </c>
      <c r="J405" s="13" t="n">
        <v>0</v>
      </c>
      <c r="K405" s="13" t="n">
        <v>0</v>
      </c>
      <c r="L405" s="13" t="n">
        <v>0</v>
      </c>
      <c r="M405" s="13" t="n">
        <v>0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3342.50424</v>
      </c>
      <c r="T405" s="13" t="n">
        <v>3465.06496</v>
      </c>
      <c r="U405" s="13" t="n">
        <v>3464.985108</v>
      </c>
      <c r="V405" s="13" t="n">
        <v>3307.588908</v>
      </c>
      <c r="W405" s="13" t="n">
        <v>3360.07168</v>
      </c>
      <c r="X405" s="13" t="n">
        <v>3412.510282</v>
      </c>
      <c r="Y405" s="13" t="n">
        <v>3237.59293</v>
      </c>
      <c r="Z405" s="13" t="n">
        <v>3220.053232</v>
      </c>
      <c r="AA405" s="13" t="n">
        <v>3219.92793</v>
      </c>
      <c r="AB405" s="13" t="n">
        <v>3255.066444</v>
      </c>
      <c r="AC405" s="13" t="n">
        <v>3483.7528</v>
      </c>
      <c r="AD405" s="13" t="n">
        <v>3556.8225</v>
      </c>
      <c r="AE405" s="13" t="n">
        <v>3502.08684</v>
      </c>
      <c r="AF405" s="13" t="n">
        <v>3465.66</v>
      </c>
      <c r="AG405" s="13" t="n">
        <v>3483.86794</v>
      </c>
      <c r="AH405" s="13" t="n">
        <v>3538.48245</v>
      </c>
      <c r="AI405" s="13" t="n">
        <v>3483.83598</v>
      </c>
      <c r="AJ405" s="13" t="n">
        <v>3574.9602</v>
      </c>
      <c r="AK405" s="13" t="n">
        <v>3575.0736</v>
      </c>
      <c r="AL405" s="13" t="n">
        <v>3648.073067</v>
      </c>
      <c r="AM405" s="13" t="n">
        <v>3793.944739</v>
      </c>
      <c r="AN405" s="13" t="n">
        <v>3921.618231</v>
      </c>
      <c r="AO405" s="13" t="n">
        <v>4311.429216</v>
      </c>
      <c r="AP405" s="13" t="n">
        <v>4349.3748</v>
      </c>
      <c r="AQ405" s="13" t="n">
        <v>4538.413672</v>
      </c>
      <c r="AR405" s="13" t="n">
        <v>4500.55403</v>
      </c>
      <c r="AS405" s="13" t="n">
        <v>4595.206059</v>
      </c>
      <c r="AT405" s="13" t="n">
        <v>5849.384752</v>
      </c>
    </row>
    <row r="406" customFormat="false" ht="15" hidden="false" customHeight="true" outlineLevel="0" collapsed="false">
      <c r="A406" s="12" t="s">
        <v>1271</v>
      </c>
      <c r="B406" s="12" t="s">
        <v>1272</v>
      </c>
      <c r="C406" s="12" t="n">
        <v>1</v>
      </c>
      <c r="D406" s="12" t="s">
        <v>1273</v>
      </c>
      <c r="E406" s="13" t="n">
        <v>0</v>
      </c>
      <c r="F406" s="13" t="n">
        <v>0</v>
      </c>
      <c r="G406" s="13" t="n">
        <v>0</v>
      </c>
      <c r="H406" s="13" t="n">
        <v>0</v>
      </c>
      <c r="I406" s="13" t="n">
        <v>0</v>
      </c>
      <c r="J406" s="13" t="n">
        <v>0</v>
      </c>
      <c r="K406" s="13" t="n">
        <v>0</v>
      </c>
      <c r="L406" s="13" t="n">
        <v>0</v>
      </c>
      <c r="M406" s="13" t="n">
        <v>0</v>
      </c>
      <c r="N406" s="13" t="n">
        <v>0</v>
      </c>
      <c r="O406" s="13" t="n">
        <v>0</v>
      </c>
      <c r="P406" s="13" t="n">
        <v>0</v>
      </c>
      <c r="Q406" s="13" t="n">
        <v>0</v>
      </c>
      <c r="R406" s="13" t="n">
        <v>0</v>
      </c>
      <c r="S406" s="13" t="n">
        <v>0</v>
      </c>
      <c r="T406" s="13" t="n">
        <v>0</v>
      </c>
      <c r="U406" s="13" t="n">
        <v>0</v>
      </c>
      <c r="V406" s="13" t="n">
        <v>0</v>
      </c>
      <c r="W406" s="13" t="n">
        <v>0</v>
      </c>
      <c r="X406" s="13" t="n">
        <v>0</v>
      </c>
      <c r="Y406" s="13" t="n">
        <v>0</v>
      </c>
      <c r="Z406" s="13" t="n">
        <v>0</v>
      </c>
      <c r="AA406" s="13" t="n">
        <v>0</v>
      </c>
      <c r="AB406" s="13" t="n">
        <v>0</v>
      </c>
      <c r="AC406" s="13" t="n">
        <v>0</v>
      </c>
      <c r="AD406" s="13" t="n">
        <v>0</v>
      </c>
      <c r="AE406" s="13" t="n">
        <v>0</v>
      </c>
      <c r="AF406" s="13" t="n">
        <v>0</v>
      </c>
      <c r="AG406" s="13" t="n">
        <v>0</v>
      </c>
      <c r="AH406" s="13" t="n">
        <v>0</v>
      </c>
      <c r="AI406" s="13" t="n">
        <v>0</v>
      </c>
      <c r="AJ406" s="13" t="n">
        <v>0</v>
      </c>
      <c r="AK406" s="13" t="n">
        <v>0</v>
      </c>
      <c r="AL406" s="13" t="n">
        <v>0</v>
      </c>
      <c r="AM406" s="13" t="n">
        <v>0</v>
      </c>
      <c r="AN406" s="13" t="n">
        <v>0</v>
      </c>
      <c r="AO406" s="13" t="n">
        <v>0</v>
      </c>
      <c r="AP406" s="13" t="n">
        <v>4700.01672</v>
      </c>
      <c r="AQ406" s="13" t="n">
        <v>4900.016453</v>
      </c>
      <c r="AR406" s="13" t="n">
        <v>4740.01052</v>
      </c>
      <c r="AS406" s="13" t="n">
        <v>4820.059062</v>
      </c>
      <c r="AT406" s="13" t="n">
        <v>4780.036992</v>
      </c>
    </row>
    <row r="407" customFormat="false" ht="15" hidden="false" customHeight="true" outlineLevel="0" collapsed="false">
      <c r="A407" s="12" t="s">
        <v>1274</v>
      </c>
      <c r="B407" s="12" t="s">
        <v>1275</v>
      </c>
      <c r="C407" s="12" t="n">
        <v>1</v>
      </c>
      <c r="D407" s="12" t="s">
        <v>1276</v>
      </c>
      <c r="E407" s="13" t="n">
        <v>0</v>
      </c>
      <c r="F407" s="13" t="n">
        <v>0</v>
      </c>
      <c r="G407" s="13" t="n">
        <v>0</v>
      </c>
      <c r="H407" s="13" t="n">
        <v>0</v>
      </c>
      <c r="I407" s="13" t="n">
        <v>0</v>
      </c>
      <c r="J407" s="13" t="n">
        <v>0</v>
      </c>
      <c r="K407" s="13" t="n">
        <v>0</v>
      </c>
      <c r="L407" s="13" t="n">
        <v>0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0</v>
      </c>
      <c r="V407" s="13" t="n">
        <v>0</v>
      </c>
      <c r="W407" s="13" t="n">
        <v>0</v>
      </c>
      <c r="X407" s="13" t="n">
        <v>0</v>
      </c>
      <c r="Y407" s="13" t="n">
        <v>0</v>
      </c>
      <c r="Z407" s="13" t="n">
        <v>0</v>
      </c>
      <c r="AA407" s="13" t="n">
        <v>0</v>
      </c>
      <c r="AB407" s="13" t="n">
        <v>0</v>
      </c>
      <c r="AC407" s="13" t="n">
        <v>0</v>
      </c>
      <c r="AD407" s="13" t="n">
        <v>0</v>
      </c>
      <c r="AE407" s="13" t="n">
        <v>0</v>
      </c>
      <c r="AF407" s="13" t="n">
        <v>0</v>
      </c>
      <c r="AG407" s="13" t="n">
        <v>0</v>
      </c>
      <c r="AH407" s="13" t="n">
        <v>0</v>
      </c>
      <c r="AI407" s="13" t="n">
        <v>0</v>
      </c>
      <c r="AJ407" s="13" t="n">
        <v>0</v>
      </c>
      <c r="AK407" s="13" t="n">
        <v>0</v>
      </c>
      <c r="AL407" s="13" t="n">
        <v>0</v>
      </c>
      <c r="AM407" s="13" t="n">
        <v>0</v>
      </c>
      <c r="AN407" s="13" t="n">
        <v>0</v>
      </c>
      <c r="AO407" s="13" t="n">
        <v>1900.042442</v>
      </c>
      <c r="AP407" s="13" t="n">
        <v>1900.05816</v>
      </c>
      <c r="AQ407" s="13" t="n">
        <v>1949.975137</v>
      </c>
      <c r="AR407" s="13" t="n">
        <v>1950.035416</v>
      </c>
      <c r="AS407" s="13" t="n">
        <v>1949.937705</v>
      </c>
      <c r="AT407" s="13" t="n">
        <v>2049.962408</v>
      </c>
    </row>
    <row r="408" customFormat="false" ht="15" hidden="false" customHeight="true" outlineLevel="0" collapsed="false">
      <c r="A408" s="12" t="s">
        <v>1277</v>
      </c>
      <c r="B408" s="12" t="s">
        <v>1278</v>
      </c>
      <c r="C408" s="12" t="n">
        <v>1</v>
      </c>
      <c r="D408" s="12" t="s">
        <v>1279</v>
      </c>
      <c r="E408" s="13" t="n">
        <v>0</v>
      </c>
      <c r="F408" s="13" t="n">
        <v>0</v>
      </c>
      <c r="G408" s="13" t="n">
        <v>0</v>
      </c>
      <c r="H408" s="13" t="n">
        <v>0</v>
      </c>
      <c r="I408" s="13" t="n">
        <v>0</v>
      </c>
      <c r="J408" s="13" t="n">
        <v>0</v>
      </c>
      <c r="K408" s="13" t="n">
        <v>0</v>
      </c>
      <c r="L408" s="13" t="n">
        <v>0</v>
      </c>
      <c r="M408" s="13" t="n">
        <v>0</v>
      </c>
      <c r="N408" s="13" t="n">
        <v>0</v>
      </c>
      <c r="O408" s="13" t="n">
        <v>0</v>
      </c>
      <c r="P408" s="13" t="n">
        <v>0</v>
      </c>
      <c r="Q408" s="13" t="n">
        <v>0</v>
      </c>
      <c r="R408" s="13" t="n">
        <v>0</v>
      </c>
      <c r="S408" s="13" t="n">
        <v>0</v>
      </c>
      <c r="T408" s="13" t="n">
        <v>0</v>
      </c>
      <c r="U408" s="13" t="n">
        <v>1574.977817</v>
      </c>
      <c r="V408" s="13" t="n">
        <v>1575.033564</v>
      </c>
      <c r="W408" s="13" t="n">
        <v>1575.0336</v>
      </c>
      <c r="X408" s="13" t="n">
        <v>1575.081014</v>
      </c>
      <c r="Y408" s="13" t="n">
        <v>1574.992</v>
      </c>
      <c r="Z408" s="13" t="n">
        <v>1575.045648</v>
      </c>
      <c r="AA408" s="13" t="n">
        <v>1574.96253</v>
      </c>
      <c r="AB408" s="13" t="n">
        <v>1574.921182</v>
      </c>
      <c r="AC408" s="13" t="n">
        <v>1574.9888</v>
      </c>
      <c r="AD408" s="13" t="n">
        <v>1575.0616</v>
      </c>
      <c r="AE408" s="13" t="n">
        <v>1574.98992</v>
      </c>
      <c r="AF408" s="13" t="n">
        <v>1575.0152</v>
      </c>
      <c r="AG408" s="13" t="n">
        <v>0</v>
      </c>
      <c r="AH408" s="13" t="n">
        <v>0</v>
      </c>
      <c r="AI408" s="13" t="n">
        <v>0</v>
      </c>
      <c r="AJ408" s="13" t="n">
        <v>0</v>
      </c>
      <c r="AK408" s="13" t="n">
        <v>0</v>
      </c>
      <c r="AL408" s="13" t="n">
        <v>0</v>
      </c>
      <c r="AM408" s="13" t="n">
        <v>0</v>
      </c>
      <c r="AN408" s="13" t="n">
        <v>0</v>
      </c>
      <c r="AO408" s="13" t="n">
        <v>0</v>
      </c>
      <c r="AP408" s="13" t="n">
        <v>0</v>
      </c>
      <c r="AQ408" s="13" t="n">
        <v>0</v>
      </c>
      <c r="AR408" s="13" t="n">
        <v>0</v>
      </c>
      <c r="AS408" s="13" t="n">
        <v>0</v>
      </c>
      <c r="AT408" s="13" t="n">
        <v>0</v>
      </c>
    </row>
    <row r="409" customFormat="false" ht="15" hidden="false" customHeight="true" outlineLevel="0" collapsed="false">
      <c r="A409" s="12" t="s">
        <v>1280</v>
      </c>
      <c r="B409" s="12" t="s">
        <v>1281</v>
      </c>
      <c r="C409" s="12" t="n">
        <v>1</v>
      </c>
      <c r="D409" s="12" t="s">
        <v>1282</v>
      </c>
      <c r="E409" s="13" t="n">
        <v>0</v>
      </c>
      <c r="F409" s="13" t="n">
        <v>0</v>
      </c>
      <c r="G409" s="13" t="n">
        <v>0</v>
      </c>
      <c r="H409" s="13" t="n">
        <v>0</v>
      </c>
      <c r="I409" s="13" t="n">
        <v>0</v>
      </c>
      <c r="J409" s="13" t="n">
        <v>0</v>
      </c>
      <c r="K409" s="13" t="n">
        <v>0</v>
      </c>
      <c r="L409" s="13" t="n">
        <v>0</v>
      </c>
      <c r="M409" s="13" t="n">
        <v>0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  <c r="V409" s="13" t="n">
        <v>0</v>
      </c>
      <c r="W409" s="13" t="n">
        <v>0</v>
      </c>
      <c r="X409" s="13" t="n">
        <v>0</v>
      </c>
      <c r="Y409" s="13" t="n">
        <v>0</v>
      </c>
      <c r="Z409" s="13" t="n">
        <v>0</v>
      </c>
      <c r="AA409" s="13" t="n">
        <v>0</v>
      </c>
      <c r="AB409" s="13" t="n">
        <v>0</v>
      </c>
      <c r="AC409" s="13" t="n">
        <v>0</v>
      </c>
      <c r="AD409" s="13" t="n">
        <v>0</v>
      </c>
      <c r="AE409" s="13" t="n">
        <v>0</v>
      </c>
      <c r="AF409" s="13" t="n">
        <v>0</v>
      </c>
      <c r="AG409" s="13" t="n">
        <v>0</v>
      </c>
      <c r="AH409" s="13" t="n">
        <v>0</v>
      </c>
      <c r="AI409" s="13" t="n">
        <v>0</v>
      </c>
      <c r="AJ409" s="13" t="n">
        <v>0</v>
      </c>
      <c r="AK409" s="13" t="n">
        <v>700.0452</v>
      </c>
      <c r="AL409" s="13" t="n">
        <v>700.071981</v>
      </c>
      <c r="AM409" s="13" t="n">
        <v>699.980328</v>
      </c>
      <c r="AN409" s="13" t="n">
        <v>700.089869</v>
      </c>
      <c r="AO409" s="13" t="n">
        <v>653.231178</v>
      </c>
      <c r="AP409" s="13" t="n">
        <v>580.6644</v>
      </c>
      <c r="AQ409" s="13" t="n">
        <v>508.090838</v>
      </c>
      <c r="AR409" s="13" t="n">
        <v>435.407332</v>
      </c>
      <c r="AS409" s="13" t="n">
        <v>0</v>
      </c>
      <c r="AT409" s="13" t="n">
        <v>0</v>
      </c>
    </row>
    <row r="410" customFormat="false" ht="15" hidden="false" customHeight="true" outlineLevel="0" collapsed="false">
      <c r="A410" s="12" t="s">
        <v>1283</v>
      </c>
      <c r="B410" s="12" t="s">
        <v>1284</v>
      </c>
      <c r="C410" s="12" t="n">
        <v>1</v>
      </c>
      <c r="D410" s="12" t="s">
        <v>1285</v>
      </c>
      <c r="E410" s="13" t="n">
        <v>0</v>
      </c>
      <c r="F410" s="13" t="n">
        <v>0</v>
      </c>
      <c r="G410" s="13" t="n">
        <v>0</v>
      </c>
      <c r="H410" s="13" t="n">
        <v>0</v>
      </c>
      <c r="I410" s="13" t="n">
        <v>0</v>
      </c>
      <c r="J410" s="13" t="n">
        <v>0</v>
      </c>
      <c r="K410" s="13" t="n">
        <v>0</v>
      </c>
      <c r="L410" s="13" t="n">
        <v>0</v>
      </c>
      <c r="M410" s="13" t="n">
        <v>0</v>
      </c>
      <c r="N410" s="13" t="n">
        <v>0</v>
      </c>
      <c r="O410" s="13" t="n">
        <v>36177.88896</v>
      </c>
      <c r="P410" s="13" t="n">
        <v>35569.03392</v>
      </c>
      <c r="Q410" s="13" t="n">
        <v>36096.73632</v>
      </c>
      <c r="R410" s="13" t="n">
        <v>35939.05632</v>
      </c>
      <c r="S410" s="13" t="n">
        <v>34774.7472</v>
      </c>
      <c r="T410" s="13" t="n">
        <v>35791.2576</v>
      </c>
      <c r="U410" s="13" t="n">
        <v>35646.82272</v>
      </c>
      <c r="V410" s="13" t="n">
        <v>38733.77664</v>
      </c>
      <c r="W410" s="13" t="n">
        <v>39420.84096</v>
      </c>
      <c r="X410" s="13" t="n">
        <v>41690.17152</v>
      </c>
      <c r="Y410" s="13" t="n">
        <v>41390.78976</v>
      </c>
      <c r="Z410" s="13" t="n">
        <v>42145.55136</v>
      </c>
      <c r="AA410" s="13" t="n">
        <v>42907.8816</v>
      </c>
      <c r="AB410" s="13" t="n">
        <v>42542.90496</v>
      </c>
      <c r="AC410" s="13" t="n">
        <v>43477.632</v>
      </c>
      <c r="AD410" s="13" t="n">
        <v>43162.272</v>
      </c>
      <c r="AE410" s="13" t="n">
        <v>42914.1888</v>
      </c>
      <c r="AF410" s="13" t="n">
        <v>41164.992</v>
      </c>
      <c r="AG410" s="13" t="n">
        <v>40572.1152</v>
      </c>
      <c r="AH410" s="13" t="n">
        <v>39703.824</v>
      </c>
      <c r="AI410" s="13" t="n">
        <v>39518.8128</v>
      </c>
      <c r="AJ410" s="13" t="n">
        <v>39186.6336</v>
      </c>
      <c r="AK410" s="13" t="n">
        <v>53244.528</v>
      </c>
      <c r="AL410" s="13" t="n">
        <v>53456.69344</v>
      </c>
      <c r="AM410" s="13" t="n">
        <v>53305.6298</v>
      </c>
      <c r="AN410" s="13" t="n">
        <v>52259.4698</v>
      </c>
      <c r="AO410" s="13" t="n">
        <v>50100.0212</v>
      </c>
      <c r="AP410" s="13" t="n">
        <v>50145.936</v>
      </c>
      <c r="AQ410" s="13" t="n">
        <v>52619.8138</v>
      </c>
      <c r="AR410" s="13" t="n">
        <v>50978.7956</v>
      </c>
      <c r="AS410" s="13" t="n">
        <v>61464.148245</v>
      </c>
      <c r="AT410" s="13" t="n">
        <v>65645.87636</v>
      </c>
    </row>
    <row r="411" customFormat="false" ht="15" hidden="false" customHeight="true" outlineLevel="0" collapsed="false">
      <c r="A411" s="12" t="s">
        <v>1286</v>
      </c>
      <c r="B411" s="12" t="s">
        <v>1287</v>
      </c>
      <c r="C411" s="12" t="n">
        <v>1</v>
      </c>
      <c r="D411" s="12" t="s">
        <v>1288</v>
      </c>
      <c r="E411" s="13" t="n">
        <v>0</v>
      </c>
      <c r="F411" s="13" t="n">
        <v>0</v>
      </c>
      <c r="G411" s="13" t="n">
        <v>0</v>
      </c>
      <c r="H411" s="13" t="n">
        <v>0</v>
      </c>
      <c r="I411" s="13" t="n">
        <v>0</v>
      </c>
      <c r="J411" s="13" t="n">
        <v>0</v>
      </c>
      <c r="K411" s="13" t="n">
        <v>0</v>
      </c>
      <c r="L411" s="13" t="n">
        <v>0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0</v>
      </c>
      <c r="V411" s="13" t="n">
        <v>0</v>
      </c>
      <c r="W411" s="13" t="n">
        <v>0</v>
      </c>
      <c r="X411" s="13" t="n">
        <v>0</v>
      </c>
      <c r="Y411" s="13" t="n">
        <v>0</v>
      </c>
      <c r="Z411" s="13" t="n">
        <v>0</v>
      </c>
      <c r="AA411" s="13" t="n">
        <v>0</v>
      </c>
      <c r="AB411" s="13" t="n">
        <v>0</v>
      </c>
      <c r="AC411" s="13" t="n">
        <v>0</v>
      </c>
      <c r="AD411" s="13" t="n">
        <v>0</v>
      </c>
      <c r="AE411" s="13" t="n">
        <v>0</v>
      </c>
      <c r="AF411" s="13" t="n">
        <v>0</v>
      </c>
      <c r="AG411" s="13" t="n">
        <v>0</v>
      </c>
      <c r="AH411" s="13" t="n">
        <v>0</v>
      </c>
      <c r="AI411" s="13" t="n">
        <v>0</v>
      </c>
      <c r="AJ411" s="13" t="n">
        <v>0</v>
      </c>
      <c r="AK411" s="13" t="n">
        <v>0</v>
      </c>
      <c r="AL411" s="13" t="n">
        <v>0</v>
      </c>
      <c r="AM411" s="13" t="n">
        <v>0</v>
      </c>
      <c r="AN411" s="13" t="n">
        <v>0</v>
      </c>
      <c r="AO411" s="13" t="n">
        <v>0</v>
      </c>
      <c r="AP411" s="13" t="n">
        <v>0</v>
      </c>
      <c r="AQ411" s="13" t="n">
        <v>0</v>
      </c>
      <c r="AR411" s="13" t="n">
        <v>0</v>
      </c>
      <c r="AS411" s="13" t="n">
        <v>0</v>
      </c>
      <c r="AT411" s="13" t="n">
        <v>14999.921296</v>
      </c>
    </row>
    <row r="412" customFormat="false" ht="15" hidden="false" customHeight="true" outlineLevel="0" collapsed="false">
      <c r="A412" s="12" t="s">
        <v>1289</v>
      </c>
      <c r="B412" s="12" t="s">
        <v>1290</v>
      </c>
      <c r="C412" s="12" t="n">
        <v>1</v>
      </c>
      <c r="D412" s="12" t="s">
        <v>1291</v>
      </c>
      <c r="E412" s="13" t="n">
        <v>0</v>
      </c>
      <c r="F412" s="13" t="n">
        <v>0</v>
      </c>
      <c r="G412" s="13" t="n">
        <v>0</v>
      </c>
      <c r="H412" s="13" t="n">
        <v>0</v>
      </c>
      <c r="I412" s="13" t="n">
        <v>0</v>
      </c>
      <c r="J412" s="13" t="n">
        <v>0</v>
      </c>
      <c r="K412" s="13" t="n">
        <v>0</v>
      </c>
      <c r="L412" s="13" t="n">
        <v>0</v>
      </c>
      <c r="M412" s="13" t="n">
        <v>0</v>
      </c>
      <c r="N412" s="13" t="n">
        <v>0</v>
      </c>
      <c r="O412" s="13" t="n">
        <v>0</v>
      </c>
      <c r="P412" s="13" t="n">
        <v>0</v>
      </c>
      <c r="Q412" s="13" t="n">
        <v>0</v>
      </c>
      <c r="R412" s="13" t="n">
        <v>0</v>
      </c>
      <c r="S412" s="13" t="n">
        <v>0</v>
      </c>
      <c r="T412" s="13" t="n">
        <v>0</v>
      </c>
      <c r="U412" s="13" t="n">
        <v>0</v>
      </c>
      <c r="V412" s="13" t="n">
        <v>0</v>
      </c>
      <c r="W412" s="13" t="n">
        <v>0</v>
      </c>
      <c r="X412" s="13" t="n">
        <v>0</v>
      </c>
      <c r="Y412" s="13" t="n">
        <v>0</v>
      </c>
      <c r="Z412" s="13" t="n">
        <v>0</v>
      </c>
      <c r="AA412" s="13" t="n">
        <v>0</v>
      </c>
      <c r="AB412" s="13" t="n">
        <v>0</v>
      </c>
      <c r="AC412" s="13" t="n">
        <v>0</v>
      </c>
      <c r="AD412" s="13" t="n">
        <v>0</v>
      </c>
      <c r="AE412" s="13" t="n">
        <v>0</v>
      </c>
      <c r="AF412" s="13" t="n">
        <v>0</v>
      </c>
      <c r="AG412" s="13" t="n">
        <v>0</v>
      </c>
      <c r="AH412" s="13" t="n">
        <v>2574.0255</v>
      </c>
      <c r="AI412" s="13" t="n">
        <v>2991.91849</v>
      </c>
      <c r="AJ412" s="13" t="n">
        <v>2728.00404</v>
      </c>
      <c r="AK412" s="13" t="n">
        <v>3167.99805</v>
      </c>
      <c r="AL412" s="13" t="n">
        <v>2859.962568</v>
      </c>
      <c r="AM412" s="13" t="n">
        <v>2881.915863</v>
      </c>
      <c r="AN412" s="13" t="n">
        <v>2969.941995</v>
      </c>
      <c r="AO412" s="13" t="n">
        <v>2759.983618</v>
      </c>
      <c r="AP412" s="13" t="n">
        <v>2759.92464</v>
      </c>
      <c r="AQ412" s="13" t="n">
        <v>3239.033824</v>
      </c>
      <c r="AR412" s="13" t="n">
        <v>3216.260284</v>
      </c>
      <c r="AS412" s="13" t="n">
        <v>3512.657421</v>
      </c>
      <c r="AT412" s="13" t="n">
        <v>4721.756664</v>
      </c>
    </row>
    <row r="413" customFormat="false" ht="15" hidden="false" customHeight="true" outlineLevel="0" collapsed="false">
      <c r="A413" s="12" t="s">
        <v>1292</v>
      </c>
      <c r="B413" s="12" t="s">
        <v>1293</v>
      </c>
      <c r="C413" s="12" t="n">
        <v>1</v>
      </c>
      <c r="D413" s="12" t="s">
        <v>1294</v>
      </c>
      <c r="E413" s="13" t="n">
        <v>0</v>
      </c>
      <c r="F413" s="13" t="n">
        <v>5826.079134</v>
      </c>
      <c r="G413" s="13" t="n">
        <v>0</v>
      </c>
      <c r="H413" s="13" t="n">
        <v>0</v>
      </c>
      <c r="I413" s="13" t="n">
        <v>0</v>
      </c>
      <c r="J413" s="13" t="n">
        <v>0</v>
      </c>
      <c r="K413" s="13" t="n">
        <v>0</v>
      </c>
      <c r="L413" s="13" t="n">
        <v>0</v>
      </c>
      <c r="M413" s="13" t="n">
        <v>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0</v>
      </c>
      <c r="U413" s="13" t="n">
        <v>0</v>
      </c>
      <c r="V413" s="13" t="n">
        <v>0</v>
      </c>
      <c r="W413" s="13" t="n">
        <v>0</v>
      </c>
      <c r="X413" s="13" t="n">
        <v>0</v>
      </c>
      <c r="Y413" s="13" t="n">
        <v>0</v>
      </c>
      <c r="Z413" s="13" t="n">
        <v>0</v>
      </c>
      <c r="AA413" s="13" t="n">
        <v>0</v>
      </c>
      <c r="AB413" s="13" t="n">
        <v>0</v>
      </c>
      <c r="AC413" s="13" t="n">
        <v>0</v>
      </c>
      <c r="AD413" s="13" t="n">
        <v>0</v>
      </c>
      <c r="AE413" s="13" t="n">
        <v>0</v>
      </c>
      <c r="AF413" s="13" t="n">
        <v>0</v>
      </c>
      <c r="AG413" s="13" t="n">
        <v>0</v>
      </c>
      <c r="AH413" s="13" t="n">
        <v>0</v>
      </c>
      <c r="AI413" s="13" t="n">
        <v>0</v>
      </c>
      <c r="AJ413" s="13" t="n">
        <v>0</v>
      </c>
      <c r="AK413" s="13" t="n">
        <v>0</v>
      </c>
      <c r="AL413" s="13" t="n">
        <v>0</v>
      </c>
      <c r="AM413" s="13" t="n">
        <v>0</v>
      </c>
      <c r="AN413" s="13" t="n">
        <v>0</v>
      </c>
      <c r="AO413" s="13" t="n">
        <v>0</v>
      </c>
      <c r="AP413" s="13" t="n">
        <v>0</v>
      </c>
      <c r="AQ413" s="13" t="n">
        <v>0</v>
      </c>
      <c r="AR413" s="13" t="n">
        <v>0</v>
      </c>
      <c r="AS413" s="13" t="n">
        <v>0</v>
      </c>
      <c r="AT413" s="13" t="n">
        <v>0</v>
      </c>
    </row>
    <row r="414" customFormat="false" ht="15" hidden="false" customHeight="true" outlineLevel="0" collapsed="false">
      <c r="A414" s="12" t="s">
        <v>1295</v>
      </c>
      <c r="B414" s="12" t="s">
        <v>1296</v>
      </c>
      <c r="C414" s="12" t="n">
        <v>1</v>
      </c>
      <c r="D414" s="12" t="s">
        <v>1297</v>
      </c>
      <c r="E414" s="13" t="n">
        <v>0</v>
      </c>
      <c r="F414" s="13" t="n">
        <v>0</v>
      </c>
      <c r="G414" s="13" t="n">
        <v>0</v>
      </c>
      <c r="H414" s="13" t="n">
        <v>0</v>
      </c>
      <c r="I414" s="13" t="n">
        <v>0</v>
      </c>
      <c r="J414" s="13" t="n">
        <v>675.02249</v>
      </c>
      <c r="K414" s="13" t="n">
        <v>675.04578</v>
      </c>
      <c r="L414" s="13" t="n">
        <v>675.035291</v>
      </c>
      <c r="M414" s="13" t="n">
        <v>650.06532</v>
      </c>
      <c r="N414" s="13" t="n">
        <v>650.079444</v>
      </c>
      <c r="O414" s="13" t="n">
        <v>649.942383</v>
      </c>
      <c r="P414" s="13" t="n">
        <v>650.001086</v>
      </c>
      <c r="Q414" s="13" t="n">
        <v>682.479675</v>
      </c>
      <c r="R414" s="13" t="n">
        <v>629.924955</v>
      </c>
      <c r="S414" s="13" t="n">
        <v>603.72825</v>
      </c>
      <c r="T414" s="13" t="n">
        <v>603.67104</v>
      </c>
      <c r="U414" s="13" t="n">
        <v>603.778233</v>
      </c>
      <c r="V414" s="13" t="n">
        <v>603.741372</v>
      </c>
      <c r="W414" s="13" t="n">
        <v>603.76288</v>
      </c>
      <c r="X414" s="13" t="n">
        <v>603.81741</v>
      </c>
      <c r="Y414" s="13" t="n">
        <v>603.812558</v>
      </c>
      <c r="Z414" s="13" t="n">
        <v>656.319136</v>
      </c>
      <c r="AA414" s="13" t="n">
        <v>734.92809</v>
      </c>
      <c r="AB414" s="13" t="n">
        <v>734.949728</v>
      </c>
      <c r="AC414" s="13" t="n">
        <v>765.9872</v>
      </c>
      <c r="AD414" s="13" t="n">
        <v>1149.0641</v>
      </c>
      <c r="AE414" s="13" t="n">
        <v>963.85464</v>
      </c>
      <c r="AF414" s="13" t="n">
        <v>989.9648</v>
      </c>
      <c r="AG414" s="13" t="n">
        <v>0</v>
      </c>
      <c r="AH414" s="13" t="n">
        <v>0</v>
      </c>
      <c r="AI414" s="13" t="n">
        <v>0</v>
      </c>
      <c r="AJ414" s="13" t="n">
        <v>0</v>
      </c>
      <c r="AK414" s="13" t="n">
        <v>0</v>
      </c>
      <c r="AL414" s="13" t="n">
        <v>0</v>
      </c>
      <c r="AM414" s="13" t="n">
        <v>0</v>
      </c>
      <c r="AN414" s="13" t="n">
        <v>0</v>
      </c>
      <c r="AO414" s="13" t="n">
        <v>0</v>
      </c>
      <c r="AP414" s="13" t="n">
        <v>0</v>
      </c>
      <c r="AQ414" s="13" t="n">
        <v>0</v>
      </c>
      <c r="AR414" s="13" t="n">
        <v>0</v>
      </c>
      <c r="AS414" s="13" t="n">
        <v>0</v>
      </c>
      <c r="AT414" s="13" t="n">
        <v>0</v>
      </c>
    </row>
    <row r="415" customFormat="false" ht="15" hidden="false" customHeight="true" outlineLevel="0" collapsed="false">
      <c r="A415" s="12" t="s">
        <v>1298</v>
      </c>
      <c r="B415" s="12" t="s">
        <v>1299</v>
      </c>
      <c r="C415" s="12" t="n">
        <v>1</v>
      </c>
      <c r="D415" s="12" t="s">
        <v>1300</v>
      </c>
      <c r="E415" s="13" t="n">
        <v>0</v>
      </c>
      <c r="F415" s="13" t="n">
        <v>0</v>
      </c>
      <c r="G415" s="13" t="n">
        <v>0</v>
      </c>
      <c r="H415" s="13" t="n">
        <v>0</v>
      </c>
      <c r="I415" s="13" t="n">
        <v>0</v>
      </c>
      <c r="J415" s="13" t="n">
        <v>0</v>
      </c>
      <c r="K415" s="13" t="n">
        <v>0</v>
      </c>
      <c r="L415" s="13" t="n">
        <v>0</v>
      </c>
      <c r="M415" s="13" t="n">
        <v>0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0</v>
      </c>
      <c r="V415" s="13" t="n">
        <v>0</v>
      </c>
      <c r="W415" s="13" t="n">
        <v>0</v>
      </c>
      <c r="X415" s="13" t="n">
        <v>0</v>
      </c>
      <c r="Y415" s="13" t="n">
        <v>0</v>
      </c>
      <c r="Z415" s="13" t="n">
        <v>0</v>
      </c>
      <c r="AA415" s="13" t="n">
        <v>0</v>
      </c>
      <c r="AB415" s="13" t="n">
        <v>0</v>
      </c>
      <c r="AC415" s="13" t="n">
        <v>0</v>
      </c>
      <c r="AD415" s="13" t="n">
        <v>0</v>
      </c>
      <c r="AE415" s="13" t="n">
        <v>0</v>
      </c>
      <c r="AF415" s="13" t="n">
        <v>0</v>
      </c>
      <c r="AG415" s="13" t="n">
        <v>1759.9776</v>
      </c>
      <c r="AH415" s="13" t="n">
        <v>11280.0105</v>
      </c>
      <c r="AI415" s="13" t="n">
        <v>13259.96771</v>
      </c>
      <c r="AJ415" s="13" t="n">
        <v>15179.97438</v>
      </c>
      <c r="AK415" s="13" t="n">
        <v>10800.0684</v>
      </c>
      <c r="AL415" s="13" t="n">
        <v>7500.034501</v>
      </c>
      <c r="AM415" s="13" t="n">
        <v>0</v>
      </c>
      <c r="AN415" s="13" t="n">
        <v>0</v>
      </c>
      <c r="AO415" s="13" t="n">
        <v>0</v>
      </c>
      <c r="AP415" s="13" t="n">
        <v>0</v>
      </c>
      <c r="AQ415" s="13" t="n">
        <v>0</v>
      </c>
      <c r="AR415" s="13" t="n">
        <v>0</v>
      </c>
      <c r="AS415" s="13" t="n">
        <v>0</v>
      </c>
      <c r="AT415" s="13" t="n">
        <v>0</v>
      </c>
    </row>
    <row r="416" customFormat="false" ht="15" hidden="false" customHeight="true" outlineLevel="0" collapsed="false">
      <c r="A416" s="12" t="s">
        <v>1301</v>
      </c>
      <c r="B416" s="12" t="s">
        <v>1302</v>
      </c>
      <c r="C416" s="12" t="n">
        <v>1</v>
      </c>
      <c r="D416" s="12" t="s">
        <v>1303</v>
      </c>
      <c r="E416" s="13" t="n">
        <v>12064.291632</v>
      </c>
      <c r="F416" s="13" t="n">
        <v>12005.488188</v>
      </c>
      <c r="G416" s="13" t="n">
        <v>11770.082081</v>
      </c>
      <c r="H416" s="13" t="n">
        <v>11770.071363</v>
      </c>
      <c r="I416" s="13" t="n">
        <v>11770.023342</v>
      </c>
      <c r="J416" s="13" t="n">
        <v>11769.95626</v>
      </c>
      <c r="K416" s="13" t="n">
        <v>11711.0847</v>
      </c>
      <c r="L416" s="13" t="n">
        <v>12931.003498</v>
      </c>
      <c r="M416" s="13" t="n">
        <v>11593.477845</v>
      </c>
      <c r="N416" s="13" t="n">
        <v>11534.664198</v>
      </c>
      <c r="O416" s="13" t="n">
        <v>11534.627449</v>
      </c>
      <c r="P416" s="13" t="n">
        <v>11475.68289</v>
      </c>
      <c r="Q416" s="13" t="n">
        <v>3735.696294</v>
      </c>
      <c r="R416" s="13" t="n">
        <v>3735.617379</v>
      </c>
      <c r="S416" s="13" t="n">
        <v>3735.671925</v>
      </c>
      <c r="T416" s="13" t="n">
        <v>3737.95968</v>
      </c>
      <c r="U416" s="13" t="n">
        <v>3735.422143</v>
      </c>
      <c r="V416" s="13" t="n">
        <v>3735.3849</v>
      </c>
      <c r="W416" s="13" t="n">
        <v>3735.267184</v>
      </c>
      <c r="X416" s="13" t="n">
        <v>3735.339426</v>
      </c>
      <c r="Y416" s="13" t="n">
        <v>3735.290402</v>
      </c>
      <c r="Z416" s="13" t="n">
        <v>3735.446176</v>
      </c>
      <c r="AA416" s="13" t="n">
        <v>3735.25518</v>
      </c>
      <c r="AB416" s="13" t="n">
        <v>3735.252486</v>
      </c>
      <c r="AC416" s="13" t="n">
        <v>3735.4284</v>
      </c>
      <c r="AD416" s="13" t="n">
        <v>3735.4335</v>
      </c>
      <c r="AE416" s="13" t="n">
        <v>3735.396</v>
      </c>
      <c r="AF416" s="13" t="n">
        <v>3735.2766</v>
      </c>
      <c r="AG416" s="13" t="n">
        <v>3735.32088</v>
      </c>
      <c r="AH416" s="13" t="n">
        <v>3735.26415</v>
      </c>
      <c r="AI416" s="13" t="n">
        <v>0</v>
      </c>
      <c r="AJ416" s="13" t="n">
        <v>3735.44199</v>
      </c>
      <c r="AK416" s="13" t="n">
        <v>3735.4089</v>
      </c>
      <c r="AL416" s="13" t="n">
        <v>3735.374861</v>
      </c>
      <c r="AM416" s="13" t="n">
        <v>3735.429612</v>
      </c>
      <c r="AN416" s="13" t="n">
        <v>3735.311243</v>
      </c>
      <c r="AO416" s="13" t="n">
        <v>3735.434134</v>
      </c>
      <c r="AP416" s="13" t="n">
        <v>3735.40632</v>
      </c>
      <c r="AQ416" s="13" t="n">
        <v>3735.354917</v>
      </c>
      <c r="AR416" s="13" t="n">
        <v>3735.345818</v>
      </c>
      <c r="AS416" s="13" t="n">
        <v>3735.43326</v>
      </c>
      <c r="AT416" s="13" t="n">
        <v>3735.366488</v>
      </c>
    </row>
    <row r="417" customFormat="false" ht="15" hidden="false" customHeight="true" outlineLevel="0" collapsed="false">
      <c r="A417" s="12" t="s">
        <v>1304</v>
      </c>
      <c r="B417" s="12" t="s">
        <v>1305</v>
      </c>
      <c r="C417" s="12" t="n">
        <v>1</v>
      </c>
      <c r="D417" s="12" t="s">
        <v>1306</v>
      </c>
      <c r="E417" s="13" t="n">
        <v>0</v>
      </c>
      <c r="F417" s="13" t="n">
        <v>0</v>
      </c>
      <c r="G417" s="13" t="n">
        <v>0</v>
      </c>
      <c r="H417" s="13" t="n">
        <v>0</v>
      </c>
      <c r="I417" s="13" t="n">
        <v>0</v>
      </c>
      <c r="J417" s="13" t="n">
        <v>0</v>
      </c>
      <c r="K417" s="13" t="n">
        <v>0</v>
      </c>
      <c r="L417" s="13" t="n">
        <v>0</v>
      </c>
      <c r="M417" s="13" t="n">
        <v>0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0</v>
      </c>
      <c r="U417" s="13" t="n">
        <v>0</v>
      </c>
      <c r="V417" s="13" t="n">
        <v>0</v>
      </c>
      <c r="W417" s="13" t="n">
        <v>0</v>
      </c>
      <c r="X417" s="13" t="n">
        <v>0</v>
      </c>
      <c r="Y417" s="13" t="n">
        <v>0</v>
      </c>
      <c r="Z417" s="13" t="n">
        <v>0</v>
      </c>
      <c r="AA417" s="13" t="n">
        <v>0</v>
      </c>
      <c r="AB417" s="13" t="n">
        <v>0</v>
      </c>
      <c r="AC417" s="13" t="n">
        <v>0</v>
      </c>
      <c r="AD417" s="13" t="n">
        <v>0</v>
      </c>
      <c r="AE417" s="13" t="n">
        <v>0</v>
      </c>
      <c r="AF417" s="13" t="n">
        <v>0</v>
      </c>
      <c r="AG417" s="13" t="n">
        <v>1979.9748</v>
      </c>
      <c r="AH417" s="13" t="n">
        <v>0</v>
      </c>
      <c r="AI417" s="13" t="n">
        <v>0</v>
      </c>
      <c r="AJ417" s="13" t="n">
        <v>0</v>
      </c>
      <c r="AK417" s="13" t="n">
        <v>0</v>
      </c>
      <c r="AL417" s="13" t="n">
        <v>0</v>
      </c>
      <c r="AM417" s="13" t="n">
        <v>0</v>
      </c>
      <c r="AN417" s="13" t="n">
        <v>0</v>
      </c>
      <c r="AO417" s="13" t="n">
        <v>0</v>
      </c>
      <c r="AP417" s="13" t="n">
        <v>0</v>
      </c>
      <c r="AQ417" s="13" t="n">
        <v>0</v>
      </c>
      <c r="AR417" s="13" t="n">
        <v>0</v>
      </c>
      <c r="AS417" s="13" t="n">
        <v>0</v>
      </c>
      <c r="AT417" s="13" t="n">
        <v>0</v>
      </c>
    </row>
    <row r="418" customFormat="false" ht="15" hidden="false" customHeight="true" outlineLevel="0" collapsed="false">
      <c r="A418" s="12" t="s">
        <v>1307</v>
      </c>
      <c r="B418" s="12" t="s">
        <v>1308</v>
      </c>
      <c r="C418" s="12" t="n">
        <v>1</v>
      </c>
      <c r="D418" s="12" t="s">
        <v>1309</v>
      </c>
      <c r="E418" s="13" t="n">
        <v>0</v>
      </c>
      <c r="F418" s="13" t="n">
        <v>0</v>
      </c>
      <c r="G418" s="13" t="n">
        <v>0</v>
      </c>
      <c r="H418" s="13" t="n">
        <v>0</v>
      </c>
      <c r="I418" s="13" t="n">
        <v>0</v>
      </c>
      <c r="J418" s="13" t="n">
        <v>0</v>
      </c>
      <c r="K418" s="13" t="n">
        <v>0</v>
      </c>
      <c r="L418" s="13" t="n">
        <v>0</v>
      </c>
      <c r="M418" s="13" t="n">
        <v>0</v>
      </c>
      <c r="N418" s="13" t="n">
        <v>0</v>
      </c>
      <c r="O418" s="13" t="n">
        <v>0</v>
      </c>
      <c r="P418" s="13" t="n">
        <v>0</v>
      </c>
      <c r="Q418" s="13" t="n">
        <v>0</v>
      </c>
      <c r="R418" s="13" t="n">
        <v>0</v>
      </c>
      <c r="S418" s="13" t="n">
        <v>0</v>
      </c>
      <c r="T418" s="13" t="n">
        <v>0</v>
      </c>
      <c r="U418" s="13" t="n">
        <v>0</v>
      </c>
      <c r="V418" s="13" t="n">
        <v>0</v>
      </c>
      <c r="W418" s="13" t="n">
        <v>0</v>
      </c>
      <c r="X418" s="13" t="n">
        <v>0</v>
      </c>
      <c r="Y418" s="13" t="n">
        <v>0</v>
      </c>
      <c r="Z418" s="13" t="n">
        <v>0</v>
      </c>
      <c r="AA418" s="13" t="n">
        <v>0</v>
      </c>
      <c r="AB418" s="13" t="n">
        <v>0</v>
      </c>
      <c r="AC418" s="13" t="n">
        <v>0</v>
      </c>
      <c r="AD418" s="13" t="n">
        <v>0</v>
      </c>
      <c r="AE418" s="13" t="n">
        <v>0</v>
      </c>
      <c r="AF418" s="13" t="n">
        <v>0</v>
      </c>
      <c r="AG418" s="13" t="n">
        <v>0</v>
      </c>
      <c r="AH418" s="13" t="n">
        <v>0</v>
      </c>
      <c r="AI418" s="13" t="n">
        <v>0</v>
      </c>
      <c r="AJ418" s="13" t="n">
        <v>0</v>
      </c>
      <c r="AK418" s="13" t="n">
        <v>0</v>
      </c>
      <c r="AL418" s="13" t="n">
        <v>0</v>
      </c>
      <c r="AM418" s="13" t="n">
        <v>0</v>
      </c>
      <c r="AN418" s="13" t="n">
        <v>0</v>
      </c>
      <c r="AO418" s="13" t="n">
        <v>0</v>
      </c>
      <c r="AP418" s="13" t="n">
        <v>0</v>
      </c>
      <c r="AQ418" s="13" t="n">
        <v>0</v>
      </c>
      <c r="AR418" s="13" t="n">
        <v>0</v>
      </c>
      <c r="AS418" s="13" t="n">
        <v>0</v>
      </c>
      <c r="AT418" s="13" t="n">
        <v>1835.91784</v>
      </c>
    </row>
    <row r="419" customFormat="false" ht="15" hidden="false" customHeight="true" outlineLevel="0" collapsed="false">
      <c r="A419" s="12" t="s">
        <v>1310</v>
      </c>
      <c r="B419" s="12" t="s">
        <v>1311</v>
      </c>
      <c r="C419" s="12" t="n">
        <v>1</v>
      </c>
      <c r="D419" s="12" t="s">
        <v>1312</v>
      </c>
      <c r="E419" s="13" t="n">
        <v>0</v>
      </c>
      <c r="F419" s="13" t="n">
        <v>0</v>
      </c>
      <c r="G419" s="13" t="n">
        <v>0</v>
      </c>
      <c r="H419" s="13" t="n">
        <v>0</v>
      </c>
      <c r="I419" s="13" t="n">
        <v>0</v>
      </c>
      <c r="J419" s="13" t="n">
        <v>0</v>
      </c>
      <c r="K419" s="13" t="n">
        <v>0</v>
      </c>
      <c r="L419" s="13" t="n">
        <v>0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0</v>
      </c>
      <c r="X419" s="13" t="n">
        <v>0</v>
      </c>
      <c r="Y419" s="13" t="n">
        <v>0</v>
      </c>
      <c r="Z419" s="13" t="n">
        <v>0</v>
      </c>
      <c r="AA419" s="13" t="n">
        <v>0</v>
      </c>
      <c r="AB419" s="13" t="n">
        <v>0</v>
      </c>
      <c r="AC419" s="13" t="n">
        <v>0</v>
      </c>
      <c r="AD419" s="13" t="n">
        <v>0</v>
      </c>
      <c r="AE419" s="13" t="n">
        <v>0</v>
      </c>
      <c r="AF419" s="13" t="n">
        <v>0</v>
      </c>
      <c r="AG419" s="13" t="n">
        <v>0</v>
      </c>
      <c r="AH419" s="13" t="n">
        <v>0</v>
      </c>
      <c r="AI419" s="13" t="n">
        <v>0</v>
      </c>
      <c r="AJ419" s="13" t="n">
        <v>0</v>
      </c>
      <c r="AK419" s="13" t="n">
        <v>0</v>
      </c>
      <c r="AL419" s="13" t="n">
        <v>0</v>
      </c>
      <c r="AM419" s="13" t="n">
        <v>0</v>
      </c>
      <c r="AN419" s="13" t="n">
        <v>0</v>
      </c>
      <c r="AO419" s="13" t="n">
        <v>0</v>
      </c>
      <c r="AP419" s="13" t="n">
        <v>0</v>
      </c>
      <c r="AQ419" s="13" t="n">
        <v>0</v>
      </c>
      <c r="AR419" s="13" t="n">
        <v>0</v>
      </c>
      <c r="AS419" s="13" t="n">
        <v>0</v>
      </c>
      <c r="AT419" s="13" t="n">
        <v>0</v>
      </c>
    </row>
    <row r="420" customFormat="false" ht="15" hidden="false" customHeight="true" outlineLevel="0" collapsed="false">
      <c r="A420" s="12" t="s">
        <v>1313</v>
      </c>
      <c r="B420" s="12" t="s">
        <v>1314</v>
      </c>
      <c r="C420" s="12" t="n">
        <v>1</v>
      </c>
      <c r="D420" s="12" t="s">
        <v>1315</v>
      </c>
      <c r="E420" s="13" t="n">
        <v>0</v>
      </c>
      <c r="F420" s="13" t="n">
        <v>0</v>
      </c>
      <c r="G420" s="13" t="n">
        <v>0</v>
      </c>
      <c r="H420" s="13" t="n">
        <v>0</v>
      </c>
      <c r="I420" s="13" t="n">
        <v>0</v>
      </c>
      <c r="J420" s="13" t="n">
        <v>549.973975</v>
      </c>
      <c r="K420" s="13" t="n">
        <v>660.02622</v>
      </c>
      <c r="L420" s="13" t="n">
        <v>659.963801</v>
      </c>
      <c r="M420" s="13" t="n">
        <v>659.93616</v>
      </c>
      <c r="N420" s="13" t="n">
        <v>660.016734</v>
      </c>
      <c r="O420" s="13" t="n">
        <v>714.988245</v>
      </c>
      <c r="P420" s="13" t="n">
        <v>714.967358</v>
      </c>
      <c r="Q420" s="13" t="n">
        <v>750.813489</v>
      </c>
      <c r="R420" s="13" t="n">
        <v>635.224188</v>
      </c>
      <c r="S420" s="13" t="n">
        <v>693.04695</v>
      </c>
      <c r="T420" s="13" t="n">
        <v>693.04704</v>
      </c>
      <c r="U420" s="13" t="n">
        <v>808.428704</v>
      </c>
      <c r="V420" s="13" t="n">
        <v>808.427568</v>
      </c>
      <c r="W420" s="13" t="n">
        <v>866.26848</v>
      </c>
      <c r="X420" s="13" t="n">
        <v>750.756228</v>
      </c>
      <c r="Y420" s="13" t="n">
        <v>750.680562</v>
      </c>
      <c r="Z420" s="13" t="n">
        <v>981.672208</v>
      </c>
      <c r="AA420" s="13" t="n">
        <v>808.40049</v>
      </c>
      <c r="AB420" s="13" t="n">
        <v>750.73334</v>
      </c>
      <c r="AC420" s="13" t="n">
        <v>782.3244</v>
      </c>
      <c r="AD420" s="13" t="n">
        <v>722.2454</v>
      </c>
      <c r="AE420" s="13" t="n">
        <v>722.17656</v>
      </c>
      <c r="AF420" s="13" t="n">
        <v>722.1104</v>
      </c>
      <c r="AG420" s="13" t="n">
        <v>722.13116</v>
      </c>
      <c r="AH420" s="13" t="n">
        <v>782.40555</v>
      </c>
      <c r="AI420" s="13" t="n">
        <v>722.18074</v>
      </c>
      <c r="AJ420" s="13" t="n">
        <v>722.07486</v>
      </c>
      <c r="AK420" s="13" t="n">
        <v>722.24265</v>
      </c>
      <c r="AL420" s="13" t="n">
        <v>722.173701</v>
      </c>
      <c r="AM420" s="13" t="n">
        <v>722.175721</v>
      </c>
      <c r="AN420" s="13" t="n">
        <v>661.965273</v>
      </c>
      <c r="AO420" s="13" t="n">
        <v>748.741886</v>
      </c>
      <c r="AP420" s="13" t="n">
        <v>748.73784</v>
      </c>
      <c r="AQ420" s="13" t="n">
        <v>811.20704</v>
      </c>
      <c r="AR420" s="13" t="n">
        <v>811.169824</v>
      </c>
      <c r="AS420" s="13" t="n">
        <v>935.935479</v>
      </c>
      <c r="AT420" s="13" t="n">
        <v>935.985568</v>
      </c>
    </row>
    <row r="421" customFormat="false" ht="15" hidden="false" customHeight="true" outlineLevel="0" collapsed="false">
      <c r="A421" s="12" t="s">
        <v>1316</v>
      </c>
      <c r="B421" s="12" t="s">
        <v>1317</v>
      </c>
      <c r="C421" s="12" t="n">
        <v>1</v>
      </c>
      <c r="D421" s="12" t="s">
        <v>1318</v>
      </c>
      <c r="E421" s="13" t="n">
        <v>0</v>
      </c>
      <c r="F421" s="13" t="n">
        <v>0</v>
      </c>
      <c r="G421" s="13" t="n">
        <v>0</v>
      </c>
      <c r="H421" s="13" t="n">
        <v>0</v>
      </c>
      <c r="I421" s="13" t="n">
        <v>0</v>
      </c>
      <c r="J421" s="13" t="n">
        <v>0</v>
      </c>
      <c r="K421" s="13" t="n">
        <v>0</v>
      </c>
      <c r="L421" s="13" t="n">
        <v>0</v>
      </c>
      <c r="M421" s="13" t="n">
        <v>0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0</v>
      </c>
      <c r="V421" s="13" t="n">
        <v>0</v>
      </c>
      <c r="W421" s="13" t="n">
        <v>0</v>
      </c>
      <c r="X421" s="13" t="n">
        <v>0</v>
      </c>
      <c r="Y421" s="13" t="n">
        <v>0</v>
      </c>
      <c r="Z421" s="13" t="n">
        <v>0</v>
      </c>
      <c r="AA421" s="13" t="n">
        <v>750.03075</v>
      </c>
      <c r="AB421" s="13" t="n">
        <v>749.923924</v>
      </c>
      <c r="AC421" s="13" t="n">
        <v>750.0636</v>
      </c>
      <c r="AD421" s="13" t="n">
        <v>749.9609</v>
      </c>
      <c r="AE421" s="13" t="n">
        <v>749.93688</v>
      </c>
      <c r="AF421" s="13" t="n">
        <v>749.914</v>
      </c>
      <c r="AG421" s="13" t="n">
        <v>749.92028</v>
      </c>
      <c r="AH421" s="13" t="n">
        <v>749.92335</v>
      </c>
      <c r="AI421" s="13" t="n">
        <v>750.0003</v>
      </c>
      <c r="AJ421" s="13" t="n">
        <v>750.03336</v>
      </c>
      <c r="AK421" s="13" t="n">
        <v>749.9436</v>
      </c>
      <c r="AL421" s="13" t="n">
        <v>749.985032</v>
      </c>
      <c r="AM421" s="13" t="n">
        <v>899.922298</v>
      </c>
      <c r="AN421" s="13" t="n">
        <v>825.073804</v>
      </c>
      <c r="AO421" s="13" t="n">
        <v>0</v>
      </c>
      <c r="AP421" s="13" t="n">
        <v>0</v>
      </c>
      <c r="AQ421" s="13" t="n">
        <v>0</v>
      </c>
      <c r="AR421" s="13" t="n">
        <v>0</v>
      </c>
      <c r="AS421" s="13" t="n">
        <v>0</v>
      </c>
      <c r="AT421" s="13" t="n">
        <v>0</v>
      </c>
    </row>
    <row r="422" customFormat="false" ht="15" hidden="false" customHeight="true" outlineLevel="0" collapsed="false">
      <c r="A422" s="12" t="s">
        <v>1319</v>
      </c>
      <c r="B422" s="12" t="s">
        <v>1320</v>
      </c>
      <c r="C422" s="12" t="n">
        <v>1</v>
      </c>
      <c r="D422" s="12" t="s">
        <v>1321</v>
      </c>
      <c r="E422" s="13" t="n">
        <v>0</v>
      </c>
      <c r="F422" s="13" t="n">
        <v>0</v>
      </c>
      <c r="G422" s="13" t="n">
        <v>0</v>
      </c>
      <c r="H422" s="13" t="n">
        <v>0</v>
      </c>
      <c r="I422" s="13" t="n">
        <v>0</v>
      </c>
      <c r="J422" s="13" t="n">
        <v>0</v>
      </c>
      <c r="K422" s="13" t="n">
        <v>0</v>
      </c>
      <c r="L422" s="13" t="n">
        <v>0</v>
      </c>
      <c r="M422" s="13" t="n">
        <v>0</v>
      </c>
      <c r="N422" s="13" t="n">
        <v>0</v>
      </c>
      <c r="O422" s="13" t="n">
        <v>0</v>
      </c>
      <c r="P422" s="13" t="n">
        <v>0</v>
      </c>
      <c r="Q422" s="13" t="n">
        <v>0</v>
      </c>
      <c r="R422" s="13" t="n">
        <v>0</v>
      </c>
      <c r="S422" s="13" t="n">
        <v>0</v>
      </c>
      <c r="T422" s="13" t="n">
        <v>0</v>
      </c>
      <c r="U422" s="13" t="n">
        <v>0</v>
      </c>
      <c r="V422" s="13" t="n">
        <v>0</v>
      </c>
      <c r="W422" s="13" t="n">
        <v>0</v>
      </c>
      <c r="X422" s="13" t="n">
        <v>0</v>
      </c>
      <c r="Y422" s="13" t="n">
        <v>0</v>
      </c>
      <c r="Z422" s="13" t="n">
        <v>0</v>
      </c>
      <c r="AA422" s="13" t="n">
        <v>0</v>
      </c>
      <c r="AB422" s="13" t="n">
        <v>0</v>
      </c>
      <c r="AC422" s="13" t="n">
        <v>0</v>
      </c>
      <c r="AD422" s="13" t="n">
        <v>0</v>
      </c>
      <c r="AE422" s="13" t="n">
        <v>0</v>
      </c>
      <c r="AF422" s="13" t="n">
        <v>0</v>
      </c>
      <c r="AG422" s="13" t="n">
        <v>0</v>
      </c>
      <c r="AH422" s="13" t="n">
        <v>0</v>
      </c>
      <c r="AI422" s="13" t="n">
        <v>0</v>
      </c>
      <c r="AJ422" s="13" t="n">
        <v>3440.01384</v>
      </c>
      <c r="AK422" s="13" t="n">
        <v>3919.9596</v>
      </c>
      <c r="AL422" s="13" t="n">
        <v>3520.067272</v>
      </c>
      <c r="AM422" s="13" t="n">
        <v>3199.988685</v>
      </c>
      <c r="AN422" s="13" t="n">
        <v>2239.999848</v>
      </c>
      <c r="AO422" s="13" t="n">
        <v>2156.74902</v>
      </c>
      <c r="AP422" s="13" t="n">
        <v>1741.9932</v>
      </c>
      <c r="AQ422" s="13" t="n">
        <v>1658.990826</v>
      </c>
      <c r="AR422" s="13" t="n">
        <v>1659.003682</v>
      </c>
      <c r="AS422" s="13" t="n">
        <v>1327.134699</v>
      </c>
      <c r="AT422" s="13" t="n">
        <v>746.618256</v>
      </c>
    </row>
    <row r="423" customFormat="false" ht="15" hidden="false" customHeight="true" outlineLevel="0" collapsed="false">
      <c r="A423" s="12" t="s">
        <v>1322</v>
      </c>
      <c r="B423" s="12" t="s">
        <v>1323</v>
      </c>
      <c r="C423" s="12" t="n">
        <v>1</v>
      </c>
      <c r="D423" s="12" t="s">
        <v>1324</v>
      </c>
      <c r="E423" s="13" t="n">
        <v>0</v>
      </c>
      <c r="F423" s="13" t="n">
        <v>0</v>
      </c>
      <c r="G423" s="13" t="n">
        <v>0</v>
      </c>
      <c r="H423" s="13" t="n">
        <v>0</v>
      </c>
      <c r="I423" s="13" t="n">
        <v>0</v>
      </c>
      <c r="J423" s="13" t="n">
        <v>0</v>
      </c>
      <c r="K423" s="13" t="n">
        <v>749.976696</v>
      </c>
      <c r="L423" s="13" t="n">
        <v>750.057819</v>
      </c>
      <c r="M423" s="13" t="n">
        <v>750.007575</v>
      </c>
      <c r="N423" s="13" t="n">
        <v>749.994378</v>
      </c>
      <c r="O423" s="13" t="n">
        <v>749.920282</v>
      </c>
      <c r="P423" s="13" t="n">
        <v>749.988239</v>
      </c>
      <c r="Q423" s="13" t="n">
        <v>787.555791</v>
      </c>
      <c r="R423" s="13" t="n">
        <v>787.534401</v>
      </c>
      <c r="S423" s="13" t="n">
        <v>787.493205</v>
      </c>
      <c r="T423" s="13" t="n">
        <v>787.53024</v>
      </c>
      <c r="U423" s="13" t="n">
        <v>787.573685</v>
      </c>
      <c r="V423" s="13" t="n">
        <v>787.424664</v>
      </c>
      <c r="W423" s="13" t="n">
        <v>787.5168</v>
      </c>
      <c r="X423" s="13" t="n">
        <v>787.441358</v>
      </c>
      <c r="Y423" s="13" t="n">
        <v>787.496</v>
      </c>
      <c r="Z423" s="13" t="n">
        <v>787.422592</v>
      </c>
      <c r="AA423" s="13" t="n">
        <v>787.58331</v>
      </c>
      <c r="AB423" s="13" t="n">
        <v>787.561768</v>
      </c>
      <c r="AC423" s="13" t="n">
        <v>781.4972</v>
      </c>
      <c r="AD423" s="13" t="n">
        <v>781.5771</v>
      </c>
      <c r="AE423" s="13" t="n">
        <v>781.57548</v>
      </c>
      <c r="AF423" s="13" t="n">
        <v>781.6336</v>
      </c>
      <c r="AG423" s="13" t="n">
        <v>781.569</v>
      </c>
      <c r="AH423" s="13" t="n">
        <v>781.65015</v>
      </c>
      <c r="AI423" s="13" t="n">
        <v>781.57926</v>
      </c>
      <c r="AJ423" s="13" t="n">
        <v>781.53327</v>
      </c>
      <c r="AK423" s="13" t="n">
        <v>781.497</v>
      </c>
      <c r="AL423" s="13" t="n">
        <v>781.664164</v>
      </c>
      <c r="AM423" s="13" t="n">
        <v>781.608013</v>
      </c>
      <c r="AN423" s="13" t="n">
        <v>781.554218</v>
      </c>
      <c r="AO423" s="13" t="n">
        <v>810.461802</v>
      </c>
      <c r="AP423" s="13" t="n">
        <v>810.34176</v>
      </c>
      <c r="AQ423" s="13" t="n">
        <v>810.482748</v>
      </c>
      <c r="AR423" s="13" t="n">
        <v>810.46812</v>
      </c>
      <c r="AS423" s="13" t="n">
        <v>810.440154</v>
      </c>
      <c r="AT423" s="13" t="n">
        <v>810.499096</v>
      </c>
    </row>
    <row r="424" customFormat="false" ht="15" hidden="false" customHeight="true" outlineLevel="0" collapsed="false">
      <c r="A424" s="12" t="s">
        <v>1325</v>
      </c>
      <c r="B424" s="12" t="s">
        <v>1326</v>
      </c>
      <c r="C424" s="12" t="n">
        <v>1</v>
      </c>
      <c r="D424" s="12" t="s">
        <v>1327</v>
      </c>
      <c r="E424" s="13" t="n">
        <v>802.520676</v>
      </c>
      <c r="F424" s="13" t="n">
        <v>802.537386</v>
      </c>
      <c r="G424" s="13" t="n">
        <v>802.567302</v>
      </c>
      <c r="H424" s="13" t="n">
        <v>802.541763</v>
      </c>
      <c r="I424" s="13" t="n">
        <v>802.41322</v>
      </c>
      <c r="J424" s="13" t="n">
        <v>802.465915</v>
      </c>
      <c r="K424" s="13" t="n">
        <v>0</v>
      </c>
      <c r="L424" s="13" t="n">
        <v>802.473112</v>
      </c>
      <c r="M424" s="13" t="n">
        <v>802.534545</v>
      </c>
      <c r="N424" s="13" t="n">
        <v>0</v>
      </c>
      <c r="O424" s="13" t="n">
        <v>0</v>
      </c>
      <c r="P424" s="13" t="n">
        <v>0</v>
      </c>
      <c r="Q424" s="13" t="n">
        <v>0</v>
      </c>
      <c r="R424" s="13" t="n">
        <v>0</v>
      </c>
      <c r="S424" s="13" t="n">
        <v>0</v>
      </c>
      <c r="T424" s="13" t="n">
        <v>0</v>
      </c>
      <c r="U424" s="13" t="n">
        <v>0</v>
      </c>
      <c r="V424" s="13" t="n">
        <v>0</v>
      </c>
      <c r="W424" s="13" t="n">
        <v>0</v>
      </c>
      <c r="X424" s="13" t="n">
        <v>0</v>
      </c>
      <c r="Y424" s="13" t="n">
        <v>0</v>
      </c>
      <c r="Z424" s="13" t="n">
        <v>0</v>
      </c>
      <c r="AA424" s="13" t="n">
        <v>0</v>
      </c>
      <c r="AB424" s="13" t="n">
        <v>0</v>
      </c>
      <c r="AC424" s="13" t="n">
        <v>0</v>
      </c>
      <c r="AD424" s="13" t="n">
        <v>0</v>
      </c>
      <c r="AE424" s="13" t="n">
        <v>0</v>
      </c>
      <c r="AF424" s="13" t="n">
        <v>0</v>
      </c>
      <c r="AG424" s="13" t="n">
        <v>0</v>
      </c>
      <c r="AH424" s="13" t="n">
        <v>0</v>
      </c>
      <c r="AI424" s="13" t="n">
        <v>0</v>
      </c>
      <c r="AJ424" s="13" t="n">
        <v>0</v>
      </c>
      <c r="AK424" s="13" t="n">
        <v>0</v>
      </c>
      <c r="AL424" s="13" t="n">
        <v>0</v>
      </c>
      <c r="AM424" s="13" t="n">
        <v>0</v>
      </c>
      <c r="AN424" s="13" t="n">
        <v>0</v>
      </c>
      <c r="AO424" s="13" t="n">
        <v>0</v>
      </c>
      <c r="AP424" s="13" t="n">
        <v>0</v>
      </c>
      <c r="AQ424" s="13" t="n">
        <v>0</v>
      </c>
      <c r="AR424" s="13" t="n">
        <v>0</v>
      </c>
      <c r="AS424" s="13" t="n">
        <v>0</v>
      </c>
      <c r="AT424" s="13" t="n">
        <v>0</v>
      </c>
    </row>
    <row r="425" customFormat="false" ht="15" hidden="false" customHeight="true" outlineLevel="0" collapsed="false">
      <c r="A425" s="12" t="s">
        <v>1328</v>
      </c>
      <c r="B425" s="12" t="s">
        <v>1329</v>
      </c>
      <c r="C425" s="12" t="n">
        <v>1</v>
      </c>
      <c r="D425" s="12" t="s">
        <v>1330</v>
      </c>
      <c r="E425" s="13" t="n">
        <v>749.933316</v>
      </c>
      <c r="F425" s="13" t="n">
        <v>750.089976</v>
      </c>
      <c r="G425" s="13" t="n">
        <v>750.076432</v>
      </c>
      <c r="H425" s="13" t="n">
        <v>750.049146</v>
      </c>
      <c r="I425" s="13" t="n">
        <v>749.920549</v>
      </c>
      <c r="J425" s="13" t="n">
        <v>749.94896</v>
      </c>
      <c r="K425" s="13" t="n">
        <v>749.976696</v>
      </c>
      <c r="L425" s="13" t="n">
        <v>750.057819</v>
      </c>
      <c r="M425" s="13" t="n">
        <v>750.007575</v>
      </c>
      <c r="N425" s="13" t="n">
        <v>749.994378</v>
      </c>
      <c r="O425" s="13" t="n">
        <v>749.920282</v>
      </c>
      <c r="P425" s="13" t="n">
        <v>749.988239</v>
      </c>
      <c r="Q425" s="13" t="n">
        <v>787.555791</v>
      </c>
      <c r="R425" s="13" t="n">
        <v>787.534401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0</v>
      </c>
      <c r="X425" s="13" t="n">
        <v>0</v>
      </c>
      <c r="Y425" s="13" t="n">
        <v>0</v>
      </c>
      <c r="Z425" s="13" t="n">
        <v>0</v>
      </c>
      <c r="AA425" s="13" t="n">
        <v>0</v>
      </c>
      <c r="AB425" s="13" t="n">
        <v>0</v>
      </c>
      <c r="AC425" s="13" t="n">
        <v>0</v>
      </c>
      <c r="AD425" s="13" t="n">
        <v>0</v>
      </c>
      <c r="AE425" s="13" t="n">
        <v>0</v>
      </c>
      <c r="AF425" s="13" t="n">
        <v>599.9312</v>
      </c>
      <c r="AG425" s="13" t="n">
        <v>539.95804</v>
      </c>
      <c r="AH425" s="13" t="n">
        <v>480.0567</v>
      </c>
      <c r="AI425" s="13" t="n">
        <v>540.03781</v>
      </c>
      <c r="AJ425" s="13" t="n">
        <v>539.97183</v>
      </c>
      <c r="AK425" s="13" t="n">
        <v>600.06495</v>
      </c>
      <c r="AL425" s="13" t="n">
        <v>719.963529</v>
      </c>
      <c r="AM425" s="13" t="n">
        <v>600.009343</v>
      </c>
      <c r="AN425" s="13" t="n">
        <v>839.999943</v>
      </c>
      <c r="AO425" s="13" t="n">
        <v>746.50066</v>
      </c>
      <c r="AP425" s="13" t="n">
        <v>622.0788</v>
      </c>
      <c r="AQ425" s="13" t="n">
        <v>622.166828</v>
      </c>
      <c r="AR425" s="13" t="n">
        <v>622.060596</v>
      </c>
      <c r="AS425" s="13" t="n">
        <v>559.968795</v>
      </c>
      <c r="AT425" s="13" t="n">
        <v>497.745504</v>
      </c>
    </row>
    <row r="426" customFormat="false" ht="15" hidden="false" customHeight="true" outlineLevel="0" collapsed="false">
      <c r="A426" s="12" t="s">
        <v>1331</v>
      </c>
      <c r="B426" s="12" t="s">
        <v>1332</v>
      </c>
      <c r="C426" s="12" t="n">
        <v>1</v>
      </c>
      <c r="D426" s="12" t="s">
        <v>1333</v>
      </c>
      <c r="E426" s="13" t="n">
        <v>0</v>
      </c>
      <c r="F426" s="13" t="n">
        <v>0</v>
      </c>
      <c r="G426" s="13" t="n">
        <v>0</v>
      </c>
      <c r="H426" s="13" t="n">
        <v>0</v>
      </c>
      <c r="I426" s="13" t="n">
        <v>0</v>
      </c>
      <c r="J426" s="13" t="n">
        <v>0</v>
      </c>
      <c r="K426" s="13" t="n">
        <v>0</v>
      </c>
      <c r="L426" s="13" t="n">
        <v>0</v>
      </c>
      <c r="M426" s="13" t="n">
        <v>0</v>
      </c>
      <c r="N426" s="13" t="n">
        <v>0</v>
      </c>
      <c r="O426" s="13" t="n">
        <v>0</v>
      </c>
      <c r="P426" s="13" t="n">
        <v>0</v>
      </c>
      <c r="Q426" s="13" t="n">
        <v>0</v>
      </c>
      <c r="R426" s="13" t="n">
        <v>0</v>
      </c>
      <c r="S426" s="13" t="n">
        <v>0</v>
      </c>
      <c r="T426" s="13" t="n">
        <v>0</v>
      </c>
      <c r="U426" s="13" t="n">
        <v>0</v>
      </c>
      <c r="V426" s="13" t="n">
        <v>0</v>
      </c>
      <c r="W426" s="13" t="n">
        <v>0</v>
      </c>
      <c r="X426" s="13" t="n">
        <v>884.012484</v>
      </c>
      <c r="Y426" s="13" t="n">
        <v>934.954626</v>
      </c>
      <c r="Z426" s="13" t="n">
        <v>917.924656</v>
      </c>
      <c r="AA426" s="13" t="n">
        <v>934.93629</v>
      </c>
      <c r="AB426" s="13" t="n">
        <v>986.071042</v>
      </c>
      <c r="AC426" s="13" t="n">
        <v>992.2264</v>
      </c>
      <c r="AD426" s="13" t="n">
        <v>1027.7318</v>
      </c>
      <c r="AE426" s="13" t="n">
        <v>1045.50264</v>
      </c>
      <c r="AF426" s="13" t="n">
        <v>992.3144</v>
      </c>
      <c r="AG426" s="13" t="n">
        <v>956.79484</v>
      </c>
      <c r="AH426" s="13" t="n">
        <v>992.40675</v>
      </c>
      <c r="AI426" s="13" t="n">
        <v>0</v>
      </c>
      <c r="AJ426" s="13" t="n">
        <v>992.34036</v>
      </c>
      <c r="AK426" s="13" t="n">
        <v>1027.6869</v>
      </c>
      <c r="AL426" s="13" t="n">
        <v>939.138919</v>
      </c>
      <c r="AM426" s="13" t="n">
        <v>956.969961</v>
      </c>
      <c r="AN426" s="13" t="n">
        <v>939.087926</v>
      </c>
      <c r="AO426" s="13" t="n">
        <v>1010.27572</v>
      </c>
      <c r="AP426" s="13" t="n">
        <v>973.58352</v>
      </c>
      <c r="AQ426" s="13" t="n">
        <v>1193.995362</v>
      </c>
      <c r="AR426" s="13" t="n">
        <v>1267.45285</v>
      </c>
      <c r="AS426" s="13" t="n">
        <v>1267.589331</v>
      </c>
      <c r="AT426" s="13" t="n">
        <v>1304.219232</v>
      </c>
    </row>
    <row r="427" customFormat="false" ht="15" hidden="false" customHeight="true" outlineLevel="0" collapsed="false">
      <c r="A427" s="12" t="s">
        <v>1334</v>
      </c>
      <c r="B427" s="12" t="s">
        <v>1335</v>
      </c>
      <c r="C427" s="12" t="n">
        <v>1</v>
      </c>
      <c r="D427" s="12" t="s">
        <v>1336</v>
      </c>
      <c r="E427" s="13" t="n">
        <v>0</v>
      </c>
      <c r="F427" s="13" t="n">
        <v>0</v>
      </c>
      <c r="G427" s="13" t="n">
        <v>0</v>
      </c>
      <c r="H427" s="13" t="n">
        <v>0</v>
      </c>
      <c r="I427" s="13" t="n">
        <v>0</v>
      </c>
      <c r="J427" s="13" t="n">
        <v>0</v>
      </c>
      <c r="K427" s="13" t="n">
        <v>0</v>
      </c>
      <c r="L427" s="13" t="n">
        <v>0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  <c r="X427" s="13" t="n">
        <v>0</v>
      </c>
      <c r="Y427" s="13" t="n">
        <v>0</v>
      </c>
      <c r="Z427" s="13" t="n">
        <v>0</v>
      </c>
      <c r="AA427" s="13" t="n">
        <v>0</v>
      </c>
      <c r="AB427" s="13" t="n">
        <v>0</v>
      </c>
      <c r="AC427" s="13" t="n">
        <v>0</v>
      </c>
      <c r="AD427" s="13" t="n">
        <v>0</v>
      </c>
      <c r="AE427" s="13" t="n">
        <v>0</v>
      </c>
      <c r="AF427" s="13" t="n">
        <v>0</v>
      </c>
      <c r="AG427" s="13" t="n">
        <v>0</v>
      </c>
      <c r="AH427" s="13" t="n">
        <v>0</v>
      </c>
      <c r="AI427" s="13" t="n">
        <v>0</v>
      </c>
      <c r="AJ427" s="13" t="n">
        <v>0</v>
      </c>
      <c r="AK427" s="13" t="n">
        <v>12689.9703</v>
      </c>
      <c r="AL427" s="13" t="n">
        <v>4694.957871</v>
      </c>
      <c r="AM427" s="13" t="n">
        <v>8685.002251</v>
      </c>
      <c r="AN427" s="13" t="n">
        <v>8535.054013</v>
      </c>
      <c r="AO427" s="13" t="n">
        <v>9112.30771</v>
      </c>
      <c r="AP427" s="13" t="n">
        <v>7600.92288</v>
      </c>
      <c r="AQ427" s="13" t="n">
        <v>9252.287081</v>
      </c>
      <c r="AR427" s="13" t="n">
        <v>0</v>
      </c>
      <c r="AS427" s="13" t="n">
        <v>1104.012666</v>
      </c>
      <c r="AT427" s="13" t="n">
        <v>964.163144</v>
      </c>
    </row>
    <row r="428" customFormat="false" ht="15" hidden="false" customHeight="true" outlineLevel="0" collapsed="false">
      <c r="A428" s="12" t="s">
        <v>1337</v>
      </c>
      <c r="B428" s="12" t="s">
        <v>1338</v>
      </c>
      <c r="C428" s="12" t="n">
        <v>1</v>
      </c>
      <c r="D428" s="12" t="s">
        <v>1339</v>
      </c>
      <c r="E428" s="13" t="n">
        <v>5578.95546</v>
      </c>
      <c r="F428" s="13" t="n">
        <v>5367.11829</v>
      </c>
      <c r="G428" s="13" t="n">
        <v>5720.237809</v>
      </c>
      <c r="H428" s="13" t="n">
        <v>5579.009136</v>
      </c>
      <c r="I428" s="13" t="n">
        <v>5649.589995</v>
      </c>
      <c r="J428" s="13" t="n">
        <v>6850.12686</v>
      </c>
      <c r="K428" s="13" t="n">
        <v>6920.67948</v>
      </c>
      <c r="L428" s="13" t="n">
        <v>6779.491124</v>
      </c>
      <c r="M428" s="13" t="n">
        <v>6850.186695</v>
      </c>
      <c r="N428" s="13" t="n">
        <v>7485.670218</v>
      </c>
      <c r="O428" s="13" t="n">
        <v>7768.162297</v>
      </c>
      <c r="P428" s="13" t="n">
        <v>7273.853902</v>
      </c>
      <c r="Q428" s="13" t="n">
        <v>8898.161418</v>
      </c>
      <c r="R428" s="13" t="n">
        <v>8545.098684</v>
      </c>
      <c r="S428" s="13" t="n">
        <v>8333.1039</v>
      </c>
      <c r="T428" s="13" t="n">
        <v>9392.48128</v>
      </c>
      <c r="U428" s="13" t="n">
        <v>9463.092036</v>
      </c>
      <c r="V428" s="13" t="n">
        <v>8474.487528</v>
      </c>
      <c r="W428" s="13" t="n">
        <v>8544.932288</v>
      </c>
      <c r="X428" s="13" t="n">
        <v>7768.125852</v>
      </c>
      <c r="Y428" s="13" t="n">
        <v>7838.735184</v>
      </c>
      <c r="Z428" s="13" t="n">
        <v>8968.75936</v>
      </c>
      <c r="AA428" s="13" t="n">
        <v>8827.50477</v>
      </c>
      <c r="AB428" s="13" t="n">
        <v>8968.733988</v>
      </c>
      <c r="AC428" s="13" t="n">
        <v>10081.9136</v>
      </c>
      <c r="AD428" s="13" t="n">
        <v>9493.072</v>
      </c>
      <c r="AE428" s="13" t="n">
        <v>9566.69616</v>
      </c>
      <c r="AF428" s="13" t="n">
        <v>9272.3048</v>
      </c>
      <c r="AG428" s="13" t="n">
        <v>8978.00854</v>
      </c>
      <c r="AH428" s="13" t="n">
        <v>9051.5805</v>
      </c>
      <c r="AI428" s="13" t="n">
        <v>9861.09417</v>
      </c>
      <c r="AJ428" s="13" t="n">
        <v>9640.27719</v>
      </c>
      <c r="AK428" s="13" t="n">
        <v>9198.73335</v>
      </c>
      <c r="AL428" s="13" t="n">
        <v>8610.093388</v>
      </c>
      <c r="AM428" s="13" t="n">
        <v>9566.764682</v>
      </c>
      <c r="AN428" s="13" t="n">
        <v>8683.596071</v>
      </c>
      <c r="AO428" s="13" t="n">
        <v>9386.082086</v>
      </c>
      <c r="AP428" s="13" t="n">
        <v>9004.52592</v>
      </c>
      <c r="AQ428" s="13" t="n">
        <v>9309.868295</v>
      </c>
      <c r="AR428" s="13" t="n">
        <v>9615.09906</v>
      </c>
      <c r="AS428" s="13" t="n">
        <v>9538.683282</v>
      </c>
      <c r="AT428" s="13" t="n">
        <v>10149.17784</v>
      </c>
    </row>
    <row r="429" customFormat="false" ht="15" hidden="false" customHeight="true" outlineLevel="0" collapsed="false">
      <c r="A429" s="12" t="s">
        <v>1340</v>
      </c>
      <c r="B429" s="12" t="s">
        <v>1341</v>
      </c>
      <c r="C429" s="12" t="n">
        <v>1</v>
      </c>
      <c r="D429" s="12" t="s">
        <v>1342</v>
      </c>
      <c r="E429" s="13" t="n">
        <v>0</v>
      </c>
      <c r="F429" s="13" t="n">
        <v>0</v>
      </c>
      <c r="G429" s="13" t="n">
        <v>0</v>
      </c>
      <c r="H429" s="13" t="n">
        <v>0</v>
      </c>
      <c r="I429" s="13" t="n">
        <v>0</v>
      </c>
      <c r="J429" s="13" t="n">
        <v>0</v>
      </c>
      <c r="K429" s="13" t="n">
        <v>0</v>
      </c>
      <c r="L429" s="13" t="n">
        <v>0</v>
      </c>
      <c r="M429" s="13" t="n">
        <v>0</v>
      </c>
      <c r="N429" s="13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1260.05529</v>
      </c>
      <c r="T429" s="13" t="n">
        <v>1499.98464</v>
      </c>
      <c r="U429" s="13" t="n">
        <v>1259.948343</v>
      </c>
      <c r="V429" s="13" t="n">
        <v>1680.048084</v>
      </c>
      <c r="W429" s="13" t="n">
        <v>1740.03712</v>
      </c>
      <c r="X429" s="13" t="n">
        <v>1440.040076</v>
      </c>
      <c r="Y429" s="13" t="n">
        <v>1499.983006</v>
      </c>
      <c r="Z429" s="13" t="n">
        <v>1199.977504</v>
      </c>
      <c r="AA429" s="13" t="n">
        <v>0</v>
      </c>
      <c r="AB429" s="13" t="n">
        <v>0</v>
      </c>
      <c r="AC429" s="13" t="n">
        <v>0</v>
      </c>
      <c r="AD429" s="13" t="n">
        <v>0</v>
      </c>
      <c r="AE429" s="13" t="n">
        <v>0</v>
      </c>
      <c r="AF429" s="13" t="n">
        <v>0</v>
      </c>
      <c r="AG429" s="13" t="n">
        <v>0</v>
      </c>
      <c r="AH429" s="13" t="n">
        <v>0</v>
      </c>
      <c r="AI429" s="13" t="n">
        <v>0</v>
      </c>
      <c r="AJ429" s="13" t="n">
        <v>0</v>
      </c>
      <c r="AK429" s="13" t="n">
        <v>0</v>
      </c>
      <c r="AL429" s="13" t="n">
        <v>0</v>
      </c>
      <c r="AM429" s="13" t="n">
        <v>0</v>
      </c>
      <c r="AN429" s="13" t="n">
        <v>0</v>
      </c>
      <c r="AO429" s="13" t="n">
        <v>0</v>
      </c>
      <c r="AP429" s="13" t="n">
        <v>0</v>
      </c>
      <c r="AQ429" s="13" t="n">
        <v>0</v>
      </c>
      <c r="AR429" s="13" t="n">
        <v>0</v>
      </c>
      <c r="AS429" s="13" t="n">
        <v>0</v>
      </c>
      <c r="AT429" s="13" t="n">
        <v>0</v>
      </c>
    </row>
    <row r="430" customFormat="false" ht="15" hidden="false" customHeight="true" outlineLevel="0" collapsed="false">
      <c r="A430" s="12" t="s">
        <v>1343</v>
      </c>
      <c r="B430" s="12" t="s">
        <v>1344</v>
      </c>
      <c r="C430" s="12" t="n">
        <v>1</v>
      </c>
      <c r="D430" s="12" t="s">
        <v>1345</v>
      </c>
      <c r="E430" s="13" t="n">
        <v>0</v>
      </c>
      <c r="F430" s="13" t="n">
        <v>0</v>
      </c>
      <c r="G430" s="13" t="n">
        <v>0</v>
      </c>
      <c r="H430" s="13" t="n">
        <v>0</v>
      </c>
      <c r="I430" s="13" t="n">
        <v>0</v>
      </c>
      <c r="J430" s="13" t="n">
        <v>0</v>
      </c>
      <c r="K430" s="13" t="n">
        <v>0</v>
      </c>
      <c r="L430" s="13" t="n">
        <v>0</v>
      </c>
      <c r="M430" s="13" t="n">
        <v>0</v>
      </c>
      <c r="N430" s="13" t="n">
        <v>0</v>
      </c>
      <c r="O430" s="13" t="n">
        <v>0</v>
      </c>
      <c r="P430" s="13" t="n">
        <v>0</v>
      </c>
      <c r="Q430" s="13" t="n">
        <v>0</v>
      </c>
      <c r="R430" s="13" t="n">
        <v>0</v>
      </c>
      <c r="S430" s="13" t="n">
        <v>0</v>
      </c>
      <c r="T430" s="13" t="n">
        <v>0</v>
      </c>
      <c r="U430" s="13" t="n">
        <v>0</v>
      </c>
      <c r="V430" s="13" t="n">
        <v>0</v>
      </c>
      <c r="W430" s="13" t="n">
        <v>0</v>
      </c>
      <c r="X430" s="13" t="n">
        <v>0</v>
      </c>
      <c r="Y430" s="13" t="n">
        <v>1935.074546</v>
      </c>
      <c r="Z430" s="13" t="n">
        <v>1935.078992</v>
      </c>
      <c r="AA430" s="13" t="n">
        <v>0</v>
      </c>
      <c r="AB430" s="13" t="n">
        <v>0</v>
      </c>
      <c r="AC430" s="13" t="n">
        <v>0</v>
      </c>
      <c r="AD430" s="13" t="n">
        <v>0</v>
      </c>
      <c r="AE430" s="13" t="n">
        <v>0</v>
      </c>
      <c r="AF430" s="13" t="n">
        <v>0</v>
      </c>
      <c r="AG430" s="13" t="n">
        <v>0</v>
      </c>
      <c r="AH430" s="13" t="n">
        <v>0</v>
      </c>
      <c r="AI430" s="13" t="n">
        <v>0</v>
      </c>
      <c r="AJ430" s="13" t="n">
        <v>0</v>
      </c>
      <c r="AK430" s="13" t="n">
        <v>2907.13215</v>
      </c>
      <c r="AL430" s="13" t="n">
        <v>2907.112904</v>
      </c>
      <c r="AM430" s="13" t="n">
        <v>2907.229617</v>
      </c>
      <c r="AN430" s="13" t="n">
        <v>2907.180278</v>
      </c>
      <c r="AO430" s="13" t="n">
        <v>3469.935054</v>
      </c>
      <c r="AP430" s="13" t="n">
        <v>3188.56368</v>
      </c>
      <c r="AQ430" s="13" t="n">
        <v>3188.514457</v>
      </c>
      <c r="AR430" s="13" t="n">
        <v>3188.542976</v>
      </c>
      <c r="AS430" s="13" t="n">
        <v>3188.44674</v>
      </c>
      <c r="AT430" s="13" t="n">
        <v>3188.966536</v>
      </c>
    </row>
    <row r="431" customFormat="false" ht="15" hidden="false" customHeight="true" outlineLevel="0" collapsed="false">
      <c r="A431" s="12" t="s">
        <v>1346</v>
      </c>
      <c r="B431" s="12" t="s">
        <v>1347</v>
      </c>
      <c r="C431" s="12" t="n">
        <v>1</v>
      </c>
      <c r="D431" s="12" t="s">
        <v>1348</v>
      </c>
      <c r="E431" s="13" t="n">
        <v>0</v>
      </c>
      <c r="F431" s="13" t="n">
        <v>0</v>
      </c>
      <c r="G431" s="13" t="n">
        <v>0</v>
      </c>
      <c r="H431" s="13" t="n">
        <v>0</v>
      </c>
      <c r="I431" s="13" t="n">
        <v>0</v>
      </c>
      <c r="J431" s="13" t="n">
        <v>0</v>
      </c>
      <c r="K431" s="13" t="n">
        <v>0</v>
      </c>
      <c r="L431" s="13" t="n">
        <v>0</v>
      </c>
      <c r="M431" s="13" t="n">
        <v>0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0</v>
      </c>
      <c r="U431" s="13" t="n">
        <v>0</v>
      </c>
      <c r="V431" s="13" t="n">
        <v>0</v>
      </c>
      <c r="W431" s="13" t="n">
        <v>0</v>
      </c>
      <c r="X431" s="13" t="n">
        <v>0</v>
      </c>
      <c r="Y431" s="13" t="n">
        <v>0</v>
      </c>
      <c r="Z431" s="13" t="n">
        <v>0</v>
      </c>
      <c r="AA431" s="13" t="n">
        <v>0</v>
      </c>
      <c r="AB431" s="13" t="n">
        <v>0</v>
      </c>
      <c r="AC431" s="13" t="n">
        <v>0</v>
      </c>
      <c r="AD431" s="13" t="n">
        <v>0</v>
      </c>
      <c r="AE431" s="13" t="n">
        <v>0</v>
      </c>
      <c r="AF431" s="13" t="n">
        <v>0</v>
      </c>
      <c r="AG431" s="13" t="n">
        <v>0</v>
      </c>
      <c r="AH431" s="13" t="n">
        <v>0</v>
      </c>
      <c r="AI431" s="13" t="n">
        <v>0</v>
      </c>
      <c r="AJ431" s="13" t="n">
        <v>0</v>
      </c>
      <c r="AK431" s="13" t="n">
        <v>549.9831</v>
      </c>
      <c r="AL431" s="13" t="n">
        <v>549.964466</v>
      </c>
      <c r="AM431" s="13" t="n">
        <v>549.932134</v>
      </c>
      <c r="AN431" s="13" t="n">
        <v>549.929314</v>
      </c>
      <c r="AO431" s="13" t="n">
        <v>570.305816</v>
      </c>
      <c r="AP431" s="13" t="n">
        <v>0</v>
      </c>
      <c r="AQ431" s="13" t="n">
        <v>0</v>
      </c>
      <c r="AR431" s="13" t="n">
        <v>0</v>
      </c>
      <c r="AS431" s="13" t="n">
        <v>0</v>
      </c>
      <c r="AT431" s="13" t="n">
        <v>0</v>
      </c>
    </row>
    <row r="432" customFormat="false" ht="15" hidden="false" customHeight="true" outlineLevel="0" collapsed="false">
      <c r="A432" s="12" t="s">
        <v>1349</v>
      </c>
      <c r="B432" s="12" t="s">
        <v>1350</v>
      </c>
      <c r="C432" s="12" t="n">
        <v>1</v>
      </c>
      <c r="D432" s="12" t="s">
        <v>1351</v>
      </c>
      <c r="E432" s="13" t="n">
        <v>33000.070896</v>
      </c>
      <c r="F432" s="13" t="n">
        <v>32999.910372</v>
      </c>
      <c r="G432" s="13" t="n">
        <v>32999.923951</v>
      </c>
      <c r="H432" s="13" t="n">
        <v>32999.99778</v>
      </c>
      <c r="I432" s="13" t="n">
        <v>33000.039016</v>
      </c>
      <c r="J432" s="13" t="n">
        <v>32999.978085</v>
      </c>
      <c r="K432" s="13" t="n">
        <v>32999.975928</v>
      </c>
      <c r="L432" s="13" t="n">
        <v>33000.032121</v>
      </c>
      <c r="M432" s="13" t="n">
        <v>32999.98077</v>
      </c>
      <c r="N432" s="13" t="n">
        <v>32999.93331</v>
      </c>
      <c r="O432" s="13" t="n">
        <v>32999.933988</v>
      </c>
      <c r="P432" s="13" t="n">
        <v>32999.990065</v>
      </c>
      <c r="Q432" s="13" t="n">
        <v>34650.051102</v>
      </c>
      <c r="R432" s="13" t="n">
        <v>34649.975157</v>
      </c>
      <c r="S432" s="13" t="n">
        <v>34650.03183</v>
      </c>
      <c r="T432" s="13" t="n">
        <v>34649.96864</v>
      </c>
      <c r="U432" s="13" t="n">
        <v>34650.020633</v>
      </c>
      <c r="V432" s="13" t="n">
        <v>34650.001464</v>
      </c>
      <c r="W432" s="13" t="n">
        <v>34649.989184</v>
      </c>
      <c r="X432" s="13" t="n">
        <v>34649.997626</v>
      </c>
      <c r="Y432" s="13" t="n">
        <v>34650.020874</v>
      </c>
      <c r="Z432" s="13" t="n">
        <v>34650.001936</v>
      </c>
      <c r="AA432" s="13" t="n">
        <v>34649.99202</v>
      </c>
      <c r="AB432" s="13" t="n">
        <v>34650.08719</v>
      </c>
      <c r="AC432" s="13" t="n">
        <v>34649.9604</v>
      </c>
      <c r="AD432" s="13" t="n">
        <v>34649.9181</v>
      </c>
      <c r="AE432" s="13" t="n">
        <v>34649.98236</v>
      </c>
      <c r="AF432" s="13" t="n">
        <v>34649.9428</v>
      </c>
      <c r="AG432" s="13" t="n">
        <v>34649.94496</v>
      </c>
      <c r="AH432" s="13" t="n">
        <v>34650.00915</v>
      </c>
      <c r="AI432" s="13" t="n">
        <v>34650.01386</v>
      </c>
      <c r="AJ432" s="13" t="n">
        <v>34650.08739</v>
      </c>
      <c r="AK432" s="13" t="n">
        <v>34650.036</v>
      </c>
      <c r="AL432" s="13" t="n">
        <v>34649.97153</v>
      </c>
      <c r="AM432" s="13" t="n">
        <v>34649.943401</v>
      </c>
      <c r="AN432" s="13" t="n">
        <v>34650.042607</v>
      </c>
      <c r="AO432" s="13" t="n">
        <v>34650.043568</v>
      </c>
      <c r="AP432" s="13" t="n">
        <v>34650.048</v>
      </c>
      <c r="AQ432" s="13" t="n">
        <v>34649.948207</v>
      </c>
      <c r="AR432" s="13" t="n">
        <v>34649.968094</v>
      </c>
      <c r="AS432" s="13" t="n">
        <v>34650.038169</v>
      </c>
      <c r="AT432" s="13" t="n">
        <v>34650.017712</v>
      </c>
    </row>
    <row r="433" customFormat="false" ht="15" hidden="false" customHeight="true" outlineLevel="0" collapsed="false">
      <c r="A433" s="12" t="s">
        <v>1352</v>
      </c>
      <c r="B433" s="12" t="s">
        <v>1353</v>
      </c>
      <c r="C433" s="12" t="n">
        <v>1</v>
      </c>
      <c r="D433" s="12" t="s">
        <v>1354</v>
      </c>
      <c r="E433" s="13" t="n">
        <v>0</v>
      </c>
      <c r="F433" s="13" t="n">
        <v>802.537386</v>
      </c>
      <c r="G433" s="13" t="n">
        <v>802.567302</v>
      </c>
      <c r="H433" s="13" t="n">
        <v>802.541763</v>
      </c>
      <c r="I433" s="13" t="n">
        <v>802.41322</v>
      </c>
      <c r="J433" s="13" t="n">
        <v>802.465915</v>
      </c>
      <c r="K433" s="13" t="n">
        <v>802.545156</v>
      </c>
      <c r="L433" s="13" t="n">
        <v>802.473112</v>
      </c>
      <c r="M433" s="13" t="n">
        <v>802.534545</v>
      </c>
      <c r="N433" s="13" t="n">
        <v>802.571676</v>
      </c>
      <c r="O433" s="13" t="n">
        <v>802.576456</v>
      </c>
      <c r="P433" s="13" t="n">
        <v>802.434969</v>
      </c>
      <c r="Q433" s="13" t="n">
        <v>842.669244</v>
      </c>
      <c r="R433" s="13" t="n">
        <v>842.578047</v>
      </c>
      <c r="S433" s="13" t="n">
        <v>842.57307</v>
      </c>
      <c r="T433" s="13" t="n">
        <v>842.688</v>
      </c>
      <c r="U433" s="13" t="n">
        <v>842.67841</v>
      </c>
      <c r="V433" s="13" t="n">
        <v>842.695464</v>
      </c>
      <c r="W433" s="13" t="n">
        <v>842.642976</v>
      </c>
      <c r="X433" s="13" t="n">
        <v>842.568202</v>
      </c>
      <c r="Y433" s="13" t="n">
        <v>842.62072</v>
      </c>
      <c r="Z433" s="13" t="n">
        <v>842.550192</v>
      </c>
      <c r="AA433" s="13" t="n">
        <v>842.68761</v>
      </c>
      <c r="AB433" s="13" t="n">
        <v>842.602056</v>
      </c>
      <c r="AC433" s="13" t="n">
        <v>878.0728</v>
      </c>
      <c r="AD433" s="13" t="n">
        <v>878.0681</v>
      </c>
      <c r="AE433" s="13" t="n">
        <v>878.12424</v>
      </c>
      <c r="AF433" s="13" t="n">
        <v>878.163</v>
      </c>
      <c r="AG433" s="13" t="n">
        <v>878.059</v>
      </c>
      <c r="AH433" s="13" t="n">
        <v>0</v>
      </c>
      <c r="AI433" s="13" t="n">
        <v>0</v>
      </c>
      <c r="AJ433" s="13" t="n">
        <v>0</v>
      </c>
      <c r="AK433" s="13" t="n">
        <v>0</v>
      </c>
      <c r="AL433" s="13" t="n">
        <v>0</v>
      </c>
      <c r="AM433" s="13" t="n">
        <v>0</v>
      </c>
      <c r="AN433" s="13" t="n">
        <v>0</v>
      </c>
      <c r="AO433" s="13" t="n">
        <v>0</v>
      </c>
      <c r="AP433" s="13" t="n">
        <v>0</v>
      </c>
      <c r="AQ433" s="13" t="n">
        <v>0</v>
      </c>
      <c r="AR433" s="13" t="n">
        <v>0</v>
      </c>
      <c r="AS433" s="13" t="n">
        <v>0</v>
      </c>
      <c r="AT433" s="13" t="n">
        <v>0</v>
      </c>
    </row>
    <row r="434" customFormat="false" ht="15" hidden="false" customHeight="true" outlineLevel="0" collapsed="false">
      <c r="A434" s="12" t="s">
        <v>1355</v>
      </c>
      <c r="B434" s="12" t="s">
        <v>1356</v>
      </c>
      <c r="C434" s="12" t="n">
        <v>1</v>
      </c>
      <c r="D434" s="12" t="s">
        <v>1357</v>
      </c>
      <c r="E434" s="13" t="n">
        <v>0</v>
      </c>
      <c r="F434" s="13" t="n">
        <v>0</v>
      </c>
      <c r="G434" s="13" t="n">
        <v>0</v>
      </c>
      <c r="H434" s="13" t="n">
        <v>0</v>
      </c>
      <c r="I434" s="13" t="n">
        <v>0</v>
      </c>
      <c r="J434" s="13" t="n">
        <v>0</v>
      </c>
      <c r="K434" s="13" t="n">
        <v>0</v>
      </c>
      <c r="L434" s="13" t="n">
        <v>0</v>
      </c>
      <c r="M434" s="13" t="n">
        <v>0</v>
      </c>
      <c r="N434" s="13" t="n">
        <v>0</v>
      </c>
      <c r="O434" s="13" t="n">
        <v>0</v>
      </c>
      <c r="P434" s="13" t="n">
        <v>0</v>
      </c>
      <c r="Q434" s="13" t="n">
        <v>0</v>
      </c>
      <c r="R434" s="13" t="n">
        <v>0</v>
      </c>
      <c r="S434" s="13" t="n">
        <v>0</v>
      </c>
      <c r="T434" s="13" t="n">
        <v>0</v>
      </c>
      <c r="U434" s="13" t="n">
        <v>0</v>
      </c>
      <c r="V434" s="13" t="n">
        <v>0</v>
      </c>
      <c r="W434" s="13" t="n">
        <v>0</v>
      </c>
      <c r="X434" s="13" t="n">
        <v>0</v>
      </c>
      <c r="Y434" s="13" t="n">
        <v>0</v>
      </c>
      <c r="Z434" s="13" t="n">
        <v>0</v>
      </c>
      <c r="AA434" s="13" t="n">
        <v>0</v>
      </c>
      <c r="AB434" s="13" t="n">
        <v>0</v>
      </c>
      <c r="AC434" s="13" t="n">
        <v>0</v>
      </c>
      <c r="AD434" s="13" t="n">
        <v>0</v>
      </c>
      <c r="AE434" s="13" t="n">
        <v>0</v>
      </c>
      <c r="AF434" s="13" t="n">
        <v>0</v>
      </c>
      <c r="AG434" s="13" t="n">
        <v>0</v>
      </c>
      <c r="AH434" s="13" t="n">
        <v>1050.006</v>
      </c>
      <c r="AI434" s="13" t="n">
        <v>1080.07562</v>
      </c>
      <c r="AJ434" s="13" t="n">
        <v>1079.94366</v>
      </c>
      <c r="AK434" s="13" t="n">
        <v>1110.05595</v>
      </c>
      <c r="AL434" s="13" t="n">
        <v>0</v>
      </c>
      <c r="AM434" s="13" t="n">
        <v>0</v>
      </c>
      <c r="AN434" s="13" t="n">
        <v>0</v>
      </c>
      <c r="AO434" s="13" t="n">
        <v>0</v>
      </c>
      <c r="AP434" s="13" t="n">
        <v>0</v>
      </c>
      <c r="AQ434" s="13" t="n">
        <v>0</v>
      </c>
      <c r="AR434" s="13" t="n">
        <v>0</v>
      </c>
      <c r="AS434" s="13" t="n">
        <v>0</v>
      </c>
      <c r="AT434" s="13" t="n">
        <v>0</v>
      </c>
    </row>
    <row r="435" customFormat="false" ht="15" hidden="false" customHeight="true" outlineLevel="0" collapsed="false">
      <c r="A435" s="12" t="s">
        <v>1358</v>
      </c>
      <c r="B435" s="12" t="s">
        <v>1359</v>
      </c>
      <c r="C435" s="12" t="n">
        <v>1</v>
      </c>
      <c r="D435" s="12" t="s">
        <v>1360</v>
      </c>
      <c r="E435" s="13" t="n">
        <v>2305.580112</v>
      </c>
      <c r="F435" s="13" t="n">
        <v>2305.477728</v>
      </c>
      <c r="G435" s="13" t="n">
        <v>768.538738</v>
      </c>
      <c r="H435" s="13" t="n">
        <v>768.44862</v>
      </c>
      <c r="I435" s="13" t="n">
        <v>768.478564</v>
      </c>
      <c r="J435" s="13" t="n">
        <v>768.42398</v>
      </c>
      <c r="K435" s="13" t="n">
        <v>768.50082</v>
      </c>
      <c r="L435" s="13" t="n">
        <v>768.478529</v>
      </c>
      <c r="M435" s="13" t="n">
        <v>768.5154</v>
      </c>
      <c r="N435" s="13" t="n">
        <v>2459.208258</v>
      </c>
      <c r="O435" s="13" t="n">
        <v>2459.180989</v>
      </c>
      <c r="P435" s="13" t="n">
        <v>2459.244088</v>
      </c>
      <c r="Q435" s="13" t="n">
        <v>2459.158839</v>
      </c>
      <c r="R435" s="13" t="n">
        <v>2459.185998</v>
      </c>
      <c r="S435" s="13" t="n">
        <v>2459.24154</v>
      </c>
      <c r="T435" s="13" t="n">
        <v>2459.1168</v>
      </c>
      <c r="U435" s="13" t="n">
        <v>2459.196712</v>
      </c>
      <c r="V435" s="13" t="n">
        <v>2459.182128</v>
      </c>
      <c r="W435" s="13" t="n">
        <v>2459.11496</v>
      </c>
      <c r="X435" s="13" t="n">
        <v>2459.291796</v>
      </c>
      <c r="Y435" s="13" t="n">
        <v>2459.153134</v>
      </c>
      <c r="Z435" s="13" t="n">
        <v>2459.292352</v>
      </c>
      <c r="AA435" s="13" t="n">
        <v>2459.2845</v>
      </c>
      <c r="AB435" s="13" t="n">
        <v>2459.208162</v>
      </c>
      <c r="AC435" s="13" t="n">
        <v>2459.2656</v>
      </c>
      <c r="AD435" s="13" t="n">
        <v>2852.6435</v>
      </c>
      <c r="AE435" s="13" t="n">
        <v>2549.25468</v>
      </c>
      <c r="AF435" s="13" t="n">
        <v>0</v>
      </c>
      <c r="AG435" s="13" t="n">
        <v>0</v>
      </c>
      <c r="AH435" s="13" t="n">
        <v>0</v>
      </c>
      <c r="AI435" s="13" t="n">
        <v>0</v>
      </c>
      <c r="AJ435" s="13" t="n">
        <v>0</v>
      </c>
      <c r="AK435" s="13" t="n">
        <v>0</v>
      </c>
      <c r="AL435" s="13" t="n">
        <v>0</v>
      </c>
      <c r="AM435" s="13" t="n">
        <v>0</v>
      </c>
      <c r="AN435" s="13" t="n">
        <v>0</v>
      </c>
      <c r="AO435" s="13" t="n">
        <v>0</v>
      </c>
      <c r="AP435" s="13" t="n">
        <v>0</v>
      </c>
      <c r="AQ435" s="13" t="n">
        <v>0</v>
      </c>
      <c r="AR435" s="13" t="n">
        <v>0</v>
      </c>
      <c r="AS435" s="13" t="n">
        <v>0</v>
      </c>
      <c r="AT435" s="13" t="n">
        <v>0</v>
      </c>
    </row>
    <row r="436" customFormat="false" ht="15" hidden="false" customHeight="true" outlineLevel="0" collapsed="false">
      <c r="A436" s="12" t="s">
        <v>1361</v>
      </c>
      <c r="B436" s="12" t="s">
        <v>1362</v>
      </c>
      <c r="C436" s="12" t="n">
        <v>1</v>
      </c>
      <c r="D436" s="12" t="s">
        <v>1363</v>
      </c>
      <c r="E436" s="13" t="n">
        <v>11331.261396</v>
      </c>
      <c r="F436" s="13" t="n">
        <v>11812.812966</v>
      </c>
      <c r="G436" s="13" t="n">
        <v>12294.266769</v>
      </c>
      <c r="H436" s="13" t="n">
        <v>12551.147073</v>
      </c>
      <c r="I436" s="13" t="n">
        <v>14798.161161</v>
      </c>
      <c r="J436" s="13" t="n">
        <v>9244.865795</v>
      </c>
      <c r="K436" s="13" t="n">
        <v>9308.956404</v>
      </c>
      <c r="L436" s="13" t="n">
        <v>10400.332866</v>
      </c>
      <c r="M436" s="13" t="n">
        <v>10047.281265</v>
      </c>
      <c r="N436" s="13" t="n">
        <v>9983.182212</v>
      </c>
      <c r="O436" s="13" t="n">
        <v>10272.083826</v>
      </c>
      <c r="P436" s="13" t="n">
        <v>10400.355742</v>
      </c>
      <c r="Q436" s="13" t="n">
        <v>25346.179125</v>
      </c>
      <c r="R436" s="13" t="n">
        <v>13953.906147</v>
      </c>
      <c r="S436" s="13" t="n">
        <v>14257.24938</v>
      </c>
      <c r="T436" s="13" t="n">
        <v>15268.31488</v>
      </c>
      <c r="U436" s="13" t="n">
        <v>15268.417203</v>
      </c>
      <c r="V436" s="13" t="n">
        <v>15268.374264</v>
      </c>
      <c r="W436" s="13" t="n">
        <v>0</v>
      </c>
      <c r="X436" s="13" t="n">
        <v>0</v>
      </c>
      <c r="Y436" s="13" t="n">
        <v>0</v>
      </c>
      <c r="Z436" s="13" t="n">
        <v>0</v>
      </c>
      <c r="AA436" s="13" t="n">
        <v>0</v>
      </c>
      <c r="AB436" s="13" t="n">
        <v>0</v>
      </c>
      <c r="AC436" s="13" t="n">
        <v>0</v>
      </c>
      <c r="AD436" s="13" t="n">
        <v>0</v>
      </c>
      <c r="AE436" s="13" t="n">
        <v>0</v>
      </c>
      <c r="AF436" s="13" t="n">
        <v>0</v>
      </c>
      <c r="AG436" s="13" t="n">
        <v>0</v>
      </c>
      <c r="AH436" s="13" t="n">
        <v>0</v>
      </c>
      <c r="AI436" s="13" t="n">
        <v>0</v>
      </c>
      <c r="AJ436" s="13" t="n">
        <v>0</v>
      </c>
      <c r="AK436" s="13" t="n">
        <v>0</v>
      </c>
      <c r="AL436" s="13" t="n">
        <v>0</v>
      </c>
      <c r="AM436" s="13" t="n">
        <v>0</v>
      </c>
      <c r="AN436" s="13" t="n">
        <v>0</v>
      </c>
      <c r="AO436" s="13" t="n">
        <v>0</v>
      </c>
      <c r="AP436" s="13" t="n">
        <v>0</v>
      </c>
      <c r="AQ436" s="13" t="n">
        <v>0</v>
      </c>
      <c r="AR436" s="13" t="n">
        <v>0</v>
      </c>
      <c r="AS436" s="13" t="n">
        <v>0</v>
      </c>
      <c r="AT436" s="13" t="n">
        <v>0</v>
      </c>
    </row>
    <row r="437" customFormat="false" ht="15" hidden="false" customHeight="true" outlineLevel="0" collapsed="false">
      <c r="A437" s="12" t="s">
        <v>1364</v>
      </c>
      <c r="B437" s="12" t="s">
        <v>1365</v>
      </c>
      <c r="C437" s="12" t="n">
        <v>1</v>
      </c>
      <c r="D437" s="12" t="s">
        <v>1366</v>
      </c>
      <c r="E437" s="13" t="n">
        <v>0</v>
      </c>
      <c r="F437" s="13" t="n">
        <v>0</v>
      </c>
      <c r="G437" s="13" t="n">
        <v>0</v>
      </c>
      <c r="H437" s="13" t="n">
        <v>0</v>
      </c>
      <c r="I437" s="13" t="n">
        <v>0</v>
      </c>
      <c r="J437" s="13" t="n">
        <v>0</v>
      </c>
      <c r="K437" s="13" t="n">
        <v>2360.073528</v>
      </c>
      <c r="L437" s="13" t="n">
        <v>0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0</v>
      </c>
      <c r="V437" s="13" t="n">
        <v>0</v>
      </c>
      <c r="W437" s="13" t="n">
        <v>0</v>
      </c>
      <c r="X437" s="13" t="n">
        <v>0</v>
      </c>
      <c r="Y437" s="13" t="n">
        <v>0</v>
      </c>
      <c r="Z437" s="13" t="n">
        <v>0</v>
      </c>
      <c r="AA437" s="13" t="n">
        <v>0</v>
      </c>
      <c r="AB437" s="13" t="n">
        <v>0</v>
      </c>
      <c r="AC437" s="13" t="n">
        <v>0</v>
      </c>
      <c r="AD437" s="13" t="n">
        <v>0</v>
      </c>
      <c r="AE437" s="13" t="n">
        <v>0</v>
      </c>
      <c r="AF437" s="13" t="n">
        <v>0</v>
      </c>
      <c r="AG437" s="13" t="n">
        <v>0</v>
      </c>
      <c r="AH437" s="13" t="n">
        <v>0</v>
      </c>
      <c r="AI437" s="13" t="n">
        <v>0</v>
      </c>
      <c r="AJ437" s="13" t="n">
        <v>0</v>
      </c>
      <c r="AK437" s="13" t="n">
        <v>0</v>
      </c>
      <c r="AL437" s="13" t="n">
        <v>0</v>
      </c>
      <c r="AM437" s="13" t="n">
        <v>0</v>
      </c>
      <c r="AN437" s="13" t="n">
        <v>0</v>
      </c>
      <c r="AO437" s="13" t="n">
        <v>0</v>
      </c>
      <c r="AP437" s="13" t="n">
        <v>0</v>
      </c>
      <c r="AQ437" s="13" t="n">
        <v>0</v>
      </c>
      <c r="AR437" s="13" t="n">
        <v>0</v>
      </c>
      <c r="AS437" s="13" t="n">
        <v>0</v>
      </c>
      <c r="AT437" s="13" t="n">
        <v>0</v>
      </c>
    </row>
    <row r="438" customFormat="false" ht="15" hidden="false" customHeight="true" outlineLevel="0" collapsed="false">
      <c r="A438" s="12" t="s">
        <v>1367</v>
      </c>
      <c r="B438" s="12" t="s">
        <v>1368</v>
      </c>
      <c r="C438" s="12" t="n">
        <v>1</v>
      </c>
      <c r="D438" s="12" t="s">
        <v>1369</v>
      </c>
      <c r="E438" s="13" t="n">
        <v>0</v>
      </c>
      <c r="F438" s="13" t="n">
        <v>0</v>
      </c>
      <c r="G438" s="13" t="n">
        <v>0</v>
      </c>
      <c r="H438" s="13" t="n">
        <v>0</v>
      </c>
      <c r="I438" s="13" t="n">
        <v>0</v>
      </c>
      <c r="J438" s="13" t="n">
        <v>0</v>
      </c>
      <c r="K438" s="13" t="n">
        <v>0</v>
      </c>
      <c r="L438" s="13" t="n">
        <v>0</v>
      </c>
      <c r="M438" s="13" t="n">
        <v>0</v>
      </c>
      <c r="N438" s="13" t="n">
        <v>0</v>
      </c>
      <c r="O438" s="13" t="n">
        <v>0</v>
      </c>
      <c r="P438" s="13" t="n">
        <v>0</v>
      </c>
      <c r="Q438" s="13" t="n">
        <v>0</v>
      </c>
      <c r="R438" s="13" t="n">
        <v>0</v>
      </c>
      <c r="S438" s="13" t="n">
        <v>0</v>
      </c>
      <c r="T438" s="13" t="n">
        <v>0</v>
      </c>
      <c r="U438" s="13" t="n">
        <v>0</v>
      </c>
      <c r="V438" s="13" t="n">
        <v>0</v>
      </c>
      <c r="W438" s="13" t="n">
        <v>0</v>
      </c>
      <c r="X438" s="13" t="n">
        <v>0</v>
      </c>
      <c r="Y438" s="13" t="n">
        <v>0</v>
      </c>
      <c r="Z438" s="13" t="n">
        <v>0</v>
      </c>
      <c r="AA438" s="13" t="n">
        <v>0</v>
      </c>
      <c r="AB438" s="13" t="n">
        <v>0</v>
      </c>
      <c r="AC438" s="13" t="n">
        <v>0</v>
      </c>
      <c r="AD438" s="13" t="n">
        <v>0</v>
      </c>
      <c r="AE438" s="13" t="n">
        <v>0</v>
      </c>
      <c r="AF438" s="13" t="n">
        <v>0</v>
      </c>
      <c r="AG438" s="13" t="n">
        <v>0</v>
      </c>
      <c r="AH438" s="13" t="n">
        <v>0</v>
      </c>
      <c r="AI438" s="13" t="n">
        <v>0</v>
      </c>
      <c r="AJ438" s="13" t="n">
        <v>0</v>
      </c>
      <c r="AK438" s="13" t="n">
        <v>0</v>
      </c>
      <c r="AL438" s="13" t="n">
        <v>0</v>
      </c>
      <c r="AM438" s="13" t="n">
        <v>0</v>
      </c>
      <c r="AN438" s="13" t="n">
        <v>0</v>
      </c>
      <c r="AO438" s="13" t="n">
        <v>0</v>
      </c>
      <c r="AP438" s="13" t="n">
        <v>0</v>
      </c>
      <c r="AQ438" s="13" t="n">
        <v>0</v>
      </c>
      <c r="AR438" s="13" t="n">
        <v>2100.024646</v>
      </c>
      <c r="AS438" s="13" t="n">
        <v>2100.012804</v>
      </c>
      <c r="AT438" s="13" t="n">
        <v>2100.016984</v>
      </c>
    </row>
    <row r="439" customFormat="false" ht="15" hidden="false" customHeight="true" outlineLevel="0" collapsed="false">
      <c r="A439" s="12" t="s">
        <v>1370</v>
      </c>
      <c r="B439" s="12" t="s">
        <v>1371</v>
      </c>
      <c r="C439" s="12" t="n">
        <v>1</v>
      </c>
      <c r="D439" s="12" t="s">
        <v>1372</v>
      </c>
      <c r="E439" s="13" t="n">
        <v>2099.925972</v>
      </c>
      <c r="F439" s="13" t="n">
        <v>2280.08214</v>
      </c>
      <c r="G439" s="13" t="n">
        <v>2519.923766</v>
      </c>
      <c r="H439" s="13" t="n">
        <v>2880.058842</v>
      </c>
      <c r="I439" s="13" t="n">
        <v>2880.027185</v>
      </c>
      <c r="J439" s="13" t="n">
        <v>3120.054535</v>
      </c>
      <c r="K439" s="13" t="n">
        <v>3539.943408</v>
      </c>
      <c r="L439" s="13" t="n">
        <v>3119.965891</v>
      </c>
      <c r="M439" s="13" t="n">
        <v>3420.069795</v>
      </c>
      <c r="N439" s="13" t="n">
        <v>3600.00915</v>
      </c>
      <c r="O439" s="13" t="n">
        <v>3659.948251</v>
      </c>
      <c r="P439" s="13" t="n">
        <v>3420.034345</v>
      </c>
      <c r="Q439" s="13" t="n">
        <v>3720.072231</v>
      </c>
      <c r="R439" s="13" t="n">
        <v>3720.061566</v>
      </c>
      <c r="S439" s="13" t="n">
        <v>4199.96376</v>
      </c>
      <c r="T439" s="13" t="n">
        <v>3780.00896</v>
      </c>
      <c r="U439" s="13" t="n">
        <v>3780.014582</v>
      </c>
      <c r="V439" s="13" t="n">
        <v>3779.970012</v>
      </c>
      <c r="W439" s="13" t="n">
        <v>4200.0896</v>
      </c>
      <c r="X439" s="13" t="n">
        <v>4199.95164</v>
      </c>
      <c r="Y439" s="13" t="n">
        <v>4199.913042</v>
      </c>
      <c r="Z439" s="13" t="n">
        <v>4260.060464</v>
      </c>
      <c r="AA439" s="13" t="n">
        <v>4439.97795</v>
      </c>
      <c r="AB439" s="13" t="n">
        <v>4560.04739</v>
      </c>
      <c r="AC439" s="13" t="n">
        <v>4752.264</v>
      </c>
      <c r="AD439" s="13" t="n">
        <v>5127.3675</v>
      </c>
      <c r="AE439" s="13" t="n">
        <v>5127.4944</v>
      </c>
      <c r="AF439" s="13" t="n">
        <v>4939.8382</v>
      </c>
      <c r="AG439" s="13" t="n">
        <v>5252.52964</v>
      </c>
      <c r="AH439" s="13" t="n">
        <v>5252.48505</v>
      </c>
      <c r="AI439" s="13" t="n">
        <v>5315.03972</v>
      </c>
      <c r="AJ439" s="13" t="n">
        <v>3751.84431</v>
      </c>
      <c r="AK439" s="13" t="n">
        <v>1063.09275</v>
      </c>
      <c r="AL439" s="13" t="n">
        <v>1063.092732</v>
      </c>
      <c r="AM439" s="13" t="n">
        <v>1875.969291</v>
      </c>
      <c r="AN439" s="13" t="n">
        <v>1813.435972</v>
      </c>
      <c r="AO439" s="13" t="n">
        <v>1875.906162</v>
      </c>
      <c r="AP439" s="13" t="n">
        <v>2063.47248</v>
      </c>
      <c r="AQ439" s="13" t="n">
        <v>2188.629351</v>
      </c>
      <c r="AR439" s="13" t="n">
        <v>2188.614776</v>
      </c>
      <c r="AS439" s="13" t="n">
        <v>2813.864832</v>
      </c>
      <c r="AT439" s="13" t="n">
        <v>2813.907248</v>
      </c>
    </row>
    <row r="440" customFormat="false" ht="15" hidden="false" customHeight="true" outlineLevel="0" collapsed="false">
      <c r="A440" s="12" t="s">
        <v>1373</v>
      </c>
      <c r="B440" s="12" t="s">
        <v>1374</v>
      </c>
      <c r="C440" s="12" t="n">
        <v>1</v>
      </c>
      <c r="D440" s="12" t="s">
        <v>1375</v>
      </c>
      <c r="E440" s="13" t="n">
        <v>0</v>
      </c>
      <c r="F440" s="13" t="n">
        <v>0</v>
      </c>
      <c r="G440" s="13" t="n">
        <v>0</v>
      </c>
      <c r="H440" s="13" t="n">
        <v>0</v>
      </c>
      <c r="I440" s="13" t="n">
        <v>0</v>
      </c>
      <c r="J440" s="13" t="n">
        <v>0</v>
      </c>
      <c r="K440" s="13" t="n">
        <v>0</v>
      </c>
      <c r="L440" s="13" t="n">
        <v>0</v>
      </c>
      <c r="M440" s="13" t="n">
        <v>0</v>
      </c>
      <c r="N440" s="13" t="n">
        <v>0</v>
      </c>
      <c r="O440" s="13" t="n">
        <v>0</v>
      </c>
      <c r="P440" s="13" t="n">
        <v>0</v>
      </c>
      <c r="Q440" s="13" t="n">
        <v>0</v>
      </c>
      <c r="R440" s="13" t="n">
        <v>0</v>
      </c>
      <c r="S440" s="13" t="n">
        <v>0</v>
      </c>
      <c r="T440" s="13" t="n">
        <v>0</v>
      </c>
      <c r="U440" s="13" t="n">
        <v>0</v>
      </c>
      <c r="V440" s="13" t="n">
        <v>0</v>
      </c>
      <c r="W440" s="13" t="n">
        <v>0</v>
      </c>
      <c r="X440" s="13" t="n">
        <v>0</v>
      </c>
      <c r="Y440" s="13" t="n">
        <v>0</v>
      </c>
      <c r="Z440" s="13" t="n">
        <v>0</v>
      </c>
      <c r="AA440" s="13" t="n">
        <v>0</v>
      </c>
      <c r="AB440" s="13" t="n">
        <v>0</v>
      </c>
      <c r="AC440" s="13" t="n">
        <v>0</v>
      </c>
      <c r="AD440" s="13" t="n">
        <v>0</v>
      </c>
      <c r="AE440" s="13" t="n">
        <v>0</v>
      </c>
      <c r="AF440" s="13" t="n">
        <v>0</v>
      </c>
      <c r="AG440" s="13" t="n">
        <v>0</v>
      </c>
      <c r="AH440" s="13" t="n">
        <v>0</v>
      </c>
      <c r="AI440" s="13" t="n">
        <v>0</v>
      </c>
      <c r="AJ440" s="13" t="n">
        <v>0</v>
      </c>
      <c r="AK440" s="13" t="n">
        <v>0</v>
      </c>
      <c r="AL440" s="13" t="n">
        <v>0</v>
      </c>
      <c r="AM440" s="13" t="n">
        <v>0</v>
      </c>
      <c r="AN440" s="13" t="n">
        <v>0</v>
      </c>
      <c r="AO440" s="13" t="n">
        <v>0</v>
      </c>
      <c r="AP440" s="13" t="n">
        <v>0</v>
      </c>
      <c r="AQ440" s="13" t="n">
        <v>0</v>
      </c>
      <c r="AR440" s="13" t="n">
        <v>0</v>
      </c>
      <c r="AS440" s="13" t="n">
        <v>999.981369</v>
      </c>
      <c r="AT440" s="13" t="n">
        <v>1000.041424</v>
      </c>
    </row>
    <row r="441" customFormat="false" ht="15" hidden="false" customHeight="true" outlineLevel="0" collapsed="false">
      <c r="A441" s="12" t="s">
        <v>1376</v>
      </c>
      <c r="B441" s="12" t="s">
        <v>1377</v>
      </c>
      <c r="C441" s="12" t="n">
        <v>1</v>
      </c>
      <c r="D441" s="12" t="s">
        <v>1378</v>
      </c>
      <c r="E441" s="13" t="n">
        <v>0</v>
      </c>
      <c r="F441" s="13" t="n">
        <v>0</v>
      </c>
      <c r="G441" s="13" t="n">
        <v>0</v>
      </c>
      <c r="H441" s="13" t="n">
        <v>0</v>
      </c>
      <c r="I441" s="13" t="n">
        <v>0</v>
      </c>
      <c r="J441" s="13" t="n">
        <v>0</v>
      </c>
      <c r="K441" s="13" t="n">
        <v>0</v>
      </c>
      <c r="L441" s="13" t="n">
        <v>0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0</v>
      </c>
      <c r="T441" s="13" t="n">
        <v>0</v>
      </c>
      <c r="U441" s="13" t="n">
        <v>0</v>
      </c>
      <c r="V441" s="13" t="n">
        <v>0</v>
      </c>
      <c r="W441" s="13" t="n">
        <v>1728.036864</v>
      </c>
      <c r="X441" s="13" t="n">
        <v>0</v>
      </c>
      <c r="Y441" s="13" t="n">
        <v>0</v>
      </c>
      <c r="Z441" s="13" t="n">
        <v>0</v>
      </c>
      <c r="AA441" s="13" t="n">
        <v>0</v>
      </c>
      <c r="AB441" s="13" t="n">
        <v>0</v>
      </c>
      <c r="AC441" s="13" t="n">
        <v>0</v>
      </c>
      <c r="AD441" s="13" t="n">
        <v>0</v>
      </c>
      <c r="AE441" s="13" t="n">
        <v>0</v>
      </c>
      <c r="AF441" s="13" t="n">
        <v>0</v>
      </c>
      <c r="AG441" s="13" t="n">
        <v>0</v>
      </c>
      <c r="AH441" s="13" t="n">
        <v>0</v>
      </c>
      <c r="AI441" s="13" t="n">
        <v>0</v>
      </c>
      <c r="AJ441" s="13" t="n">
        <v>0</v>
      </c>
      <c r="AK441" s="13" t="n">
        <v>0</v>
      </c>
      <c r="AL441" s="13" t="n">
        <v>0</v>
      </c>
      <c r="AM441" s="13" t="n">
        <v>0</v>
      </c>
      <c r="AN441" s="13" t="n">
        <v>0</v>
      </c>
      <c r="AO441" s="13" t="n">
        <v>0</v>
      </c>
      <c r="AP441" s="13" t="n">
        <v>0</v>
      </c>
      <c r="AQ441" s="13" t="n">
        <v>0</v>
      </c>
      <c r="AR441" s="13" t="n">
        <v>0</v>
      </c>
      <c r="AS441" s="13" t="n">
        <v>0</v>
      </c>
      <c r="AT441" s="13" t="n">
        <v>0</v>
      </c>
    </row>
    <row r="442" customFormat="false" ht="15" hidden="false" customHeight="true" outlineLevel="0" collapsed="false">
      <c r="A442" s="12" t="s">
        <v>1379</v>
      </c>
      <c r="B442" s="12" t="s">
        <v>1380</v>
      </c>
      <c r="C442" s="12" t="n">
        <v>1</v>
      </c>
      <c r="D442" s="12" t="s">
        <v>1381</v>
      </c>
      <c r="E442" s="13" t="n">
        <v>0</v>
      </c>
      <c r="F442" s="13" t="n">
        <v>0</v>
      </c>
      <c r="G442" s="13" t="n">
        <v>0</v>
      </c>
      <c r="H442" s="13" t="n">
        <v>0</v>
      </c>
      <c r="I442" s="13" t="n">
        <v>0</v>
      </c>
      <c r="J442" s="13" t="n">
        <v>0</v>
      </c>
      <c r="K442" s="13" t="n">
        <v>0</v>
      </c>
      <c r="L442" s="13" t="n">
        <v>0</v>
      </c>
      <c r="M442" s="13" t="n">
        <v>0</v>
      </c>
      <c r="N442" s="13" t="n">
        <v>0</v>
      </c>
      <c r="O442" s="13" t="n">
        <v>0</v>
      </c>
      <c r="P442" s="13" t="n">
        <v>0</v>
      </c>
      <c r="Q442" s="13" t="n">
        <v>0</v>
      </c>
      <c r="R442" s="13" t="n">
        <v>0</v>
      </c>
      <c r="S442" s="13" t="n">
        <v>0</v>
      </c>
      <c r="T442" s="13" t="n">
        <v>0</v>
      </c>
      <c r="U442" s="13" t="n">
        <v>0</v>
      </c>
      <c r="V442" s="13" t="n">
        <v>0</v>
      </c>
      <c r="W442" s="13" t="n">
        <v>0</v>
      </c>
      <c r="X442" s="13" t="n">
        <v>0</v>
      </c>
      <c r="Y442" s="13" t="n">
        <v>0</v>
      </c>
      <c r="Z442" s="13" t="n">
        <v>0</v>
      </c>
      <c r="AA442" s="13" t="n">
        <v>0</v>
      </c>
      <c r="AB442" s="13" t="n">
        <v>0</v>
      </c>
      <c r="AC442" s="13" t="n">
        <v>0</v>
      </c>
      <c r="AD442" s="13" t="n">
        <v>0</v>
      </c>
      <c r="AE442" s="13" t="n">
        <v>0</v>
      </c>
      <c r="AF442" s="13" t="n">
        <v>0</v>
      </c>
      <c r="AG442" s="13" t="n">
        <v>0</v>
      </c>
      <c r="AH442" s="13" t="n">
        <v>0</v>
      </c>
      <c r="AI442" s="13" t="n">
        <v>0</v>
      </c>
      <c r="AJ442" s="13" t="n">
        <v>0</v>
      </c>
      <c r="AK442" s="13" t="n">
        <v>0</v>
      </c>
      <c r="AL442" s="13" t="n">
        <v>5299.992456</v>
      </c>
      <c r="AM442" s="13" t="n">
        <v>5299.929669</v>
      </c>
      <c r="AN442" s="13" t="n">
        <v>5300.038176</v>
      </c>
      <c r="AO442" s="13" t="n">
        <v>5299.982284</v>
      </c>
      <c r="AP442" s="13" t="n">
        <v>5300.00784</v>
      </c>
      <c r="AQ442" s="13" t="n">
        <v>5300.00671</v>
      </c>
      <c r="AR442" s="13" t="n">
        <v>5299.970312</v>
      </c>
      <c r="AS442" s="13" t="n">
        <v>0</v>
      </c>
      <c r="AT442" s="13" t="n">
        <v>0</v>
      </c>
    </row>
    <row r="443" customFormat="false" ht="15" hidden="false" customHeight="true" outlineLevel="0" collapsed="false">
      <c r="A443" s="12" t="s">
        <v>1382</v>
      </c>
      <c r="B443" s="12" t="s">
        <v>1383</v>
      </c>
      <c r="C443" s="12" t="n">
        <v>1</v>
      </c>
      <c r="D443" s="12" t="s">
        <v>1384</v>
      </c>
      <c r="E443" s="13" t="n">
        <v>0</v>
      </c>
      <c r="F443" s="13" t="n">
        <v>0</v>
      </c>
      <c r="G443" s="13" t="n">
        <v>0</v>
      </c>
      <c r="H443" s="13" t="n">
        <v>0</v>
      </c>
      <c r="I443" s="13" t="n">
        <v>0</v>
      </c>
      <c r="J443" s="13" t="n">
        <v>0</v>
      </c>
      <c r="K443" s="13" t="n">
        <v>0</v>
      </c>
      <c r="L443" s="13" t="n">
        <v>0</v>
      </c>
      <c r="M443" s="13" t="n">
        <v>0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3" t="n">
        <v>0</v>
      </c>
      <c r="V443" s="13" t="n">
        <v>0</v>
      </c>
      <c r="W443" s="13" t="n">
        <v>0</v>
      </c>
      <c r="X443" s="13" t="n">
        <v>0</v>
      </c>
      <c r="Y443" s="13" t="n">
        <v>0</v>
      </c>
      <c r="Z443" s="13" t="n">
        <v>0</v>
      </c>
      <c r="AA443" s="13" t="n">
        <v>0</v>
      </c>
      <c r="AB443" s="13" t="n">
        <v>0</v>
      </c>
      <c r="AC443" s="13" t="n">
        <v>0</v>
      </c>
      <c r="AD443" s="13" t="n">
        <v>0</v>
      </c>
      <c r="AE443" s="13" t="n">
        <v>0</v>
      </c>
      <c r="AF443" s="13" t="n">
        <v>0</v>
      </c>
      <c r="AG443" s="13" t="n">
        <v>0</v>
      </c>
      <c r="AH443" s="13" t="n">
        <v>0</v>
      </c>
      <c r="AI443" s="13" t="n">
        <v>0</v>
      </c>
      <c r="AJ443" s="13" t="n">
        <v>0</v>
      </c>
      <c r="AK443" s="13" t="n">
        <v>0</v>
      </c>
      <c r="AL443" s="13" t="n">
        <v>0</v>
      </c>
      <c r="AM443" s="13" t="n">
        <v>0</v>
      </c>
      <c r="AN443" s="13" t="n">
        <v>17959.92171</v>
      </c>
      <c r="AO443" s="13" t="n">
        <v>17999.975614</v>
      </c>
      <c r="AP443" s="13" t="n">
        <v>20840.0712</v>
      </c>
      <c r="AQ443" s="13" t="n">
        <v>21359.914299</v>
      </c>
      <c r="AR443" s="13" t="n">
        <v>21400.042314</v>
      </c>
      <c r="AS443" s="13" t="n">
        <v>21079.925757</v>
      </c>
      <c r="AT443" s="13" t="n">
        <v>21840.071624</v>
      </c>
    </row>
    <row r="444" customFormat="false" ht="15" hidden="false" customHeight="true" outlineLevel="0" collapsed="false">
      <c r="A444" s="12" t="s">
        <v>1385</v>
      </c>
      <c r="B444" s="12" t="s">
        <v>1386</v>
      </c>
      <c r="C444" s="12" t="n">
        <v>1</v>
      </c>
      <c r="D444" s="12" t="s">
        <v>1387</v>
      </c>
      <c r="E444" s="13" t="n">
        <v>0</v>
      </c>
      <c r="F444" s="13" t="n">
        <v>0</v>
      </c>
      <c r="G444" s="13" t="n">
        <v>0</v>
      </c>
      <c r="H444" s="13" t="n">
        <v>0</v>
      </c>
      <c r="I444" s="13" t="n">
        <v>0</v>
      </c>
      <c r="J444" s="13" t="n">
        <v>0</v>
      </c>
      <c r="K444" s="13" t="n">
        <v>0</v>
      </c>
      <c r="L444" s="13" t="n">
        <v>0</v>
      </c>
      <c r="M444" s="13" t="n">
        <v>0</v>
      </c>
      <c r="N444" s="13" t="n">
        <v>0</v>
      </c>
      <c r="O444" s="13" t="n">
        <v>0</v>
      </c>
      <c r="P444" s="13" t="n">
        <v>0</v>
      </c>
      <c r="Q444" s="13" t="n">
        <v>0</v>
      </c>
      <c r="R444" s="13" t="n">
        <v>0</v>
      </c>
      <c r="S444" s="13" t="n">
        <v>0</v>
      </c>
      <c r="T444" s="13" t="n">
        <v>0</v>
      </c>
      <c r="U444" s="13" t="n">
        <v>0</v>
      </c>
      <c r="V444" s="13" t="n">
        <v>0</v>
      </c>
      <c r="W444" s="13" t="n">
        <v>0</v>
      </c>
      <c r="X444" s="13" t="n">
        <v>0</v>
      </c>
      <c r="Y444" s="13" t="n">
        <v>0</v>
      </c>
      <c r="Z444" s="13" t="n">
        <v>0</v>
      </c>
      <c r="AA444" s="13" t="n">
        <v>0</v>
      </c>
      <c r="AB444" s="13" t="n">
        <v>0</v>
      </c>
      <c r="AC444" s="13" t="n">
        <v>0</v>
      </c>
      <c r="AD444" s="13" t="n">
        <v>0</v>
      </c>
      <c r="AE444" s="13" t="n">
        <v>0</v>
      </c>
      <c r="AF444" s="13" t="n">
        <v>0</v>
      </c>
      <c r="AG444" s="13" t="n">
        <v>0</v>
      </c>
      <c r="AH444" s="13" t="n">
        <v>0</v>
      </c>
      <c r="AI444" s="13" t="n">
        <v>0</v>
      </c>
      <c r="AJ444" s="13" t="n">
        <v>0</v>
      </c>
      <c r="AK444" s="13" t="n">
        <v>0</v>
      </c>
      <c r="AL444" s="13" t="n">
        <v>0</v>
      </c>
      <c r="AM444" s="13" t="n">
        <v>0</v>
      </c>
      <c r="AN444" s="13" t="n">
        <v>0</v>
      </c>
      <c r="AO444" s="13" t="n">
        <v>0</v>
      </c>
      <c r="AP444" s="13" t="n">
        <v>0</v>
      </c>
      <c r="AQ444" s="13" t="n">
        <v>0</v>
      </c>
      <c r="AR444" s="13" t="n">
        <v>0</v>
      </c>
      <c r="AS444" s="13" t="n">
        <v>0</v>
      </c>
      <c r="AT444" s="13" t="n">
        <v>1577.069176</v>
      </c>
    </row>
    <row r="445" customFormat="false" ht="15" hidden="false" customHeight="true" outlineLevel="0" collapsed="false">
      <c r="A445" s="12" t="s">
        <v>1388</v>
      </c>
      <c r="B445" s="12" t="s">
        <v>1389</v>
      </c>
      <c r="C445" s="12" t="n">
        <v>1</v>
      </c>
      <c r="D445" s="12" t="s">
        <v>1390</v>
      </c>
      <c r="E445" s="13" t="n">
        <v>0</v>
      </c>
      <c r="F445" s="13" t="n">
        <v>0</v>
      </c>
      <c r="G445" s="13" t="n">
        <v>0</v>
      </c>
      <c r="H445" s="13" t="n">
        <v>0</v>
      </c>
      <c r="I445" s="13" t="n">
        <v>0</v>
      </c>
      <c r="J445" s="13" t="n">
        <v>0</v>
      </c>
      <c r="K445" s="13" t="n">
        <v>0</v>
      </c>
      <c r="L445" s="13" t="n">
        <v>0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0</v>
      </c>
      <c r="X445" s="13" t="n">
        <v>0</v>
      </c>
      <c r="Y445" s="13" t="n">
        <v>0</v>
      </c>
      <c r="Z445" s="13" t="n">
        <v>0</v>
      </c>
      <c r="AA445" s="13" t="n">
        <v>0</v>
      </c>
      <c r="AB445" s="13" t="n">
        <v>0</v>
      </c>
      <c r="AC445" s="13" t="n">
        <v>0</v>
      </c>
      <c r="AD445" s="13" t="n">
        <v>0</v>
      </c>
      <c r="AE445" s="13" t="n">
        <v>0</v>
      </c>
      <c r="AF445" s="13" t="n">
        <v>0</v>
      </c>
      <c r="AG445" s="13" t="n">
        <v>0</v>
      </c>
      <c r="AH445" s="13" t="n">
        <v>0</v>
      </c>
      <c r="AI445" s="13" t="n">
        <v>0</v>
      </c>
      <c r="AJ445" s="13" t="n">
        <v>0</v>
      </c>
      <c r="AK445" s="13" t="n">
        <v>0</v>
      </c>
      <c r="AL445" s="13" t="n">
        <v>0</v>
      </c>
      <c r="AM445" s="13" t="n">
        <v>0</v>
      </c>
      <c r="AN445" s="13" t="n">
        <v>0</v>
      </c>
      <c r="AO445" s="13" t="n">
        <v>0</v>
      </c>
      <c r="AP445" s="13" t="n">
        <v>0</v>
      </c>
      <c r="AQ445" s="13" t="n">
        <v>1050.042327</v>
      </c>
      <c r="AR445" s="13" t="n">
        <v>1049.92461</v>
      </c>
      <c r="AS445" s="13" t="n">
        <v>1050.006402</v>
      </c>
      <c r="AT445" s="13" t="n">
        <v>7120.000912</v>
      </c>
    </row>
    <row r="446" customFormat="false" ht="15" hidden="false" customHeight="true" outlineLevel="0" collapsed="false">
      <c r="A446" s="12" t="s">
        <v>1391</v>
      </c>
      <c r="B446" s="12" t="s">
        <v>1392</v>
      </c>
      <c r="C446" s="12" t="n">
        <v>1</v>
      </c>
      <c r="D446" s="12" t="s">
        <v>1393</v>
      </c>
      <c r="E446" s="13" t="n">
        <v>0</v>
      </c>
      <c r="F446" s="13" t="n">
        <v>0</v>
      </c>
      <c r="G446" s="13" t="n">
        <v>0</v>
      </c>
      <c r="H446" s="13" t="n">
        <v>0</v>
      </c>
      <c r="I446" s="13" t="n">
        <v>0</v>
      </c>
      <c r="J446" s="13" t="n">
        <v>0</v>
      </c>
      <c r="K446" s="13" t="n">
        <v>0</v>
      </c>
      <c r="L446" s="13" t="n">
        <v>0</v>
      </c>
      <c r="M446" s="13" t="n">
        <v>0</v>
      </c>
      <c r="N446" s="13" t="n">
        <v>0</v>
      </c>
      <c r="O446" s="13" t="n">
        <v>0</v>
      </c>
      <c r="P446" s="13" t="n">
        <v>0</v>
      </c>
      <c r="Q446" s="13" t="n">
        <v>0</v>
      </c>
      <c r="R446" s="13" t="n">
        <v>0</v>
      </c>
      <c r="S446" s="13" t="n">
        <v>0</v>
      </c>
      <c r="T446" s="13" t="n">
        <v>0</v>
      </c>
      <c r="U446" s="13" t="n">
        <v>0</v>
      </c>
      <c r="V446" s="13" t="n">
        <v>0</v>
      </c>
      <c r="W446" s="13" t="n">
        <v>0</v>
      </c>
      <c r="X446" s="13" t="n">
        <v>0</v>
      </c>
      <c r="Y446" s="13" t="n">
        <v>0</v>
      </c>
      <c r="Z446" s="13" t="n">
        <v>0</v>
      </c>
      <c r="AA446" s="13" t="n">
        <v>0</v>
      </c>
      <c r="AB446" s="13" t="n">
        <v>0</v>
      </c>
      <c r="AC446" s="13" t="n">
        <v>0</v>
      </c>
      <c r="AD446" s="13" t="n">
        <v>0</v>
      </c>
      <c r="AE446" s="13" t="n">
        <v>0</v>
      </c>
      <c r="AF446" s="13" t="n">
        <v>0</v>
      </c>
      <c r="AG446" s="13" t="n">
        <v>0</v>
      </c>
      <c r="AH446" s="13" t="n">
        <v>0</v>
      </c>
      <c r="AI446" s="13" t="n">
        <v>0</v>
      </c>
      <c r="AJ446" s="13" t="n">
        <v>0</v>
      </c>
      <c r="AK446" s="13" t="n">
        <v>0</v>
      </c>
      <c r="AL446" s="13" t="n">
        <v>0</v>
      </c>
      <c r="AM446" s="13" t="n">
        <v>0</v>
      </c>
      <c r="AN446" s="13" t="n">
        <v>0</v>
      </c>
      <c r="AO446" s="13" t="n">
        <v>0</v>
      </c>
      <c r="AP446" s="13" t="n">
        <v>0</v>
      </c>
      <c r="AQ446" s="13" t="n">
        <v>0</v>
      </c>
      <c r="AR446" s="13" t="n">
        <v>0</v>
      </c>
      <c r="AS446" s="13" t="n">
        <v>0</v>
      </c>
      <c r="AT446" s="13" t="n">
        <v>0</v>
      </c>
    </row>
    <row r="447" customFormat="false" ht="15" hidden="false" customHeight="true" outlineLevel="0" collapsed="false">
      <c r="A447" s="12" t="s">
        <v>1394</v>
      </c>
      <c r="B447" s="12" t="s">
        <v>1395</v>
      </c>
      <c r="C447" s="12" t="n">
        <v>1</v>
      </c>
      <c r="D447" s="12" t="s">
        <v>1396</v>
      </c>
      <c r="E447" s="13" t="n">
        <v>0</v>
      </c>
      <c r="F447" s="13" t="n">
        <v>0</v>
      </c>
      <c r="G447" s="13" t="n">
        <v>0</v>
      </c>
      <c r="H447" s="13" t="n">
        <v>0</v>
      </c>
      <c r="I447" s="13" t="n">
        <v>0</v>
      </c>
      <c r="J447" s="13" t="n">
        <v>0</v>
      </c>
      <c r="K447" s="13" t="n">
        <v>0</v>
      </c>
      <c r="L447" s="13" t="n">
        <v>0</v>
      </c>
      <c r="M447" s="13" t="n">
        <v>0</v>
      </c>
      <c r="N447" s="13" t="n">
        <v>0</v>
      </c>
      <c r="O447" s="13" t="n">
        <v>0</v>
      </c>
      <c r="P447" s="13" t="n">
        <v>0</v>
      </c>
      <c r="Q447" s="13" t="n">
        <v>0</v>
      </c>
      <c r="R447" s="13" t="n">
        <v>0</v>
      </c>
      <c r="S447" s="13" t="n">
        <v>0</v>
      </c>
      <c r="T447" s="13" t="n">
        <v>0</v>
      </c>
      <c r="U447" s="13" t="n">
        <v>0</v>
      </c>
      <c r="V447" s="13" t="n">
        <v>0</v>
      </c>
      <c r="W447" s="13" t="n">
        <v>0</v>
      </c>
      <c r="X447" s="13" t="n">
        <v>0</v>
      </c>
      <c r="Y447" s="13" t="n">
        <v>0</v>
      </c>
      <c r="Z447" s="13" t="n">
        <v>0</v>
      </c>
      <c r="AA447" s="13" t="n">
        <v>0</v>
      </c>
      <c r="AB447" s="13" t="n">
        <v>0</v>
      </c>
      <c r="AC447" s="13" t="n">
        <v>0</v>
      </c>
      <c r="AD447" s="13" t="n">
        <v>0</v>
      </c>
      <c r="AE447" s="13" t="n">
        <v>0</v>
      </c>
      <c r="AF447" s="13" t="n">
        <v>0</v>
      </c>
      <c r="AG447" s="13" t="n">
        <v>0</v>
      </c>
      <c r="AH447" s="13" t="n">
        <v>0</v>
      </c>
      <c r="AI447" s="13" t="n">
        <v>0</v>
      </c>
      <c r="AJ447" s="13" t="n">
        <v>0</v>
      </c>
      <c r="AK447" s="13" t="n">
        <v>0</v>
      </c>
      <c r="AL447" s="13" t="n">
        <v>0</v>
      </c>
      <c r="AM447" s="13" t="n">
        <v>0</v>
      </c>
      <c r="AN447" s="13" t="n">
        <v>0</v>
      </c>
      <c r="AO447" s="13" t="n">
        <v>0</v>
      </c>
      <c r="AP447" s="13" t="n">
        <v>999.9852</v>
      </c>
      <c r="AQ447" s="13" t="n">
        <v>1000.066179</v>
      </c>
      <c r="AR447" s="13" t="n">
        <v>1129.918866</v>
      </c>
      <c r="AS447" s="13" t="n">
        <v>1129.977216</v>
      </c>
      <c r="AT447" s="13" t="n">
        <v>1000.041424</v>
      </c>
    </row>
    <row r="448" customFormat="false" ht="15" hidden="false" customHeight="true" outlineLevel="0" collapsed="false">
      <c r="A448" s="12" t="s">
        <v>1397</v>
      </c>
      <c r="B448" s="12" t="s">
        <v>1398</v>
      </c>
      <c r="C448" s="12" t="n">
        <v>1</v>
      </c>
      <c r="D448" s="12" t="s">
        <v>1399</v>
      </c>
      <c r="E448" s="13" t="n">
        <v>0</v>
      </c>
      <c r="F448" s="13" t="n">
        <v>0</v>
      </c>
      <c r="G448" s="13" t="n">
        <v>0</v>
      </c>
      <c r="H448" s="13" t="n">
        <v>0</v>
      </c>
      <c r="I448" s="13" t="n">
        <v>0</v>
      </c>
      <c r="J448" s="13" t="n">
        <v>0</v>
      </c>
      <c r="K448" s="13" t="n">
        <v>0</v>
      </c>
      <c r="L448" s="13" t="n">
        <v>0</v>
      </c>
      <c r="M448" s="13" t="n">
        <v>0</v>
      </c>
      <c r="N448" s="13" t="n">
        <v>0</v>
      </c>
      <c r="O448" s="13" t="n">
        <v>0</v>
      </c>
      <c r="P448" s="13" t="n">
        <v>0</v>
      </c>
      <c r="Q448" s="13" t="n">
        <v>0</v>
      </c>
      <c r="R448" s="13" t="n">
        <v>0</v>
      </c>
      <c r="S448" s="13" t="n">
        <v>4520.022435</v>
      </c>
      <c r="T448" s="13" t="n">
        <v>4640.06144</v>
      </c>
      <c r="U448" s="13" t="n">
        <v>4199.997363</v>
      </c>
      <c r="V448" s="13" t="n">
        <v>4240.007304</v>
      </c>
      <c r="W448" s="13" t="n">
        <v>4200.0896</v>
      </c>
      <c r="X448" s="13" t="n">
        <v>4440.090518</v>
      </c>
      <c r="Y448" s="13" t="n">
        <v>4320.006182</v>
      </c>
      <c r="Z448" s="13" t="n">
        <v>4520.062272</v>
      </c>
      <c r="AA448" s="13" t="n">
        <v>4199.96811</v>
      </c>
      <c r="AB448" s="13" t="n">
        <v>4279.989454</v>
      </c>
      <c r="AC448" s="13" t="n">
        <v>4584.756</v>
      </c>
      <c r="AD448" s="13" t="n">
        <v>4626.4355</v>
      </c>
      <c r="AE448" s="13" t="n">
        <v>4501.45836</v>
      </c>
      <c r="AF448" s="13" t="n">
        <v>4543.1474</v>
      </c>
      <c r="AG448" s="13" t="n">
        <v>4668.1862</v>
      </c>
      <c r="AH448" s="13" t="n">
        <v>4584.71145</v>
      </c>
      <c r="AI448" s="13" t="n">
        <v>4501.50556</v>
      </c>
      <c r="AJ448" s="13" t="n">
        <v>4626.57258</v>
      </c>
      <c r="AK448" s="13" t="n">
        <v>4751.53845</v>
      </c>
      <c r="AL448" s="13" t="n">
        <v>4584.817633</v>
      </c>
      <c r="AM448" s="13" t="n">
        <v>4543.085111</v>
      </c>
      <c r="AN448" s="13" t="n">
        <v>4418.137144</v>
      </c>
      <c r="AO448" s="13" t="n">
        <v>4624.511248</v>
      </c>
      <c r="AP448" s="13" t="n">
        <v>4278.79776</v>
      </c>
      <c r="AQ448" s="13" t="n">
        <v>4365.307884</v>
      </c>
      <c r="AR448" s="13" t="n">
        <v>4624.580212</v>
      </c>
      <c r="AS448" s="13" t="n">
        <v>4667.733702</v>
      </c>
      <c r="AT448" s="13" t="n">
        <v>4322.02012</v>
      </c>
    </row>
    <row r="449" customFormat="false" ht="15" hidden="false" customHeight="true" outlineLevel="0" collapsed="false">
      <c r="A449" s="12" t="s">
        <v>1400</v>
      </c>
      <c r="B449" s="12" t="s">
        <v>1401</v>
      </c>
      <c r="C449" s="12" t="n">
        <v>1</v>
      </c>
      <c r="D449" s="12" t="s">
        <v>1402</v>
      </c>
      <c r="E449" s="13" t="n">
        <v>1780.45776</v>
      </c>
      <c r="F449" s="13" t="n">
        <v>1780.45155</v>
      </c>
      <c r="G449" s="13" t="n">
        <v>1575.088106</v>
      </c>
      <c r="H449" s="13" t="n">
        <v>1643.505957</v>
      </c>
      <c r="I449" s="13" t="n">
        <v>1780.508982</v>
      </c>
      <c r="J449" s="13" t="n">
        <v>1780.44452</v>
      </c>
      <c r="K449" s="13" t="n">
        <v>1985.9196</v>
      </c>
      <c r="L449" s="13" t="n">
        <v>2122.903097</v>
      </c>
      <c r="M449" s="13" t="n">
        <v>2054.368575</v>
      </c>
      <c r="N449" s="13" t="n">
        <v>2259.920424</v>
      </c>
      <c r="O449" s="13" t="n">
        <v>2465.203754</v>
      </c>
      <c r="P449" s="13" t="n">
        <v>2396.815561</v>
      </c>
      <c r="Q449" s="13" t="n">
        <v>2602.179108</v>
      </c>
      <c r="R449" s="13" t="n">
        <v>2328.24366</v>
      </c>
      <c r="S449" s="13" t="n">
        <v>2396.71845</v>
      </c>
      <c r="T449" s="13" t="n">
        <v>2465.24544</v>
      </c>
      <c r="U449" s="13" t="n">
        <v>2396.801208</v>
      </c>
      <c r="V449" s="13" t="n">
        <v>2465.261916</v>
      </c>
      <c r="W449" s="13" t="n">
        <v>2533.741552</v>
      </c>
      <c r="X449" s="13" t="n">
        <v>2670.677464</v>
      </c>
      <c r="Y449" s="13" t="n">
        <v>2670.792684</v>
      </c>
      <c r="Z449" s="13" t="n">
        <v>2670.781872</v>
      </c>
      <c r="AA449" s="13" t="n">
        <v>2807.66613</v>
      </c>
      <c r="AB449" s="13" t="n">
        <v>2807.66175</v>
      </c>
      <c r="AC449" s="13" t="n">
        <v>2854.4604</v>
      </c>
      <c r="AD449" s="13" t="n">
        <v>2925.7303</v>
      </c>
      <c r="AE449" s="13" t="n">
        <v>2925.85608</v>
      </c>
      <c r="AF449" s="13" t="n">
        <v>2997.1106</v>
      </c>
      <c r="AG449" s="13" t="n">
        <v>2782.96458</v>
      </c>
      <c r="AH449" s="13" t="n">
        <v>2783.08245</v>
      </c>
      <c r="AI449" s="13" t="n">
        <v>2640.22662</v>
      </c>
      <c r="AJ449" s="13" t="n">
        <v>2711.60172</v>
      </c>
      <c r="AK449" s="13" t="n">
        <v>2640.39585</v>
      </c>
      <c r="AL449" s="13" t="n">
        <v>2640.234635</v>
      </c>
      <c r="AM449" s="13" t="n">
        <v>2711.690039</v>
      </c>
      <c r="AN449" s="13" t="n">
        <v>2568.914405</v>
      </c>
      <c r="AO449" s="13" t="n">
        <v>2811.704218</v>
      </c>
      <c r="AP449" s="13" t="n">
        <v>2737.6644</v>
      </c>
      <c r="AQ449" s="13" t="n">
        <v>2663.58383</v>
      </c>
      <c r="AR449" s="13" t="n">
        <v>2515.60884</v>
      </c>
      <c r="AS449" s="13" t="n">
        <v>2441.706282</v>
      </c>
      <c r="AT449" s="13" t="n">
        <v>2737.600272</v>
      </c>
    </row>
    <row r="450" customFormat="false" ht="15" hidden="false" customHeight="true" outlineLevel="0" collapsed="false">
      <c r="A450" s="12" t="s">
        <v>1403</v>
      </c>
      <c r="B450" s="12" t="s">
        <v>1404</v>
      </c>
      <c r="C450" s="12" t="n">
        <v>1</v>
      </c>
      <c r="D450" s="12" t="s">
        <v>1405</v>
      </c>
      <c r="E450" s="13" t="n">
        <v>0</v>
      </c>
      <c r="F450" s="13" t="n">
        <v>0</v>
      </c>
      <c r="G450" s="13" t="n">
        <v>0</v>
      </c>
      <c r="H450" s="13" t="n">
        <v>0</v>
      </c>
      <c r="I450" s="13" t="n">
        <v>0</v>
      </c>
      <c r="J450" s="13" t="n">
        <v>0</v>
      </c>
      <c r="K450" s="13" t="n">
        <v>0</v>
      </c>
      <c r="L450" s="13" t="n">
        <v>0</v>
      </c>
      <c r="M450" s="13" t="n">
        <v>0</v>
      </c>
      <c r="N450" s="13" t="n">
        <v>0</v>
      </c>
      <c r="O450" s="13" t="n">
        <v>0</v>
      </c>
      <c r="P450" s="13" t="n">
        <v>0</v>
      </c>
      <c r="Q450" s="13" t="n">
        <v>0</v>
      </c>
      <c r="R450" s="13" t="n">
        <v>0</v>
      </c>
      <c r="S450" s="13" t="n">
        <v>0</v>
      </c>
      <c r="T450" s="13" t="n">
        <v>0</v>
      </c>
      <c r="U450" s="13" t="n">
        <v>0</v>
      </c>
      <c r="V450" s="13" t="n">
        <v>0</v>
      </c>
      <c r="W450" s="13" t="n">
        <v>0</v>
      </c>
      <c r="X450" s="13" t="n">
        <v>0</v>
      </c>
      <c r="Y450" s="13" t="n">
        <v>0</v>
      </c>
      <c r="Z450" s="13" t="n">
        <v>0</v>
      </c>
      <c r="AA450" s="13" t="n">
        <v>0</v>
      </c>
      <c r="AB450" s="13" t="n">
        <v>0</v>
      </c>
      <c r="AC450" s="13" t="n">
        <v>0</v>
      </c>
      <c r="AD450" s="13" t="n">
        <v>3645.1015</v>
      </c>
      <c r="AE450" s="13" t="n">
        <v>3464.937</v>
      </c>
      <c r="AF450" s="13" t="n">
        <v>3690.0468</v>
      </c>
      <c r="AG450" s="13" t="n">
        <v>3509.92024</v>
      </c>
      <c r="AH450" s="13" t="n">
        <v>3554.9124</v>
      </c>
      <c r="AI450" s="13" t="n">
        <v>0</v>
      </c>
      <c r="AJ450" s="13" t="n">
        <v>0</v>
      </c>
      <c r="AK450" s="13" t="n">
        <v>0</v>
      </c>
      <c r="AL450" s="13" t="n">
        <v>0</v>
      </c>
      <c r="AM450" s="13" t="n">
        <v>0</v>
      </c>
      <c r="AN450" s="13" t="n">
        <v>0</v>
      </c>
      <c r="AO450" s="13" t="n">
        <v>0</v>
      </c>
      <c r="AP450" s="13" t="n">
        <v>0</v>
      </c>
      <c r="AQ450" s="13" t="n">
        <v>0</v>
      </c>
      <c r="AR450" s="13" t="n">
        <v>0</v>
      </c>
      <c r="AS450" s="13" t="n">
        <v>0</v>
      </c>
      <c r="AT450" s="13" t="n">
        <v>0</v>
      </c>
    </row>
    <row r="451" customFormat="false" ht="15" hidden="false" customHeight="true" outlineLevel="0" collapsed="false">
      <c r="A451" s="12" t="s">
        <v>1406</v>
      </c>
      <c r="B451" s="12" t="s">
        <v>1407</v>
      </c>
      <c r="C451" s="12" t="n">
        <v>1</v>
      </c>
      <c r="D451" s="12" t="s">
        <v>1408</v>
      </c>
      <c r="E451" s="13" t="n">
        <v>0</v>
      </c>
      <c r="F451" s="13" t="n">
        <v>0</v>
      </c>
      <c r="G451" s="13" t="n">
        <v>150.051487</v>
      </c>
      <c r="H451" s="13" t="n">
        <v>119.957355</v>
      </c>
      <c r="I451" s="13" t="n">
        <v>0</v>
      </c>
      <c r="J451" s="13" t="n">
        <v>0</v>
      </c>
      <c r="K451" s="13" t="n">
        <v>0</v>
      </c>
      <c r="L451" s="13" t="n">
        <v>0</v>
      </c>
      <c r="M451" s="13" t="n">
        <v>0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0</v>
      </c>
      <c r="X451" s="13" t="n">
        <v>0</v>
      </c>
      <c r="Y451" s="13" t="n">
        <v>0</v>
      </c>
      <c r="Z451" s="13" t="n">
        <v>0</v>
      </c>
      <c r="AA451" s="13" t="n">
        <v>0</v>
      </c>
      <c r="AB451" s="13" t="n">
        <v>0</v>
      </c>
      <c r="AC451" s="13" t="n">
        <v>0</v>
      </c>
      <c r="AD451" s="13" t="n">
        <v>0</v>
      </c>
      <c r="AE451" s="13" t="n">
        <v>0</v>
      </c>
      <c r="AF451" s="13" t="n">
        <v>0</v>
      </c>
      <c r="AG451" s="13" t="n">
        <v>0</v>
      </c>
      <c r="AH451" s="13" t="n">
        <v>0</v>
      </c>
      <c r="AI451" s="13" t="n">
        <v>0</v>
      </c>
      <c r="AJ451" s="13" t="n">
        <v>0</v>
      </c>
      <c r="AK451" s="13" t="n">
        <v>0</v>
      </c>
      <c r="AL451" s="13" t="n">
        <v>0</v>
      </c>
      <c r="AM451" s="13" t="n">
        <v>0</v>
      </c>
      <c r="AN451" s="13" t="n">
        <v>0</v>
      </c>
      <c r="AO451" s="13" t="n">
        <v>0</v>
      </c>
      <c r="AP451" s="13" t="n">
        <v>0</v>
      </c>
      <c r="AQ451" s="13" t="n">
        <v>0</v>
      </c>
      <c r="AR451" s="13" t="n">
        <v>0</v>
      </c>
      <c r="AS451" s="13" t="n">
        <v>0</v>
      </c>
      <c r="AT451" s="13" t="n">
        <v>0</v>
      </c>
    </row>
    <row r="452" customFormat="false" ht="15" hidden="false" customHeight="true" outlineLevel="0" collapsed="false">
      <c r="A452" s="12" t="s">
        <v>1409</v>
      </c>
      <c r="B452" s="12" t="s">
        <v>1410</v>
      </c>
      <c r="C452" s="12" t="n">
        <v>1</v>
      </c>
      <c r="D452" s="12" t="s">
        <v>1411</v>
      </c>
      <c r="E452" s="13" t="n">
        <v>7858.05408</v>
      </c>
      <c r="F452" s="13" t="n">
        <v>8063.467242</v>
      </c>
      <c r="G452" s="13" t="n">
        <v>8114.907499</v>
      </c>
      <c r="H452" s="13" t="n">
        <v>5855.001246</v>
      </c>
      <c r="I452" s="13" t="n">
        <v>6522.700415</v>
      </c>
      <c r="J452" s="13" t="n">
        <v>5341.504625</v>
      </c>
      <c r="K452" s="13" t="n">
        <v>3903.41676</v>
      </c>
      <c r="L452" s="13" t="n">
        <v>3543.809682</v>
      </c>
      <c r="M452" s="13" t="n">
        <v>2927.585385</v>
      </c>
      <c r="N452" s="13" t="n">
        <v>2824.719852</v>
      </c>
      <c r="O452" s="13" t="n">
        <v>2259.913507</v>
      </c>
      <c r="P452" s="13" t="n">
        <v>2002.957537</v>
      </c>
      <c r="Q452" s="13" t="n">
        <v>1779.597945</v>
      </c>
      <c r="R452" s="13" t="n">
        <v>0</v>
      </c>
      <c r="S452" s="13" t="n">
        <v>0</v>
      </c>
      <c r="T452" s="13" t="n">
        <v>0</v>
      </c>
      <c r="U452" s="13" t="n">
        <v>0</v>
      </c>
      <c r="V452" s="13" t="n">
        <v>0</v>
      </c>
      <c r="W452" s="13" t="n">
        <v>0</v>
      </c>
      <c r="X452" s="13" t="n">
        <v>0</v>
      </c>
      <c r="Y452" s="13" t="n">
        <v>0</v>
      </c>
      <c r="Z452" s="13" t="n">
        <v>0</v>
      </c>
      <c r="AA452" s="13" t="n">
        <v>0</v>
      </c>
      <c r="AB452" s="13" t="n">
        <v>0</v>
      </c>
      <c r="AC452" s="13" t="n">
        <v>0</v>
      </c>
      <c r="AD452" s="13" t="n">
        <v>0</v>
      </c>
      <c r="AE452" s="13" t="n">
        <v>0</v>
      </c>
      <c r="AF452" s="13" t="n">
        <v>0</v>
      </c>
      <c r="AG452" s="13" t="n">
        <v>0</v>
      </c>
      <c r="AH452" s="13" t="n">
        <v>0</v>
      </c>
      <c r="AI452" s="13" t="n">
        <v>0</v>
      </c>
      <c r="AJ452" s="13" t="n">
        <v>0</v>
      </c>
      <c r="AK452" s="13" t="n">
        <v>0</v>
      </c>
      <c r="AL452" s="13" t="n">
        <v>0</v>
      </c>
      <c r="AM452" s="13" t="n">
        <v>0</v>
      </c>
      <c r="AN452" s="13" t="n">
        <v>0</v>
      </c>
      <c r="AO452" s="13" t="n">
        <v>0</v>
      </c>
      <c r="AP452" s="13" t="n">
        <v>0</v>
      </c>
      <c r="AQ452" s="13" t="n">
        <v>0</v>
      </c>
      <c r="AR452" s="13" t="n">
        <v>0</v>
      </c>
      <c r="AS452" s="13" t="n">
        <v>0</v>
      </c>
      <c r="AT452" s="13" t="n">
        <v>0</v>
      </c>
    </row>
    <row r="453" customFormat="false" ht="15" hidden="false" customHeight="true" outlineLevel="0" collapsed="false">
      <c r="A453" s="12" t="s">
        <v>1412</v>
      </c>
      <c r="B453" s="12" t="s">
        <v>1413</v>
      </c>
      <c r="C453" s="12" t="n">
        <v>1</v>
      </c>
      <c r="D453" s="12" t="s">
        <v>1414</v>
      </c>
      <c r="E453" s="13" t="n">
        <v>0</v>
      </c>
      <c r="F453" s="13" t="n">
        <v>0</v>
      </c>
      <c r="G453" s="13" t="n">
        <v>0</v>
      </c>
      <c r="H453" s="13" t="n">
        <v>0</v>
      </c>
      <c r="I453" s="13" t="n">
        <v>0</v>
      </c>
      <c r="J453" s="13" t="n">
        <v>0</v>
      </c>
      <c r="K453" s="13" t="n">
        <v>0</v>
      </c>
      <c r="L453" s="13" t="n">
        <v>0</v>
      </c>
      <c r="M453" s="13" t="n">
        <v>0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  <c r="X453" s="13" t="n">
        <v>0</v>
      </c>
      <c r="Y453" s="13" t="n">
        <v>0</v>
      </c>
      <c r="Z453" s="13" t="n">
        <v>0</v>
      </c>
      <c r="AA453" s="13" t="n">
        <v>0</v>
      </c>
      <c r="AB453" s="13" t="n">
        <v>0</v>
      </c>
      <c r="AC453" s="13" t="n">
        <v>0</v>
      </c>
      <c r="AD453" s="13" t="n">
        <v>0</v>
      </c>
      <c r="AE453" s="13" t="n">
        <v>0</v>
      </c>
      <c r="AF453" s="13" t="n">
        <v>0</v>
      </c>
      <c r="AG453" s="13" t="n">
        <v>0</v>
      </c>
      <c r="AH453" s="13" t="n">
        <v>0</v>
      </c>
      <c r="AI453" s="13" t="n">
        <v>0</v>
      </c>
      <c r="AJ453" s="13" t="n">
        <v>0</v>
      </c>
      <c r="AK453" s="13" t="n">
        <v>0</v>
      </c>
      <c r="AL453" s="13" t="n">
        <v>0</v>
      </c>
      <c r="AM453" s="13" t="n">
        <v>1514.973147</v>
      </c>
      <c r="AN453" s="13" t="n">
        <v>1571.920253</v>
      </c>
      <c r="AO453" s="13" t="n">
        <v>1629.026498</v>
      </c>
      <c r="AP453" s="13" t="n">
        <v>1515.0768</v>
      </c>
      <c r="AQ453" s="13" t="n">
        <v>1515.037791</v>
      </c>
      <c r="AR453" s="13" t="n">
        <v>1514.978936</v>
      </c>
      <c r="AS453" s="13" t="n">
        <v>1514.944944</v>
      </c>
      <c r="AT453" s="13" t="n">
        <v>1571.993712</v>
      </c>
    </row>
    <row r="454" customFormat="false" ht="15" hidden="false" customHeight="true" outlineLevel="0" collapsed="false">
      <c r="A454" s="12" t="s">
        <v>1415</v>
      </c>
      <c r="B454" s="12" t="s">
        <v>1416</v>
      </c>
      <c r="C454" s="12" t="n">
        <v>1</v>
      </c>
      <c r="D454" s="12" t="s">
        <v>1417</v>
      </c>
      <c r="E454" s="13" t="n">
        <v>0</v>
      </c>
      <c r="F454" s="13" t="n">
        <v>0</v>
      </c>
      <c r="G454" s="13" t="n">
        <v>0</v>
      </c>
      <c r="H454" s="13" t="n">
        <v>0</v>
      </c>
      <c r="I454" s="13" t="n">
        <v>0</v>
      </c>
      <c r="J454" s="13" t="n">
        <v>0</v>
      </c>
      <c r="K454" s="13" t="n">
        <v>0</v>
      </c>
      <c r="L454" s="13" t="n">
        <v>0</v>
      </c>
      <c r="M454" s="13" t="n">
        <v>0</v>
      </c>
      <c r="N454" s="13" t="n">
        <v>0</v>
      </c>
      <c r="O454" s="13" t="n">
        <v>0</v>
      </c>
      <c r="P454" s="13" t="n">
        <v>0</v>
      </c>
      <c r="Q454" s="13" t="n">
        <v>0</v>
      </c>
      <c r="R454" s="13" t="n">
        <v>0</v>
      </c>
      <c r="S454" s="13" t="n">
        <v>0</v>
      </c>
      <c r="T454" s="13" t="n">
        <v>0</v>
      </c>
      <c r="U454" s="13" t="n">
        <v>0</v>
      </c>
      <c r="V454" s="13" t="n">
        <v>0</v>
      </c>
      <c r="W454" s="13" t="n">
        <v>0</v>
      </c>
      <c r="X454" s="13" t="n">
        <v>0</v>
      </c>
      <c r="Y454" s="13" t="n">
        <v>0</v>
      </c>
      <c r="Z454" s="13" t="n">
        <v>0</v>
      </c>
      <c r="AA454" s="13" t="n">
        <v>0</v>
      </c>
      <c r="AB454" s="13" t="n">
        <v>0</v>
      </c>
      <c r="AC454" s="13" t="n">
        <v>0</v>
      </c>
      <c r="AD454" s="13" t="n">
        <v>0</v>
      </c>
      <c r="AE454" s="13" t="n">
        <v>0</v>
      </c>
      <c r="AF454" s="13" t="n">
        <v>0</v>
      </c>
      <c r="AG454" s="13" t="n">
        <v>0</v>
      </c>
      <c r="AH454" s="13" t="n">
        <v>0</v>
      </c>
      <c r="AI454" s="13" t="n">
        <v>0</v>
      </c>
      <c r="AJ454" s="13" t="n">
        <v>0</v>
      </c>
      <c r="AK454" s="13" t="n">
        <v>0</v>
      </c>
      <c r="AL454" s="13" t="n">
        <v>0</v>
      </c>
      <c r="AM454" s="13" t="n">
        <v>0</v>
      </c>
      <c r="AN454" s="13" t="n">
        <v>0</v>
      </c>
      <c r="AO454" s="13" t="n">
        <v>188.952592</v>
      </c>
      <c r="AP454" s="13" t="n">
        <v>188.9532</v>
      </c>
      <c r="AQ454" s="13" t="n">
        <v>189.040212</v>
      </c>
      <c r="AR454" s="13" t="n">
        <v>188.933802</v>
      </c>
      <c r="AS454" s="13" t="n">
        <v>189.021924</v>
      </c>
      <c r="AT454" s="13" t="n">
        <v>189.01728</v>
      </c>
    </row>
    <row r="455" customFormat="false" ht="15" hidden="false" customHeight="true" outlineLevel="0" collapsed="false">
      <c r="A455" s="12" t="s">
        <v>1418</v>
      </c>
      <c r="B455" s="12" t="s">
        <v>1419</v>
      </c>
      <c r="C455" s="12" t="n">
        <v>1</v>
      </c>
      <c r="D455" s="12" t="s">
        <v>1420</v>
      </c>
      <c r="E455" s="13" t="n">
        <v>0</v>
      </c>
      <c r="F455" s="13" t="n">
        <v>0</v>
      </c>
      <c r="G455" s="13" t="n">
        <v>0</v>
      </c>
      <c r="H455" s="13" t="n">
        <v>0</v>
      </c>
      <c r="I455" s="13" t="n">
        <v>0</v>
      </c>
      <c r="J455" s="13" t="n">
        <v>0</v>
      </c>
      <c r="K455" s="13" t="n">
        <v>0</v>
      </c>
      <c r="L455" s="13" t="n">
        <v>0</v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220.003641</v>
      </c>
      <c r="S455" s="13" t="n">
        <v>219.98865</v>
      </c>
      <c r="T455" s="13" t="n">
        <v>219.95008</v>
      </c>
      <c r="U455" s="13" t="n">
        <v>241.952131</v>
      </c>
      <c r="V455" s="13" t="n">
        <v>264.010188</v>
      </c>
      <c r="W455" s="13" t="n">
        <v>264.005632</v>
      </c>
      <c r="X455" s="13" t="n">
        <v>263.934638</v>
      </c>
      <c r="Y455" s="13" t="n">
        <v>241.958146</v>
      </c>
      <c r="Z455" s="13" t="n">
        <v>264.011088</v>
      </c>
      <c r="AA455" s="13" t="n">
        <v>220.00902</v>
      </c>
      <c r="AB455" s="13" t="n">
        <v>219.958798</v>
      </c>
      <c r="AC455" s="13" t="n">
        <v>220.0352</v>
      </c>
      <c r="AD455" s="13" t="n">
        <v>242.0487</v>
      </c>
      <c r="AE455" s="13" t="n">
        <v>242.08632</v>
      </c>
      <c r="AF455" s="13" t="n">
        <v>263.9384</v>
      </c>
      <c r="AG455" s="13" t="n">
        <v>219.9972</v>
      </c>
      <c r="AH455" s="13" t="n">
        <v>220.01025</v>
      </c>
      <c r="AI455" s="13" t="n">
        <v>197.93241</v>
      </c>
      <c r="AJ455" s="13" t="n">
        <v>197.94618</v>
      </c>
      <c r="AK455" s="13" t="n">
        <v>175.92855</v>
      </c>
      <c r="AL455" s="13" t="n">
        <v>242.013834</v>
      </c>
      <c r="AM455" s="13" t="n">
        <v>219.936167</v>
      </c>
      <c r="AN455" s="13" t="n">
        <v>219.935759</v>
      </c>
      <c r="AO455" s="13" t="n">
        <v>250.84491</v>
      </c>
      <c r="AP455" s="13" t="n">
        <v>273.68016</v>
      </c>
      <c r="AQ455" s="13" t="n">
        <v>273.782376</v>
      </c>
      <c r="AR455" s="13" t="n">
        <v>228.0538</v>
      </c>
      <c r="AS455" s="13" t="n">
        <v>0</v>
      </c>
      <c r="AT455" s="13" t="n">
        <v>0</v>
      </c>
    </row>
    <row r="456" customFormat="false" ht="15" hidden="false" customHeight="true" outlineLevel="0" collapsed="false">
      <c r="A456" s="12" t="s">
        <v>1421</v>
      </c>
      <c r="B456" s="12" t="s">
        <v>1422</v>
      </c>
      <c r="C456" s="12" t="n">
        <v>1</v>
      </c>
      <c r="D456" s="12" t="s">
        <v>1423</v>
      </c>
      <c r="E456" s="13" t="n">
        <v>0</v>
      </c>
      <c r="F456" s="13" t="n">
        <v>0</v>
      </c>
      <c r="G456" s="13" t="n">
        <v>0</v>
      </c>
      <c r="H456" s="13" t="n">
        <v>0</v>
      </c>
      <c r="I456" s="13" t="n">
        <v>0</v>
      </c>
      <c r="J456" s="13" t="n">
        <v>0</v>
      </c>
      <c r="K456" s="13" t="n">
        <v>0</v>
      </c>
      <c r="L456" s="13" t="n">
        <v>0</v>
      </c>
      <c r="M456" s="13" t="n">
        <v>0</v>
      </c>
      <c r="N456" s="13" t="n">
        <v>0</v>
      </c>
      <c r="O456" s="13" t="n">
        <v>0</v>
      </c>
      <c r="P456" s="13" t="n">
        <v>0</v>
      </c>
      <c r="Q456" s="13" t="n">
        <v>0</v>
      </c>
      <c r="R456" s="13" t="n">
        <v>0</v>
      </c>
      <c r="S456" s="13" t="n">
        <v>0</v>
      </c>
      <c r="T456" s="13" t="n">
        <v>0</v>
      </c>
      <c r="U456" s="13" t="n">
        <v>0</v>
      </c>
      <c r="V456" s="13" t="n">
        <v>4039.927008</v>
      </c>
      <c r="W456" s="13" t="n">
        <v>4039.961184</v>
      </c>
      <c r="X456" s="13" t="n">
        <v>4020.095354</v>
      </c>
      <c r="Y456" s="13" t="n">
        <v>0</v>
      </c>
      <c r="Z456" s="13" t="n">
        <v>0</v>
      </c>
      <c r="AA456" s="13" t="n">
        <v>0</v>
      </c>
      <c r="AB456" s="13" t="n">
        <v>0</v>
      </c>
      <c r="AC456" s="13" t="n">
        <v>0</v>
      </c>
      <c r="AD456" s="13" t="n">
        <v>0</v>
      </c>
      <c r="AE456" s="13" t="n">
        <v>0</v>
      </c>
      <c r="AF456" s="13" t="n">
        <v>0</v>
      </c>
      <c r="AG456" s="13" t="n">
        <v>0</v>
      </c>
      <c r="AH456" s="13" t="n">
        <v>0</v>
      </c>
      <c r="AI456" s="13" t="n">
        <v>0</v>
      </c>
      <c r="AJ456" s="13" t="n">
        <v>0</v>
      </c>
      <c r="AK456" s="13" t="n">
        <v>0</v>
      </c>
      <c r="AL456" s="13" t="n">
        <v>0</v>
      </c>
      <c r="AM456" s="13" t="n">
        <v>0</v>
      </c>
      <c r="AN456" s="13" t="n">
        <v>0</v>
      </c>
      <c r="AO456" s="13" t="n">
        <v>0</v>
      </c>
      <c r="AP456" s="13" t="n">
        <v>0</v>
      </c>
      <c r="AQ456" s="13" t="n">
        <v>0</v>
      </c>
      <c r="AR456" s="13" t="n">
        <v>0</v>
      </c>
      <c r="AS456" s="13" t="n">
        <v>0</v>
      </c>
      <c r="AT456" s="13" t="n">
        <v>0</v>
      </c>
    </row>
    <row r="457" customFormat="false" ht="15" hidden="false" customHeight="true" outlineLevel="0" collapsed="false">
      <c r="A457" s="12" t="s">
        <v>1424</v>
      </c>
      <c r="B457" s="12" t="s">
        <v>1425</v>
      </c>
      <c r="C457" s="12" t="n">
        <v>1</v>
      </c>
      <c r="D457" s="12" t="s">
        <v>1426</v>
      </c>
      <c r="E457" s="13" t="n">
        <v>0</v>
      </c>
      <c r="F457" s="13" t="n">
        <v>0</v>
      </c>
      <c r="G457" s="13" t="n">
        <v>0</v>
      </c>
      <c r="H457" s="13" t="n">
        <v>0</v>
      </c>
      <c r="I457" s="13" t="n">
        <v>0</v>
      </c>
      <c r="J457" s="13" t="n">
        <v>0</v>
      </c>
      <c r="K457" s="13" t="n">
        <v>0</v>
      </c>
      <c r="L457" s="13" t="n">
        <v>0</v>
      </c>
      <c r="M457" s="13" t="n">
        <v>0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0</v>
      </c>
      <c r="X457" s="13" t="n">
        <v>0</v>
      </c>
      <c r="Y457" s="13" t="n">
        <v>0</v>
      </c>
      <c r="Z457" s="13" t="n">
        <v>0</v>
      </c>
      <c r="AA457" s="13" t="n">
        <v>0</v>
      </c>
      <c r="AB457" s="13" t="n">
        <v>0</v>
      </c>
      <c r="AC457" s="13" t="n">
        <v>0</v>
      </c>
      <c r="AD457" s="13" t="n">
        <v>0</v>
      </c>
      <c r="AE457" s="13" t="n">
        <v>0</v>
      </c>
      <c r="AF457" s="13" t="n">
        <v>0</v>
      </c>
      <c r="AG457" s="13" t="n">
        <v>0</v>
      </c>
      <c r="AH457" s="13" t="n">
        <v>0</v>
      </c>
      <c r="AI457" s="13" t="n">
        <v>0</v>
      </c>
      <c r="AJ457" s="13" t="n">
        <v>0</v>
      </c>
      <c r="AK457" s="13" t="n">
        <v>0</v>
      </c>
      <c r="AL457" s="13" t="n">
        <v>0</v>
      </c>
      <c r="AM457" s="13" t="n">
        <v>0</v>
      </c>
      <c r="AN457" s="13" t="n">
        <v>975.054526</v>
      </c>
      <c r="AO457" s="13" t="n">
        <v>974.93331</v>
      </c>
      <c r="AP457" s="13" t="n">
        <v>974.964</v>
      </c>
      <c r="AQ457" s="13" t="n">
        <v>975.078105</v>
      </c>
      <c r="AR457" s="13" t="n">
        <v>975.017708</v>
      </c>
      <c r="AS457" s="13" t="n">
        <v>0</v>
      </c>
      <c r="AT457" s="13" t="n">
        <v>0</v>
      </c>
    </row>
    <row r="458" customFormat="false" ht="15" hidden="false" customHeight="true" outlineLevel="0" collapsed="false">
      <c r="A458" s="12" t="s">
        <v>1427</v>
      </c>
      <c r="B458" s="12" t="s">
        <v>1428</v>
      </c>
      <c r="C458" s="12" t="n">
        <v>1</v>
      </c>
      <c r="D458" s="12" t="s">
        <v>1429</v>
      </c>
      <c r="E458" s="13" t="n">
        <v>19008.640332</v>
      </c>
      <c r="F458" s="13" t="n">
        <v>19008.597618</v>
      </c>
      <c r="G458" s="13" t="n">
        <v>19008.573054</v>
      </c>
      <c r="H458" s="13" t="n">
        <v>0</v>
      </c>
      <c r="I458" s="13" t="n">
        <v>0</v>
      </c>
      <c r="J458" s="13" t="n">
        <v>0</v>
      </c>
      <c r="K458" s="13" t="n">
        <v>0</v>
      </c>
      <c r="L458" s="13" t="n">
        <v>0</v>
      </c>
      <c r="M458" s="13" t="n">
        <v>0</v>
      </c>
      <c r="N458" s="13" t="n">
        <v>0</v>
      </c>
      <c r="O458" s="13" t="n">
        <v>0</v>
      </c>
      <c r="P458" s="13" t="n">
        <v>0</v>
      </c>
      <c r="Q458" s="13" t="n">
        <v>0</v>
      </c>
      <c r="R458" s="13" t="n">
        <v>0</v>
      </c>
      <c r="S458" s="13" t="n">
        <v>0</v>
      </c>
      <c r="T458" s="13" t="n">
        <v>0</v>
      </c>
      <c r="U458" s="13" t="n">
        <v>0</v>
      </c>
      <c r="V458" s="13" t="n">
        <v>0</v>
      </c>
      <c r="W458" s="13" t="n">
        <v>0</v>
      </c>
      <c r="X458" s="13" t="n">
        <v>0</v>
      </c>
      <c r="Y458" s="13" t="n">
        <v>0</v>
      </c>
      <c r="Z458" s="13" t="n">
        <v>0</v>
      </c>
      <c r="AA458" s="13" t="n">
        <v>0</v>
      </c>
      <c r="AB458" s="13" t="n">
        <v>0</v>
      </c>
      <c r="AC458" s="13" t="n">
        <v>0</v>
      </c>
      <c r="AD458" s="13" t="n">
        <v>0</v>
      </c>
      <c r="AE458" s="13" t="n">
        <v>0</v>
      </c>
      <c r="AF458" s="13" t="n">
        <v>0</v>
      </c>
      <c r="AG458" s="13" t="n">
        <v>0</v>
      </c>
      <c r="AH458" s="13" t="n">
        <v>0</v>
      </c>
      <c r="AI458" s="13" t="n">
        <v>0</v>
      </c>
      <c r="AJ458" s="13" t="n">
        <v>0</v>
      </c>
      <c r="AK458" s="13" t="n">
        <v>0</v>
      </c>
      <c r="AL458" s="13" t="n">
        <v>0</v>
      </c>
      <c r="AM458" s="13" t="n">
        <v>0</v>
      </c>
      <c r="AN458" s="13" t="n">
        <v>0</v>
      </c>
      <c r="AO458" s="13" t="n">
        <v>0</v>
      </c>
      <c r="AP458" s="13" t="n">
        <v>0</v>
      </c>
      <c r="AQ458" s="13" t="n">
        <v>0</v>
      </c>
      <c r="AR458" s="13" t="n">
        <v>0</v>
      </c>
      <c r="AS458" s="13" t="n">
        <v>0</v>
      </c>
      <c r="AT458" s="13" t="n">
        <v>0</v>
      </c>
    </row>
    <row r="459" customFormat="false" ht="15" hidden="false" customHeight="true" outlineLevel="0" collapsed="false">
      <c r="A459" s="12" t="s">
        <v>1430</v>
      </c>
      <c r="B459" s="12" t="s">
        <v>1431</v>
      </c>
      <c r="C459" s="12" t="n">
        <v>1</v>
      </c>
      <c r="D459" s="12" t="s">
        <v>1432</v>
      </c>
      <c r="E459" s="13" t="n">
        <v>10268.808912</v>
      </c>
      <c r="F459" s="13" t="n">
        <v>10268.6508</v>
      </c>
      <c r="G459" s="13" t="n">
        <v>10268.662196</v>
      </c>
      <c r="H459" s="13" t="n">
        <v>10268.710362</v>
      </c>
      <c r="I459" s="13" t="n">
        <v>10268.7683</v>
      </c>
      <c r="J459" s="13" t="n">
        <v>10268.68982</v>
      </c>
      <c r="K459" s="13" t="n">
        <v>9666.088164</v>
      </c>
      <c r="L459" s="13" t="n">
        <v>9666.016381</v>
      </c>
      <c r="M459" s="13" t="n">
        <v>9666.02007</v>
      </c>
      <c r="N459" s="13" t="n">
        <v>9666.092322</v>
      </c>
      <c r="O459" s="13" t="n">
        <v>9666.021588</v>
      </c>
      <c r="P459" s="13" t="n">
        <v>9666.101522</v>
      </c>
      <c r="Q459" s="13" t="n">
        <v>9387.829854</v>
      </c>
      <c r="R459" s="13" t="n">
        <v>9805.119537</v>
      </c>
      <c r="S459" s="13" t="n">
        <v>9735.572895</v>
      </c>
      <c r="T459" s="13" t="n">
        <v>9735.68512</v>
      </c>
      <c r="U459" s="13" t="n">
        <v>9979.041815</v>
      </c>
      <c r="V459" s="13" t="n">
        <v>9839.860524</v>
      </c>
      <c r="W459" s="13" t="n">
        <v>9758.833184</v>
      </c>
      <c r="X459" s="13" t="n">
        <v>9758.839474</v>
      </c>
      <c r="Y459" s="13" t="n">
        <v>9758.847306</v>
      </c>
      <c r="Z459" s="13" t="n">
        <v>9758.787984</v>
      </c>
      <c r="AA459" s="13" t="n">
        <v>9758.76744</v>
      </c>
      <c r="AB459" s="13" t="n">
        <v>9758.724004</v>
      </c>
      <c r="AC459" s="13" t="n">
        <v>0</v>
      </c>
      <c r="AD459" s="13" t="n">
        <v>0</v>
      </c>
      <c r="AE459" s="13" t="n">
        <v>0</v>
      </c>
      <c r="AF459" s="13" t="n">
        <v>0</v>
      </c>
      <c r="AG459" s="13" t="n">
        <v>0</v>
      </c>
      <c r="AH459" s="13" t="n">
        <v>0</v>
      </c>
      <c r="AI459" s="13" t="n">
        <v>9329.32704</v>
      </c>
      <c r="AJ459" s="13" t="n">
        <v>9329.19228</v>
      </c>
      <c r="AK459" s="13" t="n">
        <v>9329.34975</v>
      </c>
      <c r="AL459" s="13" t="n">
        <v>9329.320193</v>
      </c>
      <c r="AM459" s="13" t="n">
        <v>9329.218947</v>
      </c>
      <c r="AN459" s="13" t="n">
        <v>9329.196541</v>
      </c>
      <c r="AO459" s="13" t="n">
        <v>9359.359776</v>
      </c>
      <c r="AP459" s="13" t="n">
        <v>9359.48184</v>
      </c>
      <c r="AQ459" s="13" t="n">
        <v>9359.482297</v>
      </c>
      <c r="AR459" s="13" t="n">
        <v>9359.327952</v>
      </c>
      <c r="AS459" s="13" t="n">
        <v>9359.35479</v>
      </c>
      <c r="AT459" s="13" t="n">
        <v>9359.330632</v>
      </c>
    </row>
    <row r="460" customFormat="false" ht="15" hidden="false" customHeight="true" outlineLevel="0" collapsed="false">
      <c r="A460" s="12" t="s">
        <v>1433</v>
      </c>
      <c r="B460" s="12" t="s">
        <v>1434</v>
      </c>
      <c r="C460" s="12" t="n">
        <v>1</v>
      </c>
      <c r="D460" s="12" t="s">
        <v>1435</v>
      </c>
      <c r="E460" s="13" t="n">
        <v>808.906284</v>
      </c>
      <c r="F460" s="13" t="n">
        <v>778.982058</v>
      </c>
      <c r="G460" s="13" t="n">
        <v>748.990414</v>
      </c>
      <c r="H460" s="13" t="n">
        <v>569.301372</v>
      </c>
      <c r="I460" s="13" t="n">
        <v>509.373326</v>
      </c>
      <c r="J460" s="13" t="n">
        <v>479.32413</v>
      </c>
      <c r="K460" s="13" t="n">
        <v>359.468136</v>
      </c>
      <c r="L460" s="13" t="n">
        <v>359.538767</v>
      </c>
      <c r="M460" s="13" t="n">
        <v>269.68545</v>
      </c>
      <c r="N460" s="13" t="n">
        <v>269.571576</v>
      </c>
      <c r="O460" s="13" t="n">
        <v>299.589539</v>
      </c>
      <c r="P460" s="13" t="n">
        <v>359.513875</v>
      </c>
      <c r="Q460" s="13" t="n">
        <v>377.552907</v>
      </c>
      <c r="R460" s="13" t="n">
        <v>377.442144</v>
      </c>
      <c r="S460" s="13" t="n">
        <v>283.17336</v>
      </c>
      <c r="T460" s="13" t="n">
        <v>283.10912</v>
      </c>
      <c r="U460" s="13" t="n">
        <v>220.249347</v>
      </c>
      <c r="V460" s="13" t="n">
        <v>220.16202</v>
      </c>
      <c r="W460" s="13" t="n">
        <v>975.208304</v>
      </c>
      <c r="X460" s="13" t="n">
        <v>975.229564</v>
      </c>
      <c r="Y460" s="13" t="n">
        <v>1006.813636</v>
      </c>
      <c r="Z460" s="13" t="n">
        <v>943.784512</v>
      </c>
      <c r="AA460" s="13" t="n">
        <v>1006.77597</v>
      </c>
      <c r="AB460" s="13" t="n">
        <v>975.34628</v>
      </c>
      <c r="AC460" s="13" t="n">
        <v>1147.3264</v>
      </c>
      <c r="AD460" s="13" t="n">
        <v>1311.2511</v>
      </c>
      <c r="AE460" s="13" t="n">
        <v>1376.7894</v>
      </c>
      <c r="AF460" s="13" t="n">
        <v>1311.2726</v>
      </c>
      <c r="AG460" s="13" t="n">
        <v>1442.33252</v>
      </c>
      <c r="AH460" s="13" t="n">
        <v>1278.32565</v>
      </c>
      <c r="AI460" s="13" t="n">
        <v>1278.38397</v>
      </c>
      <c r="AJ460" s="13" t="n">
        <v>1376.67654</v>
      </c>
      <c r="AK460" s="13" t="n">
        <v>1212.78795</v>
      </c>
      <c r="AL460" s="13" t="n">
        <v>1180.047667</v>
      </c>
      <c r="AM460" s="13" t="n">
        <v>1081.704401</v>
      </c>
      <c r="AN460" s="13" t="n">
        <v>0</v>
      </c>
      <c r="AO460" s="13" t="n">
        <v>0</v>
      </c>
      <c r="AP460" s="13" t="n">
        <v>0</v>
      </c>
      <c r="AQ460" s="13" t="n">
        <v>0</v>
      </c>
      <c r="AR460" s="13" t="n">
        <v>0</v>
      </c>
      <c r="AS460" s="13" t="n">
        <v>0</v>
      </c>
      <c r="AT460" s="13" t="n">
        <v>0</v>
      </c>
    </row>
    <row r="461" customFormat="false" ht="15" hidden="false" customHeight="true" outlineLevel="0" collapsed="false">
      <c r="A461" s="12" t="s">
        <v>1436</v>
      </c>
      <c r="B461" s="12" t="s">
        <v>1437</v>
      </c>
      <c r="C461" s="12" t="n">
        <v>1</v>
      </c>
      <c r="D461" s="12" t="s">
        <v>1438</v>
      </c>
      <c r="E461" s="13" t="n">
        <v>5649.948396</v>
      </c>
      <c r="F461" s="13" t="n">
        <v>5850.002514</v>
      </c>
      <c r="G461" s="13" t="n">
        <v>6050.025275</v>
      </c>
      <c r="H461" s="13" t="n">
        <v>5899.917609</v>
      </c>
      <c r="I461" s="13" t="n">
        <v>5900.034826</v>
      </c>
      <c r="J461" s="13" t="n">
        <v>5500.08188</v>
      </c>
      <c r="K461" s="13" t="n">
        <v>4500.02706</v>
      </c>
      <c r="L461" s="13" t="n">
        <v>4599.986209</v>
      </c>
      <c r="M461" s="13" t="n">
        <v>4599.987705</v>
      </c>
      <c r="N461" s="13" t="n">
        <v>4600.06188</v>
      </c>
      <c r="O461" s="13" t="n">
        <v>3649.967669</v>
      </c>
      <c r="P461" s="13" t="n">
        <v>3700.03221</v>
      </c>
      <c r="Q461" s="13" t="n">
        <v>3885.069204</v>
      </c>
      <c r="R461" s="13" t="n">
        <v>3885.021561</v>
      </c>
      <c r="S461" s="13" t="n">
        <v>3885.03264</v>
      </c>
      <c r="T461" s="13" t="n">
        <v>3885.04704</v>
      </c>
      <c r="U461" s="13" t="n">
        <v>3884.967889</v>
      </c>
      <c r="V461" s="13" t="n">
        <v>3884.984532</v>
      </c>
      <c r="W461" s="13" t="n">
        <v>3885.08288</v>
      </c>
      <c r="X461" s="13" t="n">
        <v>3885.054416</v>
      </c>
      <c r="Y461" s="13" t="n">
        <v>3937.48</v>
      </c>
      <c r="Z461" s="13" t="n">
        <v>3937.513888</v>
      </c>
      <c r="AA461" s="13" t="n">
        <v>3937.50837</v>
      </c>
      <c r="AB461" s="13" t="n">
        <v>2756.263834</v>
      </c>
      <c r="AC461" s="13" t="n">
        <v>4376.7152</v>
      </c>
      <c r="AD461" s="13" t="n">
        <v>2872.3523</v>
      </c>
      <c r="AE461" s="13" t="n">
        <v>3025.46664</v>
      </c>
      <c r="AF461" s="13" t="n">
        <v>3063.6826</v>
      </c>
      <c r="AG461" s="13" t="n">
        <v>4710.44882</v>
      </c>
      <c r="AH461" s="13" t="n">
        <v>4905.5676</v>
      </c>
      <c r="AI461" s="13" t="n">
        <v>5317.29536</v>
      </c>
      <c r="AJ461" s="13" t="n">
        <v>4787.79993</v>
      </c>
      <c r="AK461" s="13" t="n">
        <v>4734.4776</v>
      </c>
      <c r="AL461" s="13" t="n">
        <v>0</v>
      </c>
      <c r="AM461" s="13" t="n">
        <v>4841.163736</v>
      </c>
      <c r="AN461" s="13" t="n">
        <v>4841.10436</v>
      </c>
      <c r="AO461" s="13" t="n">
        <v>5074.825272</v>
      </c>
      <c r="AP461" s="13" t="n">
        <v>0</v>
      </c>
      <c r="AQ461" s="13" t="n">
        <v>0</v>
      </c>
      <c r="AR461" s="13" t="n">
        <v>0</v>
      </c>
      <c r="AS461" s="13" t="n">
        <v>0</v>
      </c>
      <c r="AT461" s="13" t="n">
        <v>6857.651928</v>
      </c>
    </row>
    <row r="462" customFormat="false" ht="15" hidden="false" customHeight="true" outlineLevel="0" collapsed="false">
      <c r="A462" s="12" t="s">
        <v>1439</v>
      </c>
      <c r="B462" s="12" t="s">
        <v>1440</v>
      </c>
      <c r="C462" s="12" t="n">
        <v>1</v>
      </c>
      <c r="D462" s="12" t="s">
        <v>1441</v>
      </c>
      <c r="E462" s="13" t="n">
        <v>0</v>
      </c>
      <c r="F462" s="13" t="n">
        <v>0</v>
      </c>
      <c r="G462" s="13" t="n">
        <v>0</v>
      </c>
      <c r="H462" s="13" t="n">
        <v>0</v>
      </c>
      <c r="I462" s="13" t="n">
        <v>0</v>
      </c>
      <c r="J462" s="13" t="n">
        <v>0</v>
      </c>
      <c r="K462" s="13" t="n">
        <v>0</v>
      </c>
      <c r="L462" s="13" t="n">
        <v>0</v>
      </c>
      <c r="M462" s="13" t="n">
        <v>0</v>
      </c>
      <c r="N462" s="13" t="n">
        <v>0</v>
      </c>
      <c r="O462" s="13" t="n">
        <v>0</v>
      </c>
      <c r="P462" s="13" t="n">
        <v>0</v>
      </c>
      <c r="Q462" s="13" t="n">
        <v>0</v>
      </c>
      <c r="R462" s="13" t="n">
        <v>0</v>
      </c>
      <c r="S462" s="13" t="n">
        <v>0</v>
      </c>
      <c r="T462" s="13" t="n">
        <v>0</v>
      </c>
      <c r="U462" s="13" t="n">
        <v>0</v>
      </c>
      <c r="V462" s="13" t="n">
        <v>0</v>
      </c>
      <c r="W462" s="13" t="n">
        <v>0</v>
      </c>
      <c r="X462" s="13" t="n">
        <v>0</v>
      </c>
      <c r="Y462" s="13" t="n">
        <v>0</v>
      </c>
      <c r="Z462" s="13" t="n">
        <v>0</v>
      </c>
      <c r="AA462" s="13" t="n">
        <v>0</v>
      </c>
      <c r="AB462" s="13" t="n">
        <v>0</v>
      </c>
      <c r="AC462" s="13" t="n">
        <v>0</v>
      </c>
      <c r="AD462" s="13" t="n">
        <v>0</v>
      </c>
      <c r="AE462" s="13" t="n">
        <v>0</v>
      </c>
      <c r="AF462" s="13" t="n">
        <v>0</v>
      </c>
      <c r="AG462" s="13" t="n">
        <v>0</v>
      </c>
      <c r="AH462" s="13" t="n">
        <v>0</v>
      </c>
      <c r="AI462" s="13" t="n">
        <v>0</v>
      </c>
      <c r="AJ462" s="13" t="n">
        <v>0</v>
      </c>
      <c r="AK462" s="13" t="n">
        <v>0</v>
      </c>
      <c r="AL462" s="13" t="n">
        <v>0</v>
      </c>
      <c r="AM462" s="13" t="n">
        <v>719.974525</v>
      </c>
      <c r="AN462" s="13" t="n">
        <v>1020.012776</v>
      </c>
      <c r="AO462" s="13" t="n">
        <v>899.93844</v>
      </c>
      <c r="AP462" s="13" t="n">
        <v>900.07296</v>
      </c>
      <c r="AQ462" s="13" t="n">
        <v>899.93281</v>
      </c>
      <c r="AR462" s="13" t="n">
        <v>899.93538</v>
      </c>
      <c r="AS462" s="13" t="n">
        <v>899.931303</v>
      </c>
      <c r="AT462" s="13" t="n">
        <v>899.932272</v>
      </c>
    </row>
    <row r="463" customFormat="false" ht="15" hidden="false" customHeight="true" outlineLevel="0" collapsed="false">
      <c r="A463" s="12" t="s">
        <v>1442</v>
      </c>
      <c r="B463" s="12" t="s">
        <v>1443</v>
      </c>
      <c r="C463" s="12" t="n">
        <v>1</v>
      </c>
      <c r="D463" s="12" t="s">
        <v>1444</v>
      </c>
      <c r="E463" s="13" t="n">
        <v>0</v>
      </c>
      <c r="F463" s="13" t="n">
        <v>0</v>
      </c>
      <c r="G463" s="13" t="n">
        <v>0</v>
      </c>
      <c r="H463" s="13" t="n">
        <v>0</v>
      </c>
      <c r="I463" s="13" t="n">
        <v>0</v>
      </c>
      <c r="J463" s="13" t="n">
        <v>0</v>
      </c>
      <c r="K463" s="13" t="n">
        <v>0</v>
      </c>
      <c r="L463" s="13" t="n">
        <v>0</v>
      </c>
      <c r="M463" s="13" t="n">
        <v>0</v>
      </c>
      <c r="N463" s="13" t="n">
        <v>0</v>
      </c>
      <c r="O463" s="13" t="n">
        <v>0</v>
      </c>
      <c r="P463" s="13" t="n">
        <v>1249.924004</v>
      </c>
      <c r="Q463" s="13" t="n">
        <v>999.940032</v>
      </c>
      <c r="R463" s="13" t="n">
        <v>949.930251</v>
      </c>
      <c r="S463" s="13" t="n">
        <v>949.920915</v>
      </c>
      <c r="T463" s="13" t="n">
        <v>1250.07232</v>
      </c>
      <c r="U463" s="13" t="n">
        <v>899.987324</v>
      </c>
      <c r="V463" s="13" t="n">
        <v>899.99286</v>
      </c>
      <c r="W463" s="13" t="n">
        <v>0</v>
      </c>
      <c r="X463" s="13" t="n">
        <v>0</v>
      </c>
      <c r="Y463" s="13" t="n">
        <v>0</v>
      </c>
      <c r="Z463" s="13" t="n">
        <v>0</v>
      </c>
      <c r="AA463" s="13" t="n">
        <v>0</v>
      </c>
      <c r="AB463" s="13" t="n">
        <v>0</v>
      </c>
      <c r="AC463" s="13" t="n">
        <v>0</v>
      </c>
      <c r="AD463" s="13" t="n">
        <v>0</v>
      </c>
      <c r="AE463" s="13" t="n">
        <v>0</v>
      </c>
      <c r="AF463" s="13" t="n">
        <v>0</v>
      </c>
      <c r="AG463" s="13" t="n">
        <v>0</v>
      </c>
      <c r="AH463" s="13" t="n">
        <v>0</v>
      </c>
      <c r="AI463" s="13" t="n">
        <v>0</v>
      </c>
      <c r="AJ463" s="13" t="n">
        <v>0</v>
      </c>
      <c r="AK463" s="13" t="n">
        <v>0</v>
      </c>
      <c r="AL463" s="13" t="n">
        <v>0</v>
      </c>
      <c r="AM463" s="13" t="n">
        <v>0</v>
      </c>
      <c r="AN463" s="13" t="n">
        <v>0</v>
      </c>
      <c r="AO463" s="13" t="n">
        <v>0</v>
      </c>
      <c r="AP463" s="13" t="n">
        <v>0</v>
      </c>
      <c r="AQ463" s="13" t="n">
        <v>0</v>
      </c>
      <c r="AR463" s="13" t="n">
        <v>0</v>
      </c>
      <c r="AS463" s="13" t="n">
        <v>0</v>
      </c>
      <c r="AT463" s="13" t="n">
        <v>0</v>
      </c>
    </row>
    <row r="464" customFormat="false" ht="15" hidden="false" customHeight="true" outlineLevel="0" collapsed="false">
      <c r="A464" s="12" t="s">
        <v>1445</v>
      </c>
      <c r="B464" s="12" t="s">
        <v>1446</v>
      </c>
      <c r="C464" s="12" t="n">
        <v>1</v>
      </c>
      <c r="D464" s="12" t="s">
        <v>1447</v>
      </c>
      <c r="E464" s="13" t="n">
        <v>4179.943872</v>
      </c>
      <c r="F464" s="13" t="n">
        <v>3960.055494</v>
      </c>
      <c r="G464" s="13" t="n">
        <v>3959.983634</v>
      </c>
      <c r="H464" s="13" t="n">
        <v>4179.927564</v>
      </c>
      <c r="I464" s="13" t="n">
        <v>4290.082839</v>
      </c>
      <c r="J464" s="13" t="n">
        <v>4289.96807</v>
      </c>
      <c r="K464" s="13" t="n">
        <v>4400.063544</v>
      </c>
      <c r="L464" s="13" t="n">
        <v>4400.037775</v>
      </c>
      <c r="M464" s="13" t="n">
        <v>4399.92693</v>
      </c>
      <c r="N464" s="13" t="n">
        <v>4400.051334</v>
      </c>
      <c r="O464" s="13" t="n">
        <v>4289.92947</v>
      </c>
      <c r="P464" s="13" t="n">
        <v>4289.973331</v>
      </c>
      <c r="Q464" s="13" t="n">
        <v>4504.537548</v>
      </c>
      <c r="R464" s="13" t="n">
        <v>4504.518993</v>
      </c>
      <c r="S464" s="13" t="n">
        <v>4504.474365</v>
      </c>
      <c r="T464" s="13" t="n">
        <v>4504.5504</v>
      </c>
      <c r="U464" s="13" t="n">
        <v>5948.258346</v>
      </c>
      <c r="V464" s="13" t="n">
        <v>5775.061656</v>
      </c>
      <c r="W464" s="13" t="n">
        <v>5774.935696</v>
      </c>
      <c r="X464" s="13" t="n">
        <v>5775.032654</v>
      </c>
      <c r="Y464" s="13" t="n">
        <v>5774.905042</v>
      </c>
      <c r="Z464" s="13" t="n">
        <v>5774.966912</v>
      </c>
      <c r="AA464" s="13" t="n">
        <v>5774.93064</v>
      </c>
      <c r="AB464" s="13" t="n">
        <v>5774.980806</v>
      </c>
      <c r="AC464" s="13" t="n">
        <v>6018.0868</v>
      </c>
      <c r="AD464" s="13" t="n">
        <v>6680.0514</v>
      </c>
      <c r="AE464" s="13" t="n">
        <v>4333.05936</v>
      </c>
      <c r="AF464" s="13" t="n">
        <v>4333.054</v>
      </c>
      <c r="AG464" s="13" t="n">
        <v>4332.97994</v>
      </c>
      <c r="AH464" s="13" t="n">
        <v>4332.9744</v>
      </c>
      <c r="AI464" s="13" t="n">
        <v>4332.89647</v>
      </c>
      <c r="AJ464" s="13" t="n">
        <v>4333.00833</v>
      </c>
      <c r="AK464" s="13" t="n">
        <v>4332.90555</v>
      </c>
      <c r="AL464" s="13" t="n">
        <v>4333.042206</v>
      </c>
      <c r="AM464" s="13" t="n">
        <v>4332.870893</v>
      </c>
      <c r="AN464" s="13" t="n">
        <v>4332.896302</v>
      </c>
      <c r="AO464" s="13" t="n">
        <v>4492.79612</v>
      </c>
      <c r="AP464" s="13" t="n">
        <v>4492.77216</v>
      </c>
      <c r="AQ464" s="13" t="n">
        <v>4492.783276</v>
      </c>
      <c r="AR464" s="13" t="n">
        <v>4492.835286</v>
      </c>
      <c r="AS464" s="13" t="n">
        <v>4492.732635</v>
      </c>
      <c r="AT464" s="13" t="n">
        <v>4492.835736</v>
      </c>
    </row>
    <row r="465" customFormat="false" ht="15" hidden="false" customHeight="true" outlineLevel="0" collapsed="false">
      <c r="A465" s="12" t="s">
        <v>1448</v>
      </c>
      <c r="B465" s="12" t="s">
        <v>1449</v>
      </c>
      <c r="C465" s="12" t="n">
        <v>1</v>
      </c>
      <c r="D465" s="12" t="s">
        <v>1450</v>
      </c>
      <c r="E465" s="13" t="n">
        <v>0</v>
      </c>
      <c r="F465" s="13" t="n">
        <v>0</v>
      </c>
      <c r="G465" s="13" t="n">
        <v>0</v>
      </c>
      <c r="H465" s="13" t="n">
        <v>0</v>
      </c>
      <c r="I465" s="13" t="n">
        <v>0</v>
      </c>
      <c r="J465" s="13" t="n">
        <v>0</v>
      </c>
      <c r="K465" s="13" t="n">
        <v>0</v>
      </c>
      <c r="L465" s="13" t="n">
        <v>0</v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300.004965</v>
      </c>
      <c r="S465" s="13" t="n">
        <v>300.04467</v>
      </c>
      <c r="T465" s="13" t="n">
        <v>299.96288</v>
      </c>
      <c r="U465" s="13" t="n">
        <v>299.939257</v>
      </c>
      <c r="V465" s="13" t="n">
        <v>299.936208</v>
      </c>
      <c r="W465" s="13" t="n">
        <v>480.01024</v>
      </c>
      <c r="X465" s="13" t="n">
        <v>480.079458</v>
      </c>
      <c r="Y465" s="13" t="n">
        <v>479.978812</v>
      </c>
      <c r="Z465" s="13" t="n">
        <v>479.910816</v>
      </c>
      <c r="AA465" s="13" t="n">
        <v>420.01722</v>
      </c>
      <c r="AB465" s="13" t="n">
        <v>420.086904</v>
      </c>
      <c r="AC465" s="13" t="n">
        <v>437.7956</v>
      </c>
      <c r="AD465" s="13" t="n">
        <v>375.0831</v>
      </c>
      <c r="AE465" s="13" t="n">
        <v>375.17256</v>
      </c>
      <c r="AF465" s="13" t="n">
        <v>375.1528</v>
      </c>
      <c r="AG465" s="13" t="n">
        <v>750.30624</v>
      </c>
      <c r="AH465" s="13" t="n">
        <v>375.24495</v>
      </c>
      <c r="AI465" s="13" t="n">
        <v>375.18812</v>
      </c>
      <c r="AJ465" s="13" t="n">
        <v>437.64372</v>
      </c>
      <c r="AK465" s="13" t="n">
        <v>375.15525</v>
      </c>
      <c r="AL465" s="13" t="n">
        <v>312.739338</v>
      </c>
      <c r="AM465" s="13" t="n">
        <v>312.569832</v>
      </c>
      <c r="AN465" s="13" t="n">
        <v>312.729587</v>
      </c>
      <c r="AO465" s="13" t="n">
        <v>324.11576</v>
      </c>
      <c r="AP465" s="13" t="n">
        <v>324.24024</v>
      </c>
      <c r="AQ465" s="13" t="n">
        <v>324.12067</v>
      </c>
      <c r="AR465" s="13" t="n">
        <v>324.187248</v>
      </c>
      <c r="AS465" s="13" t="n">
        <v>324.210681</v>
      </c>
      <c r="AT465" s="13" t="n">
        <v>324.129632</v>
      </c>
    </row>
    <row r="466" customFormat="false" ht="15" hidden="false" customHeight="true" outlineLevel="0" collapsed="false">
      <c r="A466" s="12" t="s">
        <v>1451</v>
      </c>
      <c r="B466" s="12" t="s">
        <v>1452</v>
      </c>
      <c r="C466" s="12" t="n">
        <v>1</v>
      </c>
      <c r="D466" s="12" t="s">
        <v>1453</v>
      </c>
      <c r="E466" s="13" t="n">
        <v>0</v>
      </c>
      <c r="F466" s="13" t="n">
        <v>0</v>
      </c>
      <c r="G466" s="13" t="n">
        <v>0</v>
      </c>
      <c r="H466" s="13" t="n">
        <v>0</v>
      </c>
      <c r="I466" s="13" t="n">
        <v>0</v>
      </c>
      <c r="J466" s="13" t="n">
        <v>0</v>
      </c>
      <c r="K466" s="13" t="n">
        <v>0</v>
      </c>
      <c r="L466" s="13" t="n">
        <v>0</v>
      </c>
      <c r="M466" s="13" t="n">
        <v>0</v>
      </c>
      <c r="N466" s="13" t="n">
        <v>0</v>
      </c>
      <c r="O466" s="13" t="n">
        <v>0</v>
      </c>
      <c r="P466" s="13" t="n">
        <v>0</v>
      </c>
      <c r="Q466" s="13" t="n">
        <v>0</v>
      </c>
      <c r="R466" s="13" t="n">
        <v>0</v>
      </c>
      <c r="S466" s="13" t="n">
        <v>0</v>
      </c>
      <c r="T466" s="13" t="n">
        <v>0</v>
      </c>
      <c r="U466" s="13" t="n">
        <v>0</v>
      </c>
      <c r="V466" s="13" t="n">
        <v>0</v>
      </c>
      <c r="W466" s="13" t="n">
        <v>0</v>
      </c>
      <c r="X466" s="13" t="n">
        <v>0</v>
      </c>
      <c r="Y466" s="13" t="n">
        <v>0</v>
      </c>
      <c r="Z466" s="13" t="n">
        <v>0</v>
      </c>
      <c r="AA466" s="13" t="n">
        <v>0</v>
      </c>
      <c r="AB466" s="13" t="n">
        <v>0</v>
      </c>
      <c r="AC466" s="13" t="n">
        <v>1889.9452</v>
      </c>
      <c r="AD466" s="13" t="n">
        <v>1889.9918</v>
      </c>
      <c r="AE466" s="13" t="n">
        <v>1819.93392</v>
      </c>
      <c r="AF466" s="13" t="n">
        <v>1750.0604</v>
      </c>
      <c r="AG466" s="13" t="n">
        <v>1819.99438</v>
      </c>
      <c r="AH466" s="13" t="n">
        <v>1750.07295</v>
      </c>
      <c r="AI466" s="13" t="n">
        <v>1750.0007</v>
      </c>
      <c r="AJ466" s="13" t="n">
        <v>1750.01571</v>
      </c>
      <c r="AK466" s="13" t="n">
        <v>1749.92955</v>
      </c>
      <c r="AL466" s="13" t="n">
        <v>1750.087862</v>
      </c>
      <c r="AM466" s="13" t="n">
        <v>1889.910199</v>
      </c>
      <c r="AN466" s="13" t="n">
        <v>1890.04483</v>
      </c>
      <c r="AO466" s="13" t="n">
        <v>1887.112292</v>
      </c>
      <c r="AP466" s="13" t="n">
        <v>1887.11616</v>
      </c>
      <c r="AQ466" s="13" t="n">
        <v>1814.532533</v>
      </c>
      <c r="AR466" s="13" t="n">
        <v>1814.431118</v>
      </c>
      <c r="AS466" s="13" t="n">
        <v>1741.875111</v>
      </c>
      <c r="AT466" s="13" t="n">
        <v>1741.934248</v>
      </c>
    </row>
    <row r="467" customFormat="false" ht="15" hidden="false" customHeight="true" outlineLevel="0" collapsed="false">
      <c r="A467" s="12" t="s">
        <v>1454</v>
      </c>
      <c r="B467" s="12" t="s">
        <v>1455</v>
      </c>
      <c r="C467" s="12" t="n">
        <v>1</v>
      </c>
      <c r="D467" s="12" t="s">
        <v>1456</v>
      </c>
      <c r="E467" s="13" t="n">
        <v>0</v>
      </c>
      <c r="F467" s="13" t="n">
        <v>0</v>
      </c>
      <c r="G467" s="13" t="n">
        <v>0</v>
      </c>
      <c r="H467" s="13" t="n">
        <v>0</v>
      </c>
      <c r="I467" s="13" t="n">
        <v>0</v>
      </c>
      <c r="J467" s="13" t="n">
        <v>0</v>
      </c>
      <c r="K467" s="13" t="n">
        <v>0</v>
      </c>
      <c r="L467" s="13" t="n">
        <v>0</v>
      </c>
      <c r="M467" s="13" t="n">
        <v>0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  <c r="V467" s="13" t="n">
        <v>0</v>
      </c>
      <c r="W467" s="13" t="n">
        <v>0</v>
      </c>
      <c r="X467" s="13" t="n">
        <v>0</v>
      </c>
      <c r="Y467" s="13" t="n">
        <v>0</v>
      </c>
      <c r="Z467" s="13" t="n">
        <v>0</v>
      </c>
      <c r="AA467" s="13" t="n">
        <v>0</v>
      </c>
      <c r="AB467" s="13" t="n">
        <v>0</v>
      </c>
      <c r="AC467" s="13" t="n">
        <v>0</v>
      </c>
      <c r="AD467" s="13" t="n">
        <v>0</v>
      </c>
      <c r="AE467" s="13" t="n">
        <v>0</v>
      </c>
      <c r="AF467" s="13" t="n">
        <v>0</v>
      </c>
      <c r="AG467" s="13" t="n">
        <v>0</v>
      </c>
      <c r="AH467" s="13" t="n">
        <v>0</v>
      </c>
      <c r="AI467" s="13" t="n">
        <v>0</v>
      </c>
      <c r="AJ467" s="13" t="n">
        <v>0</v>
      </c>
      <c r="AK467" s="13" t="n">
        <v>0</v>
      </c>
      <c r="AL467" s="13" t="n">
        <v>0</v>
      </c>
      <c r="AM467" s="13" t="n">
        <v>0</v>
      </c>
      <c r="AN467" s="13" t="n">
        <v>0</v>
      </c>
      <c r="AO467" s="13" t="n">
        <v>0</v>
      </c>
      <c r="AP467" s="13" t="n">
        <v>0</v>
      </c>
      <c r="AQ467" s="13" t="n">
        <v>0</v>
      </c>
      <c r="AR467" s="13" t="n">
        <v>0</v>
      </c>
      <c r="AS467" s="13" t="n">
        <v>1169.962623</v>
      </c>
      <c r="AT467" s="13" t="n">
        <v>975.014136</v>
      </c>
    </row>
    <row r="468" customFormat="false" ht="15" hidden="false" customHeight="true" outlineLevel="0" collapsed="false">
      <c r="A468" s="12" t="s">
        <v>1457</v>
      </c>
      <c r="B468" s="12" t="s">
        <v>1458</v>
      </c>
      <c r="C468" s="12" t="n">
        <v>1</v>
      </c>
      <c r="D468" s="12" t="s">
        <v>1459</v>
      </c>
      <c r="E468" s="13" t="n">
        <v>0</v>
      </c>
      <c r="F468" s="13" t="n">
        <v>0</v>
      </c>
      <c r="G468" s="13" t="n">
        <v>0</v>
      </c>
      <c r="H468" s="13" t="n">
        <v>0</v>
      </c>
      <c r="I468" s="13" t="n">
        <v>0</v>
      </c>
      <c r="J468" s="13" t="n">
        <v>0</v>
      </c>
      <c r="K468" s="13" t="n">
        <v>0</v>
      </c>
      <c r="L468" s="13" t="n">
        <v>0</v>
      </c>
      <c r="M468" s="13" t="n">
        <v>0</v>
      </c>
      <c r="N468" s="13" t="n">
        <v>0</v>
      </c>
      <c r="O468" s="13" t="n">
        <v>0</v>
      </c>
      <c r="P468" s="13" t="n">
        <v>0</v>
      </c>
      <c r="Q468" s="13" t="n">
        <v>0</v>
      </c>
      <c r="R468" s="13" t="n">
        <v>0</v>
      </c>
      <c r="S468" s="13" t="n">
        <v>0</v>
      </c>
      <c r="T468" s="13" t="n">
        <v>0</v>
      </c>
      <c r="U468" s="13" t="n">
        <v>0</v>
      </c>
      <c r="V468" s="13" t="n">
        <v>0</v>
      </c>
      <c r="W468" s="13" t="n">
        <v>0</v>
      </c>
      <c r="X468" s="13" t="n">
        <v>0</v>
      </c>
      <c r="Y468" s="13" t="n">
        <v>0</v>
      </c>
      <c r="Z468" s="13" t="n">
        <v>0</v>
      </c>
      <c r="AA468" s="13" t="n">
        <v>0</v>
      </c>
      <c r="AB468" s="13" t="n">
        <v>0</v>
      </c>
      <c r="AC468" s="13" t="n">
        <v>0</v>
      </c>
      <c r="AD468" s="13" t="n">
        <v>959.9828</v>
      </c>
      <c r="AE468" s="13" t="n">
        <v>959.97636</v>
      </c>
      <c r="AF468" s="13" t="n">
        <v>960.0074</v>
      </c>
      <c r="AG468" s="13" t="n">
        <v>1079.91608</v>
      </c>
      <c r="AH468" s="13" t="n">
        <v>1080.03315</v>
      </c>
      <c r="AI468" s="13" t="n">
        <v>1200.00048</v>
      </c>
      <c r="AJ468" s="13" t="n">
        <v>1079.94366</v>
      </c>
      <c r="AK468" s="13" t="n">
        <v>1079.97015</v>
      </c>
      <c r="AL468" s="13" t="n">
        <v>1080.037384</v>
      </c>
      <c r="AM468" s="13" t="n">
        <v>1020.070913</v>
      </c>
      <c r="AN468" s="13" t="n">
        <v>959.948554</v>
      </c>
      <c r="AO468" s="13" t="n">
        <v>995.276746</v>
      </c>
      <c r="AP468" s="13" t="n">
        <v>995.32608</v>
      </c>
      <c r="AQ468" s="13" t="n">
        <v>995.358281</v>
      </c>
      <c r="AR468" s="13" t="n">
        <v>995.367124</v>
      </c>
      <c r="AS468" s="13" t="n">
        <v>995.30775</v>
      </c>
      <c r="AT468" s="13" t="n">
        <v>995.315992</v>
      </c>
    </row>
    <row r="469" customFormat="false" ht="15" hidden="false" customHeight="true" outlineLevel="0" collapsed="false">
      <c r="A469" s="12" t="s">
        <v>1460</v>
      </c>
      <c r="B469" s="12" t="s">
        <v>1461</v>
      </c>
      <c r="C469" s="12" t="n">
        <v>1</v>
      </c>
      <c r="D469" s="12" t="s">
        <v>1462</v>
      </c>
      <c r="E469" s="13" t="n">
        <v>0</v>
      </c>
      <c r="F469" s="13" t="n">
        <v>0</v>
      </c>
      <c r="G469" s="13" t="n">
        <v>0</v>
      </c>
      <c r="H469" s="13" t="n">
        <v>0</v>
      </c>
      <c r="I469" s="13" t="n">
        <v>0</v>
      </c>
      <c r="J469" s="13" t="n">
        <v>0</v>
      </c>
      <c r="K469" s="13" t="n">
        <v>0</v>
      </c>
      <c r="L469" s="13" t="n">
        <v>0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0</v>
      </c>
      <c r="V469" s="13" t="n">
        <v>0</v>
      </c>
      <c r="W469" s="13" t="n">
        <v>0</v>
      </c>
      <c r="X469" s="13" t="n">
        <v>0</v>
      </c>
      <c r="Y469" s="13" t="n">
        <v>0</v>
      </c>
      <c r="Z469" s="13" t="n">
        <v>0</v>
      </c>
      <c r="AA469" s="13" t="n">
        <v>0</v>
      </c>
      <c r="AB469" s="13" t="n">
        <v>0</v>
      </c>
      <c r="AC469" s="13" t="n">
        <v>0</v>
      </c>
      <c r="AD469" s="13" t="n">
        <v>0</v>
      </c>
      <c r="AE469" s="13" t="n">
        <v>0</v>
      </c>
      <c r="AF469" s="13" t="n">
        <v>0</v>
      </c>
      <c r="AG469" s="13" t="n">
        <v>0</v>
      </c>
      <c r="AH469" s="13" t="n">
        <v>420.0024</v>
      </c>
      <c r="AI469" s="13" t="n">
        <v>419.92498</v>
      </c>
      <c r="AJ469" s="13" t="n">
        <v>0</v>
      </c>
      <c r="AK469" s="13" t="n">
        <v>0</v>
      </c>
      <c r="AL469" s="13" t="n">
        <v>0</v>
      </c>
      <c r="AM469" s="13" t="n">
        <v>0</v>
      </c>
      <c r="AN469" s="13" t="n">
        <v>0</v>
      </c>
      <c r="AO469" s="13" t="n">
        <v>0</v>
      </c>
      <c r="AP469" s="13" t="n">
        <v>0</v>
      </c>
      <c r="AQ469" s="13" t="n">
        <v>0</v>
      </c>
      <c r="AR469" s="13" t="n">
        <v>0</v>
      </c>
      <c r="AS469" s="13" t="n">
        <v>0</v>
      </c>
      <c r="AT469" s="13" t="n">
        <v>0</v>
      </c>
    </row>
    <row r="470" customFormat="false" ht="15" hidden="false" customHeight="true" outlineLevel="0" collapsed="false">
      <c r="A470" s="12" t="s">
        <v>1463</v>
      </c>
      <c r="B470" s="12" t="s">
        <v>1464</v>
      </c>
      <c r="C470" s="12" t="n">
        <v>1</v>
      </c>
      <c r="D470" s="12" t="s">
        <v>1465</v>
      </c>
      <c r="E470" s="13" t="n">
        <v>0</v>
      </c>
      <c r="F470" s="13" t="n">
        <v>0</v>
      </c>
      <c r="G470" s="13" t="n">
        <v>0</v>
      </c>
      <c r="H470" s="13" t="n">
        <v>0</v>
      </c>
      <c r="I470" s="13" t="n">
        <v>0</v>
      </c>
      <c r="J470" s="13" t="n">
        <v>0</v>
      </c>
      <c r="K470" s="13" t="n">
        <v>0</v>
      </c>
      <c r="L470" s="13" t="n">
        <v>0</v>
      </c>
      <c r="M470" s="13" t="n">
        <v>0</v>
      </c>
      <c r="N470" s="13" t="n">
        <v>0</v>
      </c>
      <c r="O470" s="13" t="n">
        <v>0</v>
      </c>
      <c r="P470" s="13" t="n">
        <v>0</v>
      </c>
      <c r="Q470" s="13" t="n">
        <v>0</v>
      </c>
      <c r="R470" s="13" t="n">
        <v>0</v>
      </c>
      <c r="S470" s="13" t="n">
        <v>0</v>
      </c>
      <c r="T470" s="13" t="n">
        <v>0</v>
      </c>
      <c r="U470" s="13" t="n">
        <v>0</v>
      </c>
      <c r="V470" s="13" t="n">
        <v>0</v>
      </c>
      <c r="W470" s="13" t="n">
        <v>0</v>
      </c>
      <c r="X470" s="13" t="n">
        <v>0</v>
      </c>
      <c r="Y470" s="13" t="n">
        <v>0</v>
      </c>
      <c r="Z470" s="13" t="n">
        <v>0</v>
      </c>
      <c r="AA470" s="13" t="n">
        <v>0</v>
      </c>
      <c r="AB470" s="13" t="n">
        <v>0</v>
      </c>
      <c r="AC470" s="13" t="n">
        <v>0</v>
      </c>
      <c r="AD470" s="13" t="n">
        <v>0</v>
      </c>
      <c r="AE470" s="13" t="n">
        <v>0</v>
      </c>
      <c r="AF470" s="13" t="n">
        <v>0</v>
      </c>
      <c r="AG470" s="13" t="n">
        <v>0</v>
      </c>
      <c r="AH470" s="13" t="n">
        <v>0</v>
      </c>
      <c r="AI470" s="13" t="n">
        <v>0</v>
      </c>
      <c r="AJ470" s="13" t="n">
        <v>0</v>
      </c>
      <c r="AK470" s="13" t="n">
        <v>0</v>
      </c>
      <c r="AL470" s="13" t="n">
        <v>0</v>
      </c>
      <c r="AM470" s="13" t="n">
        <v>0</v>
      </c>
      <c r="AN470" s="13" t="n">
        <v>0</v>
      </c>
      <c r="AO470" s="13" t="n">
        <v>0</v>
      </c>
      <c r="AP470" s="13" t="n">
        <v>0</v>
      </c>
      <c r="AQ470" s="13" t="n">
        <v>0</v>
      </c>
      <c r="AR470" s="13" t="n">
        <v>0</v>
      </c>
      <c r="AS470" s="13" t="n">
        <v>0</v>
      </c>
      <c r="AT470" s="13" t="n">
        <v>0</v>
      </c>
    </row>
    <row r="471" customFormat="false" ht="15" hidden="false" customHeight="true" outlineLevel="0" collapsed="false">
      <c r="A471" s="12" t="s">
        <v>1466</v>
      </c>
      <c r="B471" s="12" t="s">
        <v>1467</v>
      </c>
      <c r="C471" s="12" t="n">
        <v>1</v>
      </c>
      <c r="D471" s="12" t="s">
        <v>1468</v>
      </c>
      <c r="E471" s="13" t="n">
        <v>2586.922488</v>
      </c>
      <c r="F471" s="13" t="n">
        <v>2380.008258</v>
      </c>
      <c r="G471" s="13" t="n">
        <v>2380.008447</v>
      </c>
      <c r="H471" s="13" t="n">
        <v>2380.026078</v>
      </c>
      <c r="I471" s="13" t="n">
        <v>2380.021238</v>
      </c>
      <c r="J471" s="13" t="n">
        <v>2380.027345</v>
      </c>
      <c r="K471" s="13" t="n">
        <v>2379.932724</v>
      </c>
      <c r="L471" s="13" t="n">
        <v>2379.955732</v>
      </c>
      <c r="M471" s="13" t="n">
        <v>2379.93003</v>
      </c>
      <c r="N471" s="13" t="n">
        <v>2380.071294</v>
      </c>
      <c r="O471" s="13" t="n">
        <v>2380.024649</v>
      </c>
      <c r="P471" s="13" t="n">
        <v>2380.066444</v>
      </c>
      <c r="Q471" s="13" t="n">
        <v>2380.008366</v>
      </c>
      <c r="R471" s="13" t="n">
        <v>2855.944701</v>
      </c>
      <c r="S471" s="13" t="n">
        <v>2856.048135</v>
      </c>
      <c r="T471" s="13" t="n">
        <v>2855.94624</v>
      </c>
      <c r="U471" s="13" t="n">
        <v>2855.950732</v>
      </c>
      <c r="V471" s="13" t="n">
        <v>2856.026472</v>
      </c>
      <c r="W471" s="13" t="n">
        <v>2856.060928</v>
      </c>
      <c r="X471" s="13" t="n">
        <v>2856.086094</v>
      </c>
      <c r="Y471" s="13" t="n">
        <v>2856.051118</v>
      </c>
      <c r="Z471" s="13" t="n">
        <v>2856.010608</v>
      </c>
      <c r="AA471" s="13" t="n">
        <v>2856.03546</v>
      </c>
      <c r="AB471" s="13" t="n">
        <v>2856.024356</v>
      </c>
      <c r="AC471" s="13" t="n">
        <v>2855.908</v>
      </c>
      <c r="AD471" s="13" t="n">
        <v>0</v>
      </c>
      <c r="AE471" s="13" t="n">
        <v>0</v>
      </c>
      <c r="AF471" s="13" t="n">
        <v>0</v>
      </c>
      <c r="AG471" s="13" t="n">
        <v>0</v>
      </c>
      <c r="AH471" s="13" t="n">
        <v>0</v>
      </c>
      <c r="AI471" s="13" t="n">
        <v>0</v>
      </c>
      <c r="AJ471" s="13" t="n">
        <v>0</v>
      </c>
      <c r="AK471" s="13" t="n">
        <v>0</v>
      </c>
      <c r="AL471" s="13" t="n">
        <v>0</v>
      </c>
      <c r="AM471" s="13" t="n">
        <v>0</v>
      </c>
      <c r="AN471" s="13" t="n">
        <v>0</v>
      </c>
      <c r="AO471" s="13" t="n">
        <v>0</v>
      </c>
      <c r="AP471" s="13" t="n">
        <v>0</v>
      </c>
      <c r="AQ471" s="13" t="n">
        <v>0</v>
      </c>
      <c r="AR471" s="13" t="n">
        <v>0</v>
      </c>
      <c r="AS471" s="13" t="n">
        <v>0</v>
      </c>
      <c r="AT471" s="13" t="n">
        <v>0</v>
      </c>
    </row>
    <row r="472" customFormat="false" ht="15" hidden="false" customHeight="true" outlineLevel="0" collapsed="false">
      <c r="A472" s="12" t="s">
        <v>1469</v>
      </c>
      <c r="B472" s="12" t="s">
        <v>1470</v>
      </c>
      <c r="C472" s="12" t="n">
        <v>1</v>
      </c>
      <c r="D472" s="12" t="s">
        <v>1471</v>
      </c>
      <c r="E472" s="13" t="n">
        <v>0</v>
      </c>
      <c r="F472" s="13" t="n">
        <v>0</v>
      </c>
      <c r="G472" s="13" t="n">
        <v>0</v>
      </c>
      <c r="H472" s="13" t="n">
        <v>0</v>
      </c>
      <c r="I472" s="13" t="n">
        <v>0</v>
      </c>
      <c r="J472" s="13" t="n">
        <v>0</v>
      </c>
      <c r="K472" s="13" t="n">
        <v>0</v>
      </c>
      <c r="L472" s="13" t="n">
        <v>0</v>
      </c>
      <c r="M472" s="13" t="n">
        <v>0</v>
      </c>
      <c r="N472" s="13" t="n">
        <v>0</v>
      </c>
      <c r="O472" s="13" t="n">
        <v>0</v>
      </c>
      <c r="P472" s="13" t="n">
        <v>0</v>
      </c>
      <c r="Q472" s="13" t="n">
        <v>0</v>
      </c>
      <c r="R472" s="13" t="n">
        <v>0</v>
      </c>
      <c r="S472" s="13" t="n">
        <v>0</v>
      </c>
      <c r="T472" s="13" t="n">
        <v>0</v>
      </c>
      <c r="U472" s="13" t="n">
        <v>0</v>
      </c>
      <c r="V472" s="13" t="n">
        <v>0</v>
      </c>
      <c r="W472" s="13" t="n">
        <v>0</v>
      </c>
      <c r="X472" s="13" t="n">
        <v>0</v>
      </c>
      <c r="Y472" s="13" t="n">
        <v>0</v>
      </c>
      <c r="Z472" s="13" t="n">
        <v>0</v>
      </c>
      <c r="AA472" s="13" t="n">
        <v>0</v>
      </c>
      <c r="AB472" s="13" t="n">
        <v>0</v>
      </c>
      <c r="AC472" s="13" t="n">
        <v>0</v>
      </c>
      <c r="AD472" s="13" t="n">
        <v>0</v>
      </c>
      <c r="AE472" s="13" t="n">
        <v>0</v>
      </c>
      <c r="AF472" s="13" t="n">
        <v>0</v>
      </c>
      <c r="AG472" s="13" t="n">
        <v>0</v>
      </c>
      <c r="AH472" s="13" t="n">
        <v>0</v>
      </c>
      <c r="AI472" s="13" t="n">
        <v>0</v>
      </c>
      <c r="AJ472" s="13" t="n">
        <v>0</v>
      </c>
      <c r="AK472" s="13" t="n">
        <v>0</v>
      </c>
      <c r="AL472" s="13" t="n">
        <v>0</v>
      </c>
      <c r="AM472" s="13" t="n">
        <v>2500.925522</v>
      </c>
      <c r="AN472" s="13" t="n">
        <v>3033.962543</v>
      </c>
      <c r="AO472" s="13" t="n">
        <v>3074.962072</v>
      </c>
      <c r="AP472" s="13" t="n">
        <v>3033.94992</v>
      </c>
      <c r="AQ472" s="13" t="n">
        <v>3074.981686</v>
      </c>
      <c r="AR472" s="13" t="n">
        <v>2746.995734</v>
      </c>
      <c r="AS472" s="13" t="n">
        <v>3115.919097</v>
      </c>
      <c r="AT472" s="13" t="n">
        <v>3115.984864</v>
      </c>
    </row>
    <row r="473" customFormat="false" ht="15" hidden="false" customHeight="true" outlineLevel="0" collapsed="false">
      <c r="A473" s="12" t="s">
        <v>1472</v>
      </c>
      <c r="B473" s="12" t="s">
        <v>1473</v>
      </c>
      <c r="C473" s="12" t="n">
        <v>1</v>
      </c>
      <c r="D473" s="12" t="s">
        <v>1474</v>
      </c>
      <c r="E473" s="13" t="n">
        <v>0</v>
      </c>
      <c r="F473" s="13" t="n">
        <v>0</v>
      </c>
      <c r="G473" s="13" t="n">
        <v>0</v>
      </c>
      <c r="H473" s="13" t="n">
        <v>0</v>
      </c>
      <c r="I473" s="13" t="n">
        <v>0</v>
      </c>
      <c r="J473" s="13" t="n">
        <v>0</v>
      </c>
      <c r="K473" s="13" t="n">
        <v>0</v>
      </c>
      <c r="L473" s="13" t="n">
        <v>0</v>
      </c>
      <c r="M473" s="13" t="n">
        <v>0</v>
      </c>
      <c r="N473" s="13" t="n">
        <v>0</v>
      </c>
      <c r="O473" s="13" t="n">
        <v>0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0</v>
      </c>
      <c r="U473" s="13" t="n">
        <v>0</v>
      </c>
      <c r="V473" s="13" t="n">
        <v>0</v>
      </c>
      <c r="W473" s="13" t="n">
        <v>0</v>
      </c>
      <c r="X473" s="13" t="n">
        <v>0</v>
      </c>
      <c r="Y473" s="13" t="n">
        <v>0</v>
      </c>
      <c r="Z473" s="13" t="n">
        <v>0</v>
      </c>
      <c r="AA473" s="13" t="n">
        <v>0</v>
      </c>
      <c r="AB473" s="13" t="n">
        <v>0</v>
      </c>
      <c r="AC473" s="13" t="n">
        <v>0</v>
      </c>
      <c r="AD473" s="13" t="n">
        <v>0</v>
      </c>
      <c r="AE473" s="13" t="n">
        <v>0</v>
      </c>
      <c r="AF473" s="13" t="n">
        <v>0</v>
      </c>
      <c r="AG473" s="13" t="n">
        <v>0</v>
      </c>
      <c r="AH473" s="13" t="n">
        <v>0</v>
      </c>
      <c r="AI473" s="13" t="n">
        <v>0</v>
      </c>
      <c r="AJ473" s="13" t="n">
        <v>0</v>
      </c>
      <c r="AK473" s="13" t="n">
        <v>0</v>
      </c>
      <c r="AL473" s="13" t="n">
        <v>0</v>
      </c>
      <c r="AM473" s="13" t="n">
        <v>0</v>
      </c>
      <c r="AN473" s="13" t="n">
        <v>0</v>
      </c>
      <c r="AO473" s="13" t="n">
        <v>0</v>
      </c>
      <c r="AP473" s="13" t="n">
        <v>0</v>
      </c>
      <c r="AQ473" s="13" t="n">
        <v>0</v>
      </c>
      <c r="AR473" s="13" t="n">
        <v>0</v>
      </c>
      <c r="AS473" s="13" t="n">
        <v>4349.92761</v>
      </c>
      <c r="AT473" s="13" t="n">
        <v>4149.979392</v>
      </c>
    </row>
    <row r="474" customFormat="false" ht="15" hidden="false" customHeight="true" outlineLevel="0" collapsed="false">
      <c r="A474" s="12" t="s">
        <v>1475</v>
      </c>
      <c r="B474" s="12" t="s">
        <v>1476</v>
      </c>
      <c r="C474" s="12" t="n">
        <v>1</v>
      </c>
      <c r="D474" s="12" t="s">
        <v>1477</v>
      </c>
      <c r="E474" s="13" t="n">
        <v>2339.949708</v>
      </c>
      <c r="F474" s="13" t="n">
        <v>2340.074616</v>
      </c>
      <c r="G474" s="13" t="n">
        <v>2340.006784</v>
      </c>
      <c r="H474" s="13" t="n">
        <v>2339.980164</v>
      </c>
      <c r="I474" s="13" t="n">
        <v>2340.07732</v>
      </c>
      <c r="J474" s="13" t="n">
        <v>2339.998135</v>
      </c>
      <c r="K474" s="13" t="n">
        <v>0</v>
      </c>
      <c r="L474" s="13" t="n">
        <v>0</v>
      </c>
      <c r="M474" s="13" t="n">
        <v>0</v>
      </c>
      <c r="N474" s="13" t="n">
        <v>0</v>
      </c>
      <c r="O474" s="13" t="n">
        <v>0</v>
      </c>
      <c r="P474" s="13" t="n">
        <v>0</v>
      </c>
      <c r="Q474" s="13" t="n">
        <v>0</v>
      </c>
      <c r="R474" s="13" t="n">
        <v>0</v>
      </c>
      <c r="S474" s="13" t="n">
        <v>0</v>
      </c>
      <c r="T474" s="13" t="n">
        <v>0</v>
      </c>
      <c r="U474" s="13" t="n">
        <v>0</v>
      </c>
      <c r="V474" s="13" t="n">
        <v>0</v>
      </c>
      <c r="W474" s="13" t="n">
        <v>0</v>
      </c>
      <c r="X474" s="13" t="n">
        <v>0</v>
      </c>
      <c r="Y474" s="13" t="n">
        <v>0</v>
      </c>
      <c r="Z474" s="13" t="n">
        <v>0</v>
      </c>
      <c r="AA474" s="13" t="n">
        <v>0</v>
      </c>
      <c r="AB474" s="13" t="n">
        <v>0</v>
      </c>
      <c r="AC474" s="13" t="n">
        <v>0</v>
      </c>
      <c r="AD474" s="13" t="n">
        <v>0</v>
      </c>
      <c r="AE474" s="13" t="n">
        <v>0</v>
      </c>
      <c r="AF474" s="13" t="n">
        <v>0</v>
      </c>
      <c r="AG474" s="13" t="n">
        <v>0</v>
      </c>
      <c r="AH474" s="13" t="n">
        <v>0</v>
      </c>
      <c r="AI474" s="13" t="n">
        <v>0</v>
      </c>
      <c r="AJ474" s="13" t="n">
        <v>0</v>
      </c>
      <c r="AK474" s="13" t="n">
        <v>1462.4634</v>
      </c>
      <c r="AL474" s="13" t="n">
        <v>1462.581321</v>
      </c>
      <c r="AM474" s="13" t="n">
        <v>1462.511309</v>
      </c>
      <c r="AN474" s="13" t="n">
        <v>1462.581789</v>
      </c>
      <c r="AO474" s="13" t="n">
        <v>1462.486166</v>
      </c>
      <c r="AP474" s="13" t="n">
        <v>1462.446</v>
      </c>
      <c r="AQ474" s="13" t="n">
        <v>1462.526621</v>
      </c>
      <c r="AR474" s="13" t="n">
        <v>1462.526562</v>
      </c>
      <c r="AS474" s="13" t="n">
        <v>1462.496553</v>
      </c>
      <c r="AT474" s="13" t="n">
        <v>1462.433696</v>
      </c>
    </row>
    <row r="475" customFormat="false" ht="15" hidden="false" customHeight="true" outlineLevel="0" collapsed="false">
      <c r="A475" s="12" t="s">
        <v>1478</v>
      </c>
      <c r="B475" s="12" t="s">
        <v>1479</v>
      </c>
      <c r="C475" s="12" t="n">
        <v>1</v>
      </c>
      <c r="D475" s="12" t="s">
        <v>1480</v>
      </c>
      <c r="E475" s="13" t="n">
        <v>0</v>
      </c>
      <c r="F475" s="13" t="n">
        <v>0</v>
      </c>
      <c r="G475" s="13" t="n">
        <v>0</v>
      </c>
      <c r="H475" s="13" t="n">
        <v>0</v>
      </c>
      <c r="I475" s="13" t="n">
        <v>0</v>
      </c>
      <c r="J475" s="13" t="n">
        <v>0</v>
      </c>
      <c r="K475" s="13" t="n">
        <v>0</v>
      </c>
      <c r="L475" s="13" t="n">
        <v>0</v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0</v>
      </c>
      <c r="V475" s="13" t="n">
        <v>0</v>
      </c>
      <c r="W475" s="13" t="n">
        <v>0</v>
      </c>
      <c r="X475" s="13" t="n">
        <v>0</v>
      </c>
      <c r="Y475" s="13" t="n">
        <v>0</v>
      </c>
      <c r="Z475" s="13" t="n">
        <v>0</v>
      </c>
      <c r="AA475" s="13" t="n">
        <v>0</v>
      </c>
      <c r="AB475" s="13" t="n">
        <v>855.95742</v>
      </c>
      <c r="AC475" s="13" t="n">
        <v>855.9452</v>
      </c>
      <c r="AD475" s="13" t="n">
        <v>856.101</v>
      </c>
      <c r="AE475" s="13" t="n">
        <v>856.07928</v>
      </c>
      <c r="AF475" s="13" t="n">
        <v>856.0376</v>
      </c>
      <c r="AG475" s="13" t="n">
        <v>962.9702</v>
      </c>
      <c r="AH475" s="13" t="n">
        <v>962.94615</v>
      </c>
      <c r="AI475" s="13" t="n">
        <v>962.97031</v>
      </c>
      <c r="AJ475" s="13" t="n">
        <v>963.07713</v>
      </c>
      <c r="AK475" s="13" t="n">
        <v>962.92905</v>
      </c>
      <c r="AL475" s="13" t="n">
        <v>963.082449</v>
      </c>
      <c r="AM475" s="13" t="n">
        <v>856.081811</v>
      </c>
      <c r="AN475" s="13" t="n">
        <v>856.00508</v>
      </c>
      <c r="AO475" s="13" t="n">
        <v>776.67101</v>
      </c>
      <c r="AP475" s="13" t="n">
        <v>776.69256</v>
      </c>
      <c r="AQ475" s="13" t="n">
        <v>776.622097</v>
      </c>
      <c r="AR475" s="13" t="n">
        <v>776.610902</v>
      </c>
      <c r="AS475" s="13" t="n">
        <v>887.641416</v>
      </c>
      <c r="AT475" s="13" t="n">
        <v>887.681152</v>
      </c>
    </row>
    <row r="476" customFormat="false" ht="15" hidden="false" customHeight="true" outlineLevel="0" collapsed="false">
      <c r="A476" s="12" t="s">
        <v>1481</v>
      </c>
      <c r="B476" s="12" t="s">
        <v>1482</v>
      </c>
      <c r="C476" s="12" t="n">
        <v>1</v>
      </c>
      <c r="D476" s="12" t="s">
        <v>1483</v>
      </c>
      <c r="E476" s="13" t="n">
        <v>0</v>
      </c>
      <c r="F476" s="13" t="n">
        <v>0</v>
      </c>
      <c r="G476" s="13" t="n">
        <v>0</v>
      </c>
      <c r="H476" s="13" t="n">
        <v>0</v>
      </c>
      <c r="I476" s="13" t="n">
        <v>0</v>
      </c>
      <c r="J476" s="13" t="n">
        <v>0</v>
      </c>
      <c r="K476" s="13" t="n">
        <v>0</v>
      </c>
      <c r="L476" s="13" t="n">
        <v>0</v>
      </c>
      <c r="M476" s="13" t="n">
        <v>0</v>
      </c>
      <c r="N476" s="13" t="n">
        <v>0</v>
      </c>
      <c r="O476" s="13" t="n">
        <v>0</v>
      </c>
      <c r="P476" s="13" t="n">
        <v>0</v>
      </c>
      <c r="Q476" s="13" t="n">
        <v>0</v>
      </c>
      <c r="R476" s="13" t="n">
        <v>0</v>
      </c>
      <c r="S476" s="13" t="n">
        <v>0</v>
      </c>
      <c r="T476" s="13" t="n">
        <v>0</v>
      </c>
      <c r="U476" s="13" t="n">
        <v>0</v>
      </c>
      <c r="V476" s="13" t="n">
        <v>0</v>
      </c>
      <c r="W476" s="13" t="n">
        <v>0</v>
      </c>
      <c r="X476" s="13" t="n">
        <v>0</v>
      </c>
      <c r="Y476" s="13" t="n">
        <v>0</v>
      </c>
      <c r="Z476" s="13" t="n">
        <v>0</v>
      </c>
      <c r="AA476" s="13" t="n">
        <v>0</v>
      </c>
      <c r="AB476" s="13" t="n">
        <v>0</v>
      </c>
      <c r="AC476" s="13" t="n">
        <v>0</v>
      </c>
      <c r="AD476" s="13" t="n">
        <v>0</v>
      </c>
      <c r="AE476" s="13" t="n">
        <v>0</v>
      </c>
      <c r="AF476" s="13" t="n">
        <v>0</v>
      </c>
      <c r="AG476" s="13" t="n">
        <v>0</v>
      </c>
      <c r="AH476" s="13" t="n">
        <v>0</v>
      </c>
      <c r="AI476" s="13" t="n">
        <v>0</v>
      </c>
      <c r="AJ476" s="13" t="n">
        <v>0</v>
      </c>
      <c r="AK476" s="13" t="n">
        <v>0</v>
      </c>
      <c r="AL476" s="13" t="n">
        <v>0</v>
      </c>
      <c r="AM476" s="13" t="n">
        <v>0</v>
      </c>
      <c r="AN476" s="13" t="n">
        <v>0</v>
      </c>
      <c r="AO476" s="13" t="n">
        <v>0</v>
      </c>
      <c r="AP476" s="13" t="n">
        <v>0</v>
      </c>
      <c r="AQ476" s="13" t="n">
        <v>4454.939019</v>
      </c>
      <c r="AR476" s="13" t="n">
        <v>4551.076718</v>
      </c>
      <c r="AS476" s="13" t="n">
        <v>4551.066324</v>
      </c>
      <c r="AT476" s="13" t="n">
        <v>4407.077896</v>
      </c>
    </row>
    <row r="477" customFormat="false" ht="15" hidden="false" customHeight="true" outlineLevel="0" collapsed="false">
      <c r="A477" s="12" t="s">
        <v>1484</v>
      </c>
      <c r="B477" s="12" t="s">
        <v>1485</v>
      </c>
      <c r="C477" s="12" t="n">
        <v>1</v>
      </c>
      <c r="D477" s="12" t="s">
        <v>1486</v>
      </c>
      <c r="E477" s="13" t="n">
        <v>5729.768496</v>
      </c>
      <c r="F477" s="13" t="n">
        <v>5681.618724</v>
      </c>
      <c r="G477" s="13" t="n">
        <v>5489.096978</v>
      </c>
      <c r="H477" s="13" t="n">
        <v>5296.523094</v>
      </c>
      <c r="I477" s="13" t="n">
        <v>5296.457481</v>
      </c>
      <c r="J477" s="13" t="n">
        <v>5344.583795</v>
      </c>
      <c r="K477" s="13" t="n">
        <v>5248.334916</v>
      </c>
      <c r="L477" s="13" t="n">
        <v>5103.876358</v>
      </c>
      <c r="M477" s="13" t="n">
        <v>4959.39204</v>
      </c>
      <c r="N477" s="13" t="n">
        <v>4911.370074</v>
      </c>
      <c r="O477" s="13" t="n">
        <v>4766.932458</v>
      </c>
      <c r="P477" s="13" t="n">
        <v>4766.900208</v>
      </c>
      <c r="Q477" s="13" t="n">
        <v>4853.589417</v>
      </c>
      <c r="R477" s="13" t="n">
        <v>4904.012784</v>
      </c>
      <c r="S477" s="13" t="n">
        <v>4803.03039</v>
      </c>
      <c r="T477" s="13" t="n">
        <v>4802.98112</v>
      </c>
      <c r="U477" s="13" t="n">
        <v>4701.874243</v>
      </c>
      <c r="V477" s="13" t="n">
        <v>4499.595828</v>
      </c>
      <c r="W477" s="13" t="n">
        <v>4297.404176</v>
      </c>
      <c r="X477" s="13" t="n">
        <v>4347.881948</v>
      </c>
      <c r="Y477" s="13" t="n">
        <v>4398.755782</v>
      </c>
      <c r="Z477" s="13" t="n">
        <v>4145.996448</v>
      </c>
      <c r="AA477" s="13" t="n">
        <v>4044.85971</v>
      </c>
      <c r="AB477" s="13" t="n">
        <v>4044.854106</v>
      </c>
      <c r="AC477" s="13" t="n">
        <v>4109.7364</v>
      </c>
      <c r="AD477" s="13" t="n">
        <v>4320.5385</v>
      </c>
      <c r="AE477" s="13" t="n">
        <v>4584.12696</v>
      </c>
      <c r="AF477" s="13" t="n">
        <v>4584.0696</v>
      </c>
      <c r="AG477" s="13" t="n">
        <v>4584.04692</v>
      </c>
      <c r="AH477" s="13" t="n">
        <v>4742.0235</v>
      </c>
      <c r="AI477" s="13" t="n">
        <v>4636.65599</v>
      </c>
      <c r="AJ477" s="13" t="n">
        <v>4689.38601</v>
      </c>
      <c r="AK477" s="13" t="n">
        <v>4689.3489</v>
      </c>
      <c r="AL477" s="13" t="n">
        <v>4636.756675</v>
      </c>
      <c r="AM477" s="13" t="n">
        <v>4531.345399</v>
      </c>
      <c r="AN477" s="13" t="n">
        <v>4373.358727</v>
      </c>
      <c r="AO477" s="13" t="n">
        <v>4534.345002</v>
      </c>
      <c r="AP477" s="13" t="n">
        <v>4534.35912</v>
      </c>
      <c r="AQ477" s="13" t="n">
        <v>4752.804104</v>
      </c>
      <c r="AR477" s="13" t="n">
        <v>4698.259132</v>
      </c>
      <c r="AS477" s="13" t="n">
        <v>4807.422981</v>
      </c>
      <c r="AT477" s="13" t="n">
        <v>4807.514504</v>
      </c>
    </row>
    <row r="478" customFormat="false" ht="15" hidden="false" customHeight="true" outlineLevel="0" collapsed="false">
      <c r="A478" s="12" t="s">
        <v>1487</v>
      </c>
      <c r="B478" s="12" t="s">
        <v>1488</v>
      </c>
      <c r="C478" s="12" t="n">
        <v>1</v>
      </c>
      <c r="D478" s="12" t="s">
        <v>1489</v>
      </c>
      <c r="E478" s="13" t="n">
        <v>0</v>
      </c>
      <c r="F478" s="13" t="n">
        <v>0</v>
      </c>
      <c r="G478" s="13" t="n">
        <v>0</v>
      </c>
      <c r="H478" s="13" t="n">
        <v>0</v>
      </c>
      <c r="I478" s="13" t="n">
        <v>0</v>
      </c>
      <c r="J478" s="13" t="n">
        <v>0</v>
      </c>
      <c r="K478" s="13" t="n">
        <v>0</v>
      </c>
      <c r="L478" s="13" t="n">
        <v>0</v>
      </c>
      <c r="M478" s="13" t="n">
        <v>4409.974035</v>
      </c>
      <c r="N478" s="13" t="n">
        <v>4920.042618</v>
      </c>
      <c r="O478" s="13" t="n">
        <v>4500.037929</v>
      </c>
      <c r="P478" s="13" t="n">
        <v>4260.02794</v>
      </c>
      <c r="Q478" s="13" t="n">
        <v>4315.503555</v>
      </c>
      <c r="R478" s="13" t="n">
        <v>4189.471044</v>
      </c>
      <c r="S478" s="13" t="n">
        <v>3622.534905</v>
      </c>
      <c r="T478" s="13" t="n">
        <v>3212.93952</v>
      </c>
      <c r="U478" s="13" t="n">
        <v>3685.573561</v>
      </c>
      <c r="V478" s="13" t="n">
        <v>3213.07584</v>
      </c>
      <c r="W478" s="13" t="n">
        <v>2992.56384</v>
      </c>
      <c r="X478" s="13" t="n">
        <v>2740.47836</v>
      </c>
      <c r="Y478" s="13" t="n">
        <v>2267.98848</v>
      </c>
      <c r="Z478" s="13" t="n">
        <v>2866.434736</v>
      </c>
      <c r="AA478" s="13" t="n">
        <v>2866.44405</v>
      </c>
      <c r="AB478" s="13" t="n">
        <v>2866.546764</v>
      </c>
      <c r="AC478" s="13" t="n">
        <v>2987.4328</v>
      </c>
      <c r="AD478" s="13" t="n">
        <v>3217.2563</v>
      </c>
      <c r="AE478" s="13" t="n">
        <v>3217.33944</v>
      </c>
      <c r="AF478" s="13" t="n">
        <v>3250.0842</v>
      </c>
      <c r="AG478" s="13" t="n">
        <v>1116.19632</v>
      </c>
      <c r="AH478" s="13" t="n">
        <v>1772.73495</v>
      </c>
      <c r="AI478" s="13" t="n">
        <v>1740.03829</v>
      </c>
      <c r="AJ478" s="13" t="n">
        <v>0</v>
      </c>
      <c r="AK478" s="13" t="n">
        <v>0</v>
      </c>
      <c r="AL478" s="13" t="n">
        <v>0</v>
      </c>
      <c r="AM478" s="13" t="n">
        <v>0</v>
      </c>
      <c r="AN478" s="13" t="n">
        <v>0</v>
      </c>
      <c r="AO478" s="13" t="n">
        <v>0</v>
      </c>
      <c r="AP478" s="13" t="n">
        <v>0</v>
      </c>
      <c r="AQ478" s="13" t="n">
        <v>0</v>
      </c>
      <c r="AR478" s="13" t="n">
        <v>0</v>
      </c>
      <c r="AS478" s="13" t="n">
        <v>0</v>
      </c>
      <c r="AT478" s="13" t="n">
        <v>0</v>
      </c>
    </row>
    <row r="479" customFormat="false" ht="15" hidden="false" customHeight="true" outlineLevel="0" collapsed="false">
      <c r="A479" s="12" t="s">
        <v>1490</v>
      </c>
      <c r="B479" s="12" t="s">
        <v>1491</v>
      </c>
      <c r="C479" s="12" t="n">
        <v>1</v>
      </c>
      <c r="D479" s="12" t="s">
        <v>1492</v>
      </c>
      <c r="E479" s="13" t="n">
        <v>0</v>
      </c>
      <c r="F479" s="13" t="n">
        <v>0</v>
      </c>
      <c r="G479" s="13" t="n">
        <v>0</v>
      </c>
      <c r="H479" s="13" t="n">
        <v>0</v>
      </c>
      <c r="I479" s="13" t="n">
        <v>0</v>
      </c>
      <c r="J479" s="13" t="n">
        <v>0</v>
      </c>
      <c r="K479" s="13" t="n">
        <v>0</v>
      </c>
      <c r="L479" s="13" t="n">
        <v>0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0</v>
      </c>
      <c r="X479" s="13" t="n">
        <v>0</v>
      </c>
      <c r="Y479" s="13" t="n">
        <v>0</v>
      </c>
      <c r="Z479" s="13" t="n">
        <v>0</v>
      </c>
      <c r="AA479" s="13" t="n">
        <v>0</v>
      </c>
      <c r="AB479" s="13" t="n">
        <v>0</v>
      </c>
      <c r="AC479" s="13" t="n">
        <v>0</v>
      </c>
      <c r="AD479" s="13" t="n">
        <v>0</v>
      </c>
      <c r="AE479" s="13" t="n">
        <v>300.0564</v>
      </c>
      <c r="AF479" s="13" t="n">
        <v>350.0904</v>
      </c>
      <c r="AG479" s="13" t="n">
        <v>300.0839</v>
      </c>
      <c r="AH479" s="13" t="n">
        <v>300.08265</v>
      </c>
      <c r="AI479" s="13" t="n">
        <v>300.00012</v>
      </c>
      <c r="AJ479" s="13" t="n">
        <v>300.0879</v>
      </c>
      <c r="AK479" s="13" t="n">
        <v>299.94075</v>
      </c>
      <c r="AL479" s="13" t="n">
        <v>300.030849</v>
      </c>
      <c r="AM479" s="13" t="n">
        <v>299.912955</v>
      </c>
      <c r="AN479" s="13" t="n">
        <v>299.961444</v>
      </c>
      <c r="AO479" s="13" t="n">
        <v>311.013208</v>
      </c>
      <c r="AP479" s="13" t="n">
        <v>311.12568</v>
      </c>
      <c r="AQ479" s="13" t="n">
        <v>311.083414</v>
      </c>
      <c r="AR479" s="13" t="n">
        <v>311.030298</v>
      </c>
      <c r="AS479" s="13" t="n">
        <v>0</v>
      </c>
      <c r="AT479" s="13" t="n">
        <v>0</v>
      </c>
    </row>
    <row r="480" customFormat="false" ht="15" hidden="false" customHeight="true" outlineLevel="0" collapsed="false">
      <c r="A480" s="12" t="s">
        <v>1493</v>
      </c>
      <c r="B480" s="12" t="s">
        <v>1494</v>
      </c>
      <c r="C480" s="12" t="n">
        <v>1</v>
      </c>
      <c r="D480" s="12" t="s">
        <v>1495</v>
      </c>
      <c r="E480" s="13" t="n">
        <v>0</v>
      </c>
      <c r="F480" s="13" t="n">
        <v>0</v>
      </c>
      <c r="G480" s="13" t="n">
        <v>0</v>
      </c>
      <c r="H480" s="13" t="n">
        <v>0</v>
      </c>
      <c r="I480" s="13" t="n">
        <v>0</v>
      </c>
      <c r="J480" s="13" t="n">
        <v>0</v>
      </c>
      <c r="K480" s="13" t="n">
        <v>0</v>
      </c>
      <c r="L480" s="13" t="n">
        <v>0</v>
      </c>
      <c r="M480" s="13" t="n">
        <v>0</v>
      </c>
      <c r="N480" s="13" t="n">
        <v>0</v>
      </c>
      <c r="O480" s="13" t="n">
        <v>0</v>
      </c>
      <c r="P480" s="13" t="n">
        <v>0</v>
      </c>
      <c r="Q480" s="13" t="n">
        <v>0</v>
      </c>
      <c r="R480" s="13" t="n">
        <v>0</v>
      </c>
      <c r="S480" s="13" t="n">
        <v>0</v>
      </c>
      <c r="T480" s="13" t="n">
        <v>0</v>
      </c>
      <c r="U480" s="13" t="n">
        <v>0</v>
      </c>
      <c r="V480" s="13" t="n">
        <v>500.016504</v>
      </c>
      <c r="W480" s="13" t="n">
        <v>500.073168</v>
      </c>
      <c r="X480" s="13" t="n">
        <v>499.909258</v>
      </c>
      <c r="Y480" s="13" t="n">
        <v>500.05996</v>
      </c>
      <c r="Z480" s="13" t="n">
        <v>499.957216</v>
      </c>
      <c r="AA480" s="13" t="n">
        <v>500.0205</v>
      </c>
      <c r="AB480" s="13" t="n">
        <v>500.016734</v>
      </c>
      <c r="AC480" s="13" t="n">
        <v>521.136</v>
      </c>
      <c r="AD480" s="13" t="n">
        <v>521.0514</v>
      </c>
      <c r="AE480" s="13" t="n">
        <v>521.11836</v>
      </c>
      <c r="AF480" s="13" t="n">
        <v>521.0238</v>
      </c>
      <c r="AG480" s="13" t="n">
        <v>0</v>
      </c>
      <c r="AH480" s="13" t="n">
        <v>0</v>
      </c>
      <c r="AI480" s="13" t="n">
        <v>0</v>
      </c>
      <c r="AJ480" s="13" t="n">
        <v>0</v>
      </c>
      <c r="AK480" s="13" t="n">
        <v>0</v>
      </c>
      <c r="AL480" s="13" t="n">
        <v>0</v>
      </c>
      <c r="AM480" s="13" t="n">
        <v>0</v>
      </c>
      <c r="AN480" s="13" t="n">
        <v>0</v>
      </c>
      <c r="AO480" s="13" t="n">
        <v>0</v>
      </c>
      <c r="AP480" s="13" t="n">
        <v>0</v>
      </c>
      <c r="AQ480" s="13" t="n">
        <v>0</v>
      </c>
      <c r="AR480" s="13" t="n">
        <v>0</v>
      </c>
      <c r="AS480" s="13" t="n">
        <v>0</v>
      </c>
      <c r="AT480" s="13" t="n">
        <v>0</v>
      </c>
    </row>
    <row r="481" customFormat="false" ht="15" hidden="false" customHeight="true" outlineLevel="0" collapsed="false">
      <c r="A481" s="12" t="s">
        <v>1496</v>
      </c>
      <c r="B481" s="12" t="s">
        <v>1497</v>
      </c>
      <c r="C481" s="12" t="n">
        <v>1</v>
      </c>
      <c r="D481" s="12" t="s">
        <v>1498</v>
      </c>
      <c r="E481" s="13" t="n">
        <v>0</v>
      </c>
      <c r="F481" s="13" t="n">
        <v>0</v>
      </c>
      <c r="G481" s="13" t="n">
        <v>0</v>
      </c>
      <c r="H481" s="13" t="n">
        <v>0</v>
      </c>
      <c r="I481" s="13" t="n">
        <v>0</v>
      </c>
      <c r="J481" s="13" t="n">
        <v>0</v>
      </c>
      <c r="K481" s="13" t="n">
        <v>0</v>
      </c>
      <c r="L481" s="13" t="n">
        <v>0</v>
      </c>
      <c r="M481" s="13" t="n">
        <v>0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  <c r="V481" s="13" t="n">
        <v>0</v>
      </c>
      <c r="W481" s="13" t="n">
        <v>0</v>
      </c>
      <c r="X481" s="13" t="n">
        <v>0</v>
      </c>
      <c r="Y481" s="13" t="n">
        <v>0</v>
      </c>
      <c r="Z481" s="13" t="n">
        <v>0</v>
      </c>
      <c r="AA481" s="13" t="n">
        <v>0</v>
      </c>
      <c r="AB481" s="13" t="n">
        <v>0</v>
      </c>
      <c r="AC481" s="13" t="n">
        <v>0</v>
      </c>
      <c r="AD481" s="13" t="n">
        <v>0</v>
      </c>
      <c r="AE481" s="13" t="n">
        <v>0</v>
      </c>
      <c r="AF481" s="13" t="n">
        <v>0</v>
      </c>
      <c r="AG481" s="13" t="n">
        <v>0</v>
      </c>
      <c r="AH481" s="13" t="n">
        <v>0</v>
      </c>
      <c r="AI481" s="13" t="n">
        <v>0</v>
      </c>
      <c r="AJ481" s="13" t="n">
        <v>0</v>
      </c>
      <c r="AK481" s="13" t="n">
        <v>0</v>
      </c>
      <c r="AL481" s="13" t="n">
        <v>634.687726</v>
      </c>
      <c r="AM481" s="13" t="n">
        <v>0</v>
      </c>
      <c r="AN481" s="13" t="n">
        <v>0</v>
      </c>
      <c r="AO481" s="13" t="n">
        <v>0</v>
      </c>
      <c r="AP481" s="13" t="n">
        <v>0</v>
      </c>
      <c r="AQ481" s="13" t="n">
        <v>0</v>
      </c>
      <c r="AR481" s="13" t="n">
        <v>0</v>
      </c>
      <c r="AS481" s="13" t="n">
        <v>0</v>
      </c>
      <c r="AT481" s="13" t="n">
        <v>0</v>
      </c>
    </row>
    <row r="482" customFormat="false" ht="15" hidden="false" customHeight="true" outlineLevel="0" collapsed="false">
      <c r="A482" s="12" t="s">
        <v>1499</v>
      </c>
      <c r="B482" s="12" t="s">
        <v>1500</v>
      </c>
      <c r="C482" s="12" t="n">
        <v>1</v>
      </c>
      <c r="D482" s="12" t="s">
        <v>1501</v>
      </c>
      <c r="E482" s="13" t="n">
        <v>0</v>
      </c>
      <c r="F482" s="13" t="n">
        <v>0</v>
      </c>
      <c r="G482" s="13" t="n">
        <v>0</v>
      </c>
      <c r="H482" s="13" t="n">
        <v>0</v>
      </c>
      <c r="I482" s="13" t="n">
        <v>65044.428631</v>
      </c>
      <c r="J482" s="13" t="n">
        <v>0</v>
      </c>
      <c r="K482" s="13" t="n">
        <v>0</v>
      </c>
      <c r="L482" s="13" t="n">
        <v>0</v>
      </c>
      <c r="M482" s="13" t="n">
        <v>0</v>
      </c>
      <c r="N482" s="13" t="n">
        <v>0</v>
      </c>
      <c r="O482" s="13" t="n">
        <v>0</v>
      </c>
      <c r="P482" s="13" t="n">
        <v>0</v>
      </c>
      <c r="Q482" s="13" t="n">
        <v>0</v>
      </c>
      <c r="R482" s="13" t="n">
        <v>0</v>
      </c>
      <c r="S482" s="13" t="n">
        <v>0</v>
      </c>
      <c r="T482" s="13" t="n">
        <v>0</v>
      </c>
      <c r="U482" s="13" t="n">
        <v>0</v>
      </c>
      <c r="V482" s="13" t="n">
        <v>0</v>
      </c>
      <c r="W482" s="13" t="n">
        <v>0</v>
      </c>
      <c r="X482" s="13" t="n">
        <v>0</v>
      </c>
      <c r="Y482" s="13" t="n">
        <v>0</v>
      </c>
      <c r="Z482" s="13" t="n">
        <v>0</v>
      </c>
      <c r="AA482" s="13" t="n">
        <v>0</v>
      </c>
      <c r="AB482" s="13" t="n">
        <v>0</v>
      </c>
      <c r="AC482" s="13" t="n">
        <v>0</v>
      </c>
      <c r="AD482" s="13" t="n">
        <v>0</v>
      </c>
      <c r="AE482" s="13" t="n">
        <v>0</v>
      </c>
      <c r="AF482" s="13" t="n">
        <v>0</v>
      </c>
      <c r="AG482" s="13" t="n">
        <v>0</v>
      </c>
      <c r="AH482" s="13" t="n">
        <v>0</v>
      </c>
      <c r="AI482" s="13" t="n">
        <v>0</v>
      </c>
      <c r="AJ482" s="13" t="n">
        <v>0</v>
      </c>
      <c r="AK482" s="13" t="n">
        <v>0</v>
      </c>
      <c r="AL482" s="13" t="n">
        <v>0</v>
      </c>
      <c r="AM482" s="13" t="n">
        <v>0</v>
      </c>
      <c r="AN482" s="13" t="n">
        <v>0</v>
      </c>
      <c r="AO482" s="13" t="n">
        <v>0</v>
      </c>
      <c r="AP482" s="13" t="n">
        <v>0</v>
      </c>
      <c r="AQ482" s="13" t="n">
        <v>0</v>
      </c>
      <c r="AR482" s="13" t="n">
        <v>0</v>
      </c>
      <c r="AS482" s="13" t="n">
        <v>0</v>
      </c>
      <c r="AT482" s="13" t="n">
        <v>0</v>
      </c>
    </row>
    <row r="483" customFormat="false" ht="15" hidden="false" customHeight="true" outlineLevel="0" collapsed="false">
      <c r="A483" s="12" t="s">
        <v>1502</v>
      </c>
      <c r="B483" s="12" t="s">
        <v>1503</v>
      </c>
      <c r="C483" s="12" t="n">
        <v>1</v>
      </c>
      <c r="D483" s="12" t="s">
        <v>1504</v>
      </c>
      <c r="E483" s="13" t="n">
        <v>0</v>
      </c>
      <c r="F483" s="13" t="n">
        <v>0</v>
      </c>
      <c r="G483" s="13" t="n">
        <v>0</v>
      </c>
      <c r="H483" s="13" t="n">
        <v>0</v>
      </c>
      <c r="I483" s="13" t="n">
        <v>0</v>
      </c>
      <c r="J483" s="13" t="n">
        <v>0</v>
      </c>
      <c r="K483" s="13" t="n">
        <v>0</v>
      </c>
      <c r="L483" s="13" t="n">
        <v>0</v>
      </c>
      <c r="M483" s="13" t="n">
        <v>0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0</v>
      </c>
      <c r="X483" s="13" t="n">
        <v>0</v>
      </c>
      <c r="Y483" s="13" t="n">
        <v>0</v>
      </c>
      <c r="Z483" s="13" t="n">
        <v>0</v>
      </c>
      <c r="AA483" s="13" t="n">
        <v>0</v>
      </c>
      <c r="AB483" s="13" t="n">
        <v>0</v>
      </c>
      <c r="AC483" s="13" t="n">
        <v>0</v>
      </c>
      <c r="AD483" s="13" t="n">
        <v>0</v>
      </c>
      <c r="AE483" s="13" t="n">
        <v>0</v>
      </c>
      <c r="AF483" s="13" t="n">
        <v>0</v>
      </c>
      <c r="AG483" s="13" t="n">
        <v>0</v>
      </c>
      <c r="AH483" s="13" t="n">
        <v>0</v>
      </c>
      <c r="AI483" s="13" t="n">
        <v>0</v>
      </c>
      <c r="AJ483" s="13" t="n">
        <v>0</v>
      </c>
      <c r="AK483" s="13" t="n">
        <v>0</v>
      </c>
      <c r="AL483" s="13" t="n">
        <v>0</v>
      </c>
      <c r="AM483" s="13" t="n">
        <v>0</v>
      </c>
      <c r="AN483" s="13" t="n">
        <v>0</v>
      </c>
      <c r="AO483" s="13" t="n">
        <v>0</v>
      </c>
      <c r="AP483" s="13" t="n">
        <v>0</v>
      </c>
      <c r="AQ483" s="13" t="n">
        <v>0</v>
      </c>
      <c r="AR483" s="13" t="n">
        <v>0</v>
      </c>
      <c r="AS483" s="13" t="n">
        <v>0</v>
      </c>
      <c r="AT483" s="13" t="n">
        <v>0</v>
      </c>
    </row>
    <row r="484" customFormat="false" ht="15" hidden="false" customHeight="true" outlineLevel="0" collapsed="false">
      <c r="A484" s="12" t="s">
        <v>1505</v>
      </c>
      <c r="B484" s="12" t="s">
        <v>1506</v>
      </c>
      <c r="C484" s="12" t="n">
        <v>1</v>
      </c>
      <c r="D484" s="12" t="s">
        <v>1507</v>
      </c>
      <c r="E484" s="13" t="n">
        <v>0</v>
      </c>
      <c r="F484" s="13" t="n">
        <v>0</v>
      </c>
      <c r="G484" s="13" t="n">
        <v>0</v>
      </c>
      <c r="H484" s="13" t="n">
        <v>0</v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0</v>
      </c>
      <c r="N484" s="13" t="n">
        <v>0</v>
      </c>
      <c r="O484" s="13" t="n">
        <v>0</v>
      </c>
      <c r="P484" s="13" t="n">
        <v>0</v>
      </c>
      <c r="Q484" s="13" t="n">
        <v>0</v>
      </c>
      <c r="R484" s="13" t="n">
        <v>4265.02785</v>
      </c>
      <c r="S484" s="13" t="n">
        <v>4264.967925</v>
      </c>
      <c r="T484" s="13" t="n">
        <v>4174.96576</v>
      </c>
      <c r="U484" s="13" t="n">
        <v>4175.073072</v>
      </c>
      <c r="V484" s="13" t="n">
        <v>4130.018412</v>
      </c>
      <c r="W484" s="13" t="n">
        <v>5515.055152</v>
      </c>
      <c r="X484" s="13" t="n">
        <v>3149.96373</v>
      </c>
      <c r="Y484" s="13" t="n">
        <v>4489.908444</v>
      </c>
      <c r="Z484" s="13" t="n">
        <v>4760.01768</v>
      </c>
      <c r="AA484" s="13" t="n">
        <v>4805.09496</v>
      </c>
      <c r="AB484" s="13" t="n">
        <v>4625.003024</v>
      </c>
      <c r="AC484" s="13" t="n">
        <v>4579.1724</v>
      </c>
      <c r="AD484" s="13" t="n">
        <v>3469.7753</v>
      </c>
      <c r="AE484" s="13" t="n">
        <v>3469.83588</v>
      </c>
      <c r="AF484" s="13" t="n">
        <v>3469.7718</v>
      </c>
      <c r="AG484" s="13" t="n">
        <v>3516.67454</v>
      </c>
      <c r="AH484" s="13" t="n">
        <v>3422.90625</v>
      </c>
      <c r="AI484" s="13" t="n">
        <v>3329.13667</v>
      </c>
      <c r="AJ484" s="13" t="n">
        <v>3376.08207</v>
      </c>
      <c r="AK484" s="13" t="n">
        <v>3282.2874</v>
      </c>
      <c r="AL484" s="13" t="n">
        <v>3423.003885</v>
      </c>
      <c r="AM484" s="13" t="n">
        <v>3329.125517</v>
      </c>
      <c r="AN484" s="13" t="n">
        <v>3376.004909</v>
      </c>
      <c r="AO484" s="13" t="n">
        <v>3306.153154</v>
      </c>
      <c r="AP484" s="13" t="n">
        <v>3306.07704</v>
      </c>
      <c r="AQ484" s="13" t="n">
        <v>3306.211907</v>
      </c>
      <c r="AR484" s="13" t="n">
        <v>2965.751956</v>
      </c>
      <c r="AS484" s="13" t="n">
        <v>3063.124512</v>
      </c>
      <c r="AT484" s="13" t="n">
        <v>3063.130032</v>
      </c>
    </row>
    <row r="485" customFormat="false" ht="15" hidden="false" customHeight="true" outlineLevel="0" collapsed="false">
      <c r="A485" s="12" t="s">
        <v>1508</v>
      </c>
      <c r="B485" s="12" t="s">
        <v>1509</v>
      </c>
      <c r="C485" s="12" t="n">
        <v>1</v>
      </c>
      <c r="D485" s="12" t="s">
        <v>1510</v>
      </c>
      <c r="E485" s="13" t="n">
        <v>0</v>
      </c>
      <c r="F485" s="13" t="n">
        <v>0</v>
      </c>
      <c r="G485" s="13" t="n">
        <v>0</v>
      </c>
      <c r="H485" s="13" t="n">
        <v>0</v>
      </c>
      <c r="I485" s="13" t="n">
        <v>0</v>
      </c>
      <c r="J485" s="13" t="n">
        <v>0</v>
      </c>
      <c r="K485" s="13" t="n">
        <v>0</v>
      </c>
      <c r="L485" s="13" t="n">
        <v>0</v>
      </c>
      <c r="M485" s="13" t="n">
        <v>0</v>
      </c>
      <c r="N485" s="13" t="n">
        <v>1924.943412</v>
      </c>
      <c r="O485" s="13" t="n">
        <v>1925.047773</v>
      </c>
      <c r="P485" s="13" t="n">
        <v>1869.979699</v>
      </c>
      <c r="Q485" s="13" t="n">
        <v>1979.963676</v>
      </c>
      <c r="R485" s="13" t="n">
        <v>2255.080056</v>
      </c>
      <c r="S485" s="13" t="n">
        <v>2420.040555</v>
      </c>
      <c r="T485" s="13" t="n">
        <v>2309.98656</v>
      </c>
      <c r="U485" s="13" t="n">
        <v>2255.0549</v>
      </c>
      <c r="V485" s="13" t="n">
        <v>2145.059748</v>
      </c>
      <c r="W485" s="13" t="n">
        <v>2419.926624</v>
      </c>
      <c r="X485" s="13" t="n">
        <v>2474.957338</v>
      </c>
      <c r="Y485" s="13" t="n">
        <v>2200.06695</v>
      </c>
      <c r="Z485" s="13" t="n">
        <v>2034.910064</v>
      </c>
      <c r="AA485" s="13" t="n">
        <v>1924.97688</v>
      </c>
      <c r="AB485" s="13" t="n">
        <v>1869.953314</v>
      </c>
      <c r="AC485" s="13" t="n">
        <v>2006.1668</v>
      </c>
      <c r="AD485" s="13" t="n">
        <v>1891.6342</v>
      </c>
      <c r="AE485" s="13" t="n">
        <v>2178.16452</v>
      </c>
      <c r="AF485" s="13" t="n">
        <v>2464.7304</v>
      </c>
      <c r="AG485" s="13" t="n">
        <v>2178.16526</v>
      </c>
      <c r="AH485" s="13" t="n">
        <v>2063.56395</v>
      </c>
      <c r="AI485" s="13" t="n">
        <v>2006.20381</v>
      </c>
      <c r="AJ485" s="13" t="n">
        <v>2522.04309</v>
      </c>
      <c r="AK485" s="13" t="n">
        <v>2579.49045</v>
      </c>
      <c r="AL485" s="13" t="n">
        <v>2407.429851</v>
      </c>
      <c r="AM485" s="13" t="n">
        <v>2235.497971</v>
      </c>
      <c r="AN485" s="13" t="n">
        <v>2464.791098</v>
      </c>
      <c r="AO485" s="13" t="n">
        <v>2437.074672</v>
      </c>
      <c r="AP485" s="13" t="n">
        <v>2674.85256</v>
      </c>
      <c r="AQ485" s="13" t="n">
        <v>2674.810356</v>
      </c>
      <c r="AR485" s="13" t="n">
        <v>2793.65905</v>
      </c>
      <c r="AS485" s="13" t="n">
        <v>3031.447761</v>
      </c>
      <c r="AT485" s="13" t="n">
        <v>2793.605392</v>
      </c>
    </row>
    <row r="486" customFormat="false" ht="15" hidden="false" customHeight="true" outlineLevel="0" collapsed="false">
      <c r="A486" s="12" t="s">
        <v>1511</v>
      </c>
      <c r="B486" s="12" t="s">
        <v>1512</v>
      </c>
      <c r="C486" s="12" t="n">
        <v>1</v>
      </c>
      <c r="D486" s="12" t="s">
        <v>1513</v>
      </c>
      <c r="E486" s="13" t="n">
        <v>0</v>
      </c>
      <c r="F486" s="13" t="n">
        <v>0</v>
      </c>
      <c r="G486" s="13" t="n">
        <v>0</v>
      </c>
      <c r="H486" s="13" t="n">
        <v>0</v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0</v>
      </c>
      <c r="N486" s="13" t="n">
        <v>1595.025384</v>
      </c>
      <c r="O486" s="13" t="n">
        <v>2144.964735</v>
      </c>
      <c r="P486" s="13" t="n">
        <v>1979.948649</v>
      </c>
      <c r="Q486" s="13" t="n">
        <v>1979.963676</v>
      </c>
      <c r="R486" s="13" t="n">
        <v>1595.069133</v>
      </c>
      <c r="S486" s="13" t="n">
        <v>1650.08028</v>
      </c>
      <c r="T486" s="13" t="n">
        <v>1759.94112</v>
      </c>
      <c r="U486" s="13" t="n">
        <v>1759.96014</v>
      </c>
      <c r="V486" s="13" t="n">
        <v>1760.006508</v>
      </c>
      <c r="W486" s="13" t="n">
        <v>1815.03872</v>
      </c>
      <c r="X486" s="13" t="n">
        <v>1869.95014</v>
      </c>
      <c r="Y486" s="13" t="n">
        <v>1814.981406</v>
      </c>
      <c r="Z486" s="13" t="n">
        <v>1869.928192</v>
      </c>
      <c r="AA486" s="13" t="n">
        <v>1980.08118</v>
      </c>
      <c r="AB486" s="13" t="n">
        <v>1760.075092</v>
      </c>
      <c r="AC486" s="13" t="n">
        <v>2006.1668</v>
      </c>
      <c r="AD486" s="13" t="n">
        <v>1719.5928</v>
      </c>
      <c r="AE486" s="13" t="n">
        <v>1891.58004</v>
      </c>
      <c r="AF486" s="13" t="n">
        <v>1834.2544</v>
      </c>
      <c r="AG486" s="13" t="n">
        <v>1834.2749</v>
      </c>
      <c r="AH486" s="13" t="n">
        <v>1375.77225</v>
      </c>
      <c r="AI486" s="13" t="n">
        <v>1433.08328</v>
      </c>
      <c r="AJ486" s="13" t="n">
        <v>1203.70662</v>
      </c>
      <c r="AK486" s="13" t="n">
        <v>1031.7228</v>
      </c>
      <c r="AL486" s="13" t="n">
        <v>1146.342544</v>
      </c>
      <c r="AM486" s="13" t="n">
        <v>1031.810625</v>
      </c>
      <c r="AN486" s="13" t="n">
        <v>1031.701921</v>
      </c>
      <c r="AO486" s="13" t="n">
        <v>891.663144</v>
      </c>
      <c r="AP486" s="13" t="n">
        <v>713.36304</v>
      </c>
      <c r="AQ486" s="13" t="n">
        <v>772.638491</v>
      </c>
      <c r="AR486" s="13" t="n">
        <v>891.514932</v>
      </c>
      <c r="AS486" s="13" t="n">
        <v>832.077279</v>
      </c>
      <c r="AT486" s="13" t="n">
        <v>772.69564</v>
      </c>
    </row>
    <row r="487" customFormat="false" ht="15" hidden="false" customHeight="true" outlineLevel="0" collapsed="false">
      <c r="A487" s="12" t="s">
        <v>1514</v>
      </c>
      <c r="B487" s="12" t="s">
        <v>1515</v>
      </c>
      <c r="C487" s="12" t="n">
        <v>1</v>
      </c>
      <c r="D487" s="12" t="s">
        <v>1516</v>
      </c>
      <c r="E487" s="13" t="n">
        <v>0</v>
      </c>
      <c r="F487" s="13" t="n">
        <v>0</v>
      </c>
      <c r="G487" s="13" t="n">
        <v>0</v>
      </c>
      <c r="H487" s="13" t="n">
        <v>0</v>
      </c>
      <c r="I487" s="13" t="n">
        <v>0</v>
      </c>
      <c r="J487" s="13" t="n">
        <v>0</v>
      </c>
      <c r="K487" s="13" t="n">
        <v>0</v>
      </c>
      <c r="L487" s="13" t="n">
        <v>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  <c r="X487" s="13" t="n">
        <v>0</v>
      </c>
      <c r="Y487" s="13" t="n">
        <v>0</v>
      </c>
      <c r="Z487" s="13" t="n">
        <v>0</v>
      </c>
      <c r="AA487" s="13" t="n">
        <v>0</v>
      </c>
      <c r="AB487" s="13" t="n">
        <v>0</v>
      </c>
      <c r="AC487" s="13" t="n">
        <v>0</v>
      </c>
      <c r="AD487" s="13" t="n">
        <v>0</v>
      </c>
      <c r="AE487" s="13" t="n">
        <v>0</v>
      </c>
      <c r="AF487" s="13" t="n">
        <v>4446.0306</v>
      </c>
      <c r="AG487" s="13" t="n">
        <v>4388.94414</v>
      </c>
      <c r="AH487" s="13" t="n">
        <v>4160.93205</v>
      </c>
      <c r="AI487" s="13" t="n">
        <v>3762.03158</v>
      </c>
      <c r="AJ487" s="13" t="n">
        <v>3705.06042</v>
      </c>
      <c r="AK487" s="13" t="n">
        <v>3648.0867</v>
      </c>
      <c r="AL487" s="13" t="n">
        <v>3704.984996</v>
      </c>
      <c r="AM487" s="13" t="n">
        <v>3819.07506</v>
      </c>
      <c r="AN487" s="13" t="n">
        <v>3818.933588</v>
      </c>
      <c r="AO487" s="13" t="n">
        <v>4255.226164</v>
      </c>
      <c r="AP487" s="13" t="n">
        <v>4882.5852</v>
      </c>
      <c r="AQ487" s="13" t="n">
        <v>5273.026833</v>
      </c>
      <c r="AR487" s="13" t="n">
        <v>5273.130134</v>
      </c>
      <c r="AS487" s="13" t="n">
        <v>5468.480424</v>
      </c>
      <c r="AT487" s="13" t="n">
        <v>5533.480872</v>
      </c>
    </row>
    <row r="488" customFormat="false" ht="15" hidden="false" customHeight="true" outlineLevel="0" collapsed="false">
      <c r="A488" s="12" t="s">
        <v>1517</v>
      </c>
      <c r="B488" s="12" t="s">
        <v>1518</v>
      </c>
      <c r="C488" s="12" t="n">
        <v>1</v>
      </c>
      <c r="D488" s="12" t="s">
        <v>1519</v>
      </c>
      <c r="E488" s="13" t="n">
        <v>0</v>
      </c>
      <c r="F488" s="13" t="n">
        <v>0</v>
      </c>
      <c r="G488" s="13" t="n">
        <v>0</v>
      </c>
      <c r="H488" s="13" t="n">
        <v>0</v>
      </c>
      <c r="I488" s="13" t="n">
        <v>0</v>
      </c>
      <c r="J488" s="13" t="n">
        <v>0</v>
      </c>
      <c r="K488" s="13" t="n">
        <v>0</v>
      </c>
      <c r="L488" s="13" t="n">
        <v>0</v>
      </c>
      <c r="M488" s="13" t="n">
        <v>0</v>
      </c>
      <c r="N488" s="13" t="n">
        <v>0</v>
      </c>
      <c r="O488" s="13" t="n">
        <v>0</v>
      </c>
      <c r="P488" s="13" t="n">
        <v>0</v>
      </c>
      <c r="Q488" s="13" t="n">
        <v>0</v>
      </c>
      <c r="R488" s="13" t="n">
        <v>0</v>
      </c>
      <c r="S488" s="13" t="n">
        <v>0</v>
      </c>
      <c r="T488" s="13" t="n">
        <v>1124.94592</v>
      </c>
      <c r="U488" s="13" t="n">
        <v>1169.9157</v>
      </c>
      <c r="V488" s="13" t="n">
        <v>1124.945016</v>
      </c>
      <c r="W488" s="13" t="n">
        <v>1125.024</v>
      </c>
      <c r="X488" s="13" t="n">
        <v>1169.9582</v>
      </c>
      <c r="Y488" s="13" t="n">
        <v>1214.909454</v>
      </c>
      <c r="Z488" s="13" t="n">
        <v>1215.012304</v>
      </c>
      <c r="AA488" s="13" t="n">
        <v>1170.04797</v>
      </c>
      <c r="AB488" s="13" t="n">
        <v>1125.08824</v>
      </c>
      <c r="AC488" s="13" t="n">
        <v>1172.3492</v>
      </c>
      <c r="AD488" s="13" t="n">
        <v>1359.9072</v>
      </c>
      <c r="AE488" s="13" t="n">
        <v>1312.89984</v>
      </c>
      <c r="AF488" s="13" t="n">
        <v>1266.0428</v>
      </c>
      <c r="AG488" s="13" t="n">
        <v>1219.05466</v>
      </c>
      <c r="AH488" s="13" t="n">
        <v>1312.8852</v>
      </c>
      <c r="AI488" s="13" t="n">
        <v>1265.97795</v>
      </c>
      <c r="AJ488" s="13" t="n">
        <v>1406.68533</v>
      </c>
      <c r="AK488" s="13" t="n">
        <v>1406.6946</v>
      </c>
      <c r="AL488" s="13" t="n">
        <v>1453.556452</v>
      </c>
      <c r="AM488" s="13" t="n">
        <v>1406.747677</v>
      </c>
      <c r="AN488" s="13" t="n">
        <v>1359.897146</v>
      </c>
      <c r="AO488" s="13" t="n">
        <v>1507.138284</v>
      </c>
      <c r="AP488" s="13" t="n">
        <v>1653.1248</v>
      </c>
      <c r="AQ488" s="13" t="n">
        <v>1555.779216</v>
      </c>
      <c r="AR488" s="13" t="n">
        <v>1604.446196</v>
      </c>
      <c r="AS488" s="13" t="n">
        <v>1604.436093</v>
      </c>
      <c r="AT488" s="13" t="n">
        <v>1604.546688</v>
      </c>
    </row>
    <row r="489" customFormat="false" ht="15" hidden="false" customHeight="true" outlineLevel="0" collapsed="false">
      <c r="A489" s="12" t="s">
        <v>1520</v>
      </c>
      <c r="B489" s="12" t="s">
        <v>1521</v>
      </c>
      <c r="C489" s="12" t="n">
        <v>1</v>
      </c>
      <c r="D489" s="12" t="s">
        <v>1522</v>
      </c>
      <c r="E489" s="13" t="n">
        <v>0</v>
      </c>
      <c r="F489" s="13" t="n">
        <v>0</v>
      </c>
      <c r="G489" s="13" t="n">
        <v>0</v>
      </c>
      <c r="H489" s="13" t="n">
        <v>0</v>
      </c>
      <c r="I489" s="13" t="n">
        <v>0</v>
      </c>
      <c r="J489" s="13" t="n">
        <v>0</v>
      </c>
      <c r="K489" s="13" t="n">
        <v>0</v>
      </c>
      <c r="L489" s="13" t="n">
        <v>0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0</v>
      </c>
      <c r="X489" s="13" t="n">
        <v>0</v>
      </c>
      <c r="Y489" s="13" t="n">
        <v>0</v>
      </c>
      <c r="Z489" s="13" t="n">
        <v>0</v>
      </c>
      <c r="AA489" s="13" t="n">
        <v>0</v>
      </c>
      <c r="AB489" s="13" t="n">
        <v>0</v>
      </c>
      <c r="AC489" s="13" t="n">
        <v>0</v>
      </c>
      <c r="AD489" s="13" t="n">
        <v>0</v>
      </c>
      <c r="AE489" s="13" t="n">
        <v>0</v>
      </c>
      <c r="AF489" s="13" t="n">
        <v>0</v>
      </c>
      <c r="AG489" s="13" t="n">
        <v>0</v>
      </c>
      <c r="AH489" s="13" t="n">
        <v>0</v>
      </c>
      <c r="AI489" s="13" t="n">
        <v>0</v>
      </c>
      <c r="AJ489" s="13" t="n">
        <v>0</v>
      </c>
      <c r="AK489" s="13" t="n">
        <v>0</v>
      </c>
      <c r="AL489" s="13" t="n">
        <v>0</v>
      </c>
      <c r="AM489" s="13" t="n">
        <v>0</v>
      </c>
      <c r="AN489" s="13" t="n">
        <v>0</v>
      </c>
      <c r="AO489" s="13" t="n">
        <v>0</v>
      </c>
      <c r="AP489" s="13" t="n">
        <v>0</v>
      </c>
      <c r="AQ489" s="13" t="n">
        <v>0</v>
      </c>
      <c r="AR489" s="13" t="n">
        <v>0</v>
      </c>
      <c r="AS489" s="13" t="n">
        <v>0</v>
      </c>
      <c r="AT489" s="13" t="n">
        <v>0</v>
      </c>
    </row>
    <row r="490" customFormat="false" ht="15" hidden="false" customHeight="true" outlineLevel="0" collapsed="false">
      <c r="A490" s="12" t="s">
        <v>1523</v>
      </c>
      <c r="B490" s="12" t="s">
        <v>1524</v>
      </c>
      <c r="C490" s="12" t="n">
        <v>1</v>
      </c>
      <c r="D490" s="12" t="s">
        <v>1525</v>
      </c>
      <c r="E490" s="13" t="n">
        <v>0</v>
      </c>
      <c r="F490" s="13" t="n">
        <v>0</v>
      </c>
      <c r="G490" s="13" t="n">
        <v>0</v>
      </c>
      <c r="H490" s="13" t="n">
        <v>0</v>
      </c>
      <c r="I490" s="13" t="n">
        <v>0</v>
      </c>
      <c r="J490" s="13" t="n">
        <v>0</v>
      </c>
      <c r="K490" s="13" t="n">
        <v>0</v>
      </c>
      <c r="L490" s="13" t="n">
        <v>0</v>
      </c>
      <c r="M490" s="13" t="n">
        <v>0</v>
      </c>
      <c r="N490" s="13" t="n">
        <v>0</v>
      </c>
      <c r="O490" s="13" t="n">
        <v>0</v>
      </c>
      <c r="P490" s="13" t="n">
        <v>0</v>
      </c>
      <c r="Q490" s="13" t="n">
        <v>0</v>
      </c>
      <c r="R490" s="13" t="n">
        <v>0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  <c r="X490" s="13" t="n">
        <v>5639.991716</v>
      </c>
      <c r="Y490" s="13" t="n">
        <v>5579.999782</v>
      </c>
      <c r="Z490" s="13" t="n">
        <v>5579.91544</v>
      </c>
      <c r="AA490" s="13" t="n">
        <v>5820.03453</v>
      </c>
      <c r="AB490" s="13" t="n">
        <v>5640.010688</v>
      </c>
      <c r="AC490" s="13" t="n">
        <v>5752.7624</v>
      </c>
      <c r="AD490" s="13" t="n">
        <v>6065.3832</v>
      </c>
      <c r="AE490" s="13" t="n">
        <v>6127.88652</v>
      </c>
      <c r="AF490" s="13" t="n">
        <v>6565.5656</v>
      </c>
      <c r="AG490" s="13" t="n">
        <v>6565.56556</v>
      </c>
      <c r="AH490" s="13" t="n">
        <v>6815.78535</v>
      </c>
      <c r="AI490" s="13" t="n">
        <v>6753.19819</v>
      </c>
      <c r="AJ490" s="13" t="n">
        <v>6878.35017</v>
      </c>
      <c r="AK490" s="13" t="n">
        <v>0</v>
      </c>
      <c r="AL490" s="13" t="n">
        <v>0</v>
      </c>
      <c r="AM490" s="13" t="n">
        <v>0</v>
      </c>
      <c r="AN490" s="13" t="n">
        <v>0</v>
      </c>
      <c r="AO490" s="13" t="n">
        <v>0</v>
      </c>
      <c r="AP490" s="13" t="n">
        <v>0</v>
      </c>
      <c r="AQ490" s="13" t="n">
        <v>0</v>
      </c>
      <c r="AR490" s="13" t="n">
        <v>0</v>
      </c>
      <c r="AS490" s="13" t="n">
        <v>0</v>
      </c>
      <c r="AT490" s="13" t="n">
        <v>0</v>
      </c>
    </row>
    <row r="491" customFormat="false" ht="15" hidden="false" customHeight="true" outlineLevel="0" collapsed="false">
      <c r="A491" s="12" t="s">
        <v>1526</v>
      </c>
      <c r="B491" s="12" t="s">
        <v>1527</v>
      </c>
      <c r="C491" s="12" t="n">
        <v>1</v>
      </c>
      <c r="D491" s="12" t="s">
        <v>1528</v>
      </c>
      <c r="E491" s="13" t="n">
        <v>0</v>
      </c>
      <c r="F491" s="13" t="n">
        <v>0</v>
      </c>
      <c r="G491" s="13" t="n">
        <v>0</v>
      </c>
      <c r="H491" s="13" t="n">
        <v>0</v>
      </c>
      <c r="I491" s="13" t="n">
        <v>0</v>
      </c>
      <c r="J491" s="13" t="n">
        <v>0</v>
      </c>
      <c r="K491" s="13" t="n">
        <v>0</v>
      </c>
      <c r="L491" s="13" t="n">
        <v>0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3160.009665</v>
      </c>
      <c r="R491" s="13" t="n">
        <v>41079.996102</v>
      </c>
      <c r="S491" s="13" t="n">
        <v>42520.00173</v>
      </c>
      <c r="T491" s="13" t="n">
        <v>0</v>
      </c>
      <c r="U491" s="13" t="n">
        <v>0</v>
      </c>
      <c r="V491" s="13" t="n">
        <v>0</v>
      </c>
      <c r="W491" s="13" t="n">
        <v>0</v>
      </c>
      <c r="X491" s="13" t="n">
        <v>0</v>
      </c>
      <c r="Y491" s="13" t="n">
        <v>0</v>
      </c>
      <c r="Z491" s="13" t="n">
        <v>0</v>
      </c>
      <c r="AA491" s="13" t="n">
        <v>0</v>
      </c>
      <c r="AB491" s="13" t="n">
        <v>0</v>
      </c>
      <c r="AC491" s="13" t="n">
        <v>0</v>
      </c>
      <c r="AD491" s="13" t="n">
        <v>0</v>
      </c>
      <c r="AE491" s="13" t="n">
        <v>0</v>
      </c>
      <c r="AF491" s="13" t="n">
        <v>0</v>
      </c>
      <c r="AG491" s="13" t="n">
        <v>0</v>
      </c>
      <c r="AH491" s="13" t="n">
        <v>0</v>
      </c>
      <c r="AI491" s="13" t="n">
        <v>0</v>
      </c>
      <c r="AJ491" s="13" t="n">
        <v>0</v>
      </c>
      <c r="AK491" s="13" t="n">
        <v>0</v>
      </c>
      <c r="AL491" s="13" t="n">
        <v>0</v>
      </c>
      <c r="AM491" s="13" t="n">
        <v>0</v>
      </c>
      <c r="AN491" s="13" t="n">
        <v>0</v>
      </c>
      <c r="AO491" s="13" t="n">
        <v>0</v>
      </c>
      <c r="AP491" s="13" t="n">
        <v>0</v>
      </c>
      <c r="AQ491" s="13" t="n">
        <v>0</v>
      </c>
      <c r="AR491" s="13" t="n">
        <v>0</v>
      </c>
      <c r="AS491" s="13" t="n">
        <v>0</v>
      </c>
      <c r="AT491" s="13" t="n">
        <v>0</v>
      </c>
    </row>
    <row r="492" customFormat="false" ht="15" hidden="false" customHeight="true" outlineLevel="0" collapsed="false">
      <c r="A492" s="12" t="s">
        <v>1529</v>
      </c>
      <c r="B492" s="12" t="s">
        <v>1530</v>
      </c>
      <c r="C492" s="12" t="n">
        <v>1</v>
      </c>
      <c r="D492" s="12" t="s">
        <v>1531</v>
      </c>
      <c r="E492" s="13" t="n">
        <v>0</v>
      </c>
      <c r="F492" s="13" t="n">
        <v>0</v>
      </c>
      <c r="G492" s="13" t="n">
        <v>0</v>
      </c>
      <c r="H492" s="13" t="n">
        <v>0</v>
      </c>
      <c r="I492" s="13" t="n">
        <v>0</v>
      </c>
      <c r="J492" s="13" t="n">
        <v>0</v>
      </c>
      <c r="K492" s="13" t="n">
        <v>0</v>
      </c>
      <c r="L492" s="13" t="n">
        <v>0</v>
      </c>
      <c r="M492" s="13" t="n">
        <v>0</v>
      </c>
      <c r="N492" s="13" t="n">
        <v>0</v>
      </c>
      <c r="O492" s="13" t="n">
        <v>0</v>
      </c>
      <c r="P492" s="13" t="n">
        <v>0</v>
      </c>
      <c r="Q492" s="13" t="n">
        <v>0</v>
      </c>
      <c r="R492" s="13" t="n">
        <v>0</v>
      </c>
      <c r="S492" s="13" t="n">
        <v>0</v>
      </c>
      <c r="T492" s="13" t="n">
        <v>0</v>
      </c>
      <c r="U492" s="13" t="n">
        <v>0</v>
      </c>
      <c r="V492" s="13" t="n">
        <v>0</v>
      </c>
      <c r="W492" s="13" t="n">
        <v>0</v>
      </c>
      <c r="X492" s="13" t="n">
        <v>0</v>
      </c>
      <c r="Y492" s="13" t="n">
        <v>0</v>
      </c>
      <c r="Z492" s="13" t="n">
        <v>0</v>
      </c>
      <c r="AA492" s="13" t="n">
        <v>0</v>
      </c>
      <c r="AB492" s="13" t="n">
        <v>0</v>
      </c>
      <c r="AC492" s="13" t="n">
        <v>0</v>
      </c>
      <c r="AD492" s="13" t="n">
        <v>0</v>
      </c>
      <c r="AE492" s="13" t="n">
        <v>0</v>
      </c>
      <c r="AF492" s="13" t="n">
        <v>0</v>
      </c>
      <c r="AG492" s="13" t="n">
        <v>0</v>
      </c>
      <c r="AH492" s="13" t="n">
        <v>0</v>
      </c>
      <c r="AI492" s="13" t="n">
        <v>0</v>
      </c>
      <c r="AJ492" s="13" t="n">
        <v>0</v>
      </c>
      <c r="AK492" s="13" t="n">
        <v>0</v>
      </c>
      <c r="AL492" s="13" t="n">
        <v>0</v>
      </c>
      <c r="AM492" s="13" t="n">
        <v>0</v>
      </c>
      <c r="AN492" s="13" t="n">
        <v>0</v>
      </c>
      <c r="AO492" s="13" t="n">
        <v>0</v>
      </c>
      <c r="AP492" s="13" t="n">
        <v>0</v>
      </c>
      <c r="AQ492" s="13" t="n">
        <v>0</v>
      </c>
      <c r="AR492" s="13" t="n">
        <v>0</v>
      </c>
      <c r="AS492" s="13" t="n">
        <v>0</v>
      </c>
      <c r="AT492" s="13" t="n">
        <v>319.754232</v>
      </c>
    </row>
    <row r="493" customFormat="false" ht="15" hidden="false" customHeight="true" outlineLevel="0" collapsed="false">
      <c r="A493" s="12" t="s">
        <v>1532</v>
      </c>
      <c r="B493" s="12" t="s">
        <v>1533</v>
      </c>
      <c r="C493" s="12" t="n">
        <v>1</v>
      </c>
      <c r="D493" s="12" t="s">
        <v>1534</v>
      </c>
      <c r="E493" s="13" t="n">
        <v>0</v>
      </c>
      <c r="F493" s="13" t="n">
        <v>0</v>
      </c>
      <c r="G493" s="13" t="n">
        <v>0</v>
      </c>
      <c r="H493" s="13" t="n">
        <v>0</v>
      </c>
      <c r="I493" s="13" t="n">
        <v>0</v>
      </c>
      <c r="J493" s="13" t="n">
        <v>429.03102</v>
      </c>
      <c r="K493" s="13" t="n">
        <v>429.058764</v>
      </c>
      <c r="L493" s="13" t="n">
        <v>429.035082</v>
      </c>
      <c r="M493" s="13" t="n">
        <v>429.02901</v>
      </c>
      <c r="N493" s="13" t="n">
        <v>428.929572</v>
      </c>
      <c r="O493" s="13" t="n">
        <v>428.992947</v>
      </c>
      <c r="P493" s="13" t="n">
        <v>429.048088</v>
      </c>
      <c r="Q493" s="13" t="n">
        <v>491.385366</v>
      </c>
      <c r="R493" s="13" t="n">
        <v>450.434805</v>
      </c>
      <c r="S493" s="13" t="n">
        <v>409.54278</v>
      </c>
      <c r="T493" s="13" t="n">
        <v>409.4272</v>
      </c>
      <c r="U493" s="13" t="n">
        <v>859.972816</v>
      </c>
      <c r="V493" s="13" t="n">
        <v>0</v>
      </c>
      <c r="W493" s="13" t="n">
        <v>450.384608</v>
      </c>
      <c r="X493" s="13" t="n">
        <v>450.533056</v>
      </c>
      <c r="Y493" s="13" t="n">
        <v>450.447712</v>
      </c>
      <c r="Z493" s="13" t="n">
        <v>450.442608</v>
      </c>
      <c r="AA493" s="13" t="n">
        <v>409.40454</v>
      </c>
      <c r="AB493" s="13" t="n">
        <v>409.564496</v>
      </c>
      <c r="AC493" s="13" t="n">
        <v>426.6284</v>
      </c>
      <c r="AD493" s="13" t="n">
        <v>426.6134</v>
      </c>
      <c r="AE493" s="13" t="n">
        <v>213.3054</v>
      </c>
      <c r="AF493" s="13" t="n">
        <v>256.1064</v>
      </c>
      <c r="AG493" s="13" t="n">
        <v>256.08446</v>
      </c>
      <c r="AH493" s="13" t="n">
        <v>469.29225</v>
      </c>
      <c r="AI493" s="13" t="n">
        <v>469.36109</v>
      </c>
      <c r="AJ493" s="13" t="n">
        <v>469.33002</v>
      </c>
      <c r="AK493" s="13" t="n">
        <v>469.44855</v>
      </c>
      <c r="AL493" s="13" t="n">
        <v>426.747377</v>
      </c>
      <c r="AM493" s="13" t="n">
        <v>426.665158</v>
      </c>
      <c r="AN493" s="13" t="n">
        <v>426.743709</v>
      </c>
      <c r="AO493" s="13" t="n">
        <v>442.383532</v>
      </c>
      <c r="AP493" s="13" t="n">
        <v>442.44384</v>
      </c>
      <c r="AQ493" s="13" t="n">
        <v>442.361339</v>
      </c>
      <c r="AR493" s="13" t="n">
        <v>398.21702</v>
      </c>
      <c r="AS493" s="13" t="n">
        <v>398.1231</v>
      </c>
      <c r="AT493" s="13" t="n">
        <v>398.1614</v>
      </c>
    </row>
    <row r="494" customFormat="false" ht="15" hidden="false" customHeight="true" outlineLevel="0" collapsed="false">
      <c r="A494" s="12" t="s">
        <v>1535</v>
      </c>
      <c r="B494" s="12" t="s">
        <v>1536</v>
      </c>
      <c r="C494" s="12" t="n">
        <v>1</v>
      </c>
      <c r="D494" s="12" t="s">
        <v>1537</v>
      </c>
      <c r="E494" s="13" t="n">
        <v>0</v>
      </c>
      <c r="F494" s="13" t="n">
        <v>0</v>
      </c>
      <c r="G494" s="13" t="n">
        <v>0</v>
      </c>
      <c r="H494" s="13" t="n">
        <v>0</v>
      </c>
      <c r="I494" s="13" t="n">
        <v>0</v>
      </c>
      <c r="J494" s="13" t="n">
        <v>0</v>
      </c>
      <c r="K494" s="13" t="n">
        <v>0</v>
      </c>
      <c r="L494" s="13" t="n">
        <v>0</v>
      </c>
      <c r="M494" s="13" t="n">
        <v>0</v>
      </c>
      <c r="N494" s="13" t="n">
        <v>0</v>
      </c>
      <c r="O494" s="13" t="n">
        <v>0</v>
      </c>
      <c r="P494" s="13" t="n">
        <v>0</v>
      </c>
      <c r="Q494" s="13" t="n">
        <v>0</v>
      </c>
      <c r="R494" s="13" t="n">
        <v>0</v>
      </c>
      <c r="S494" s="13" t="n">
        <v>3010.04019</v>
      </c>
      <c r="T494" s="13" t="n">
        <v>4480.03584</v>
      </c>
      <c r="U494" s="13" t="n">
        <v>5214.941621</v>
      </c>
      <c r="V494" s="13" t="n">
        <v>4724.916456</v>
      </c>
      <c r="W494" s="13" t="n">
        <v>4165.026352</v>
      </c>
      <c r="X494" s="13" t="n">
        <v>4059.953252</v>
      </c>
      <c r="Y494" s="13" t="n">
        <v>3990.045358</v>
      </c>
      <c r="Z494" s="13" t="n">
        <v>4270.083664</v>
      </c>
      <c r="AA494" s="13" t="n">
        <v>5074.90194</v>
      </c>
      <c r="AB494" s="13" t="n">
        <v>5529.930112</v>
      </c>
      <c r="AC494" s="13" t="n">
        <v>6491.6588</v>
      </c>
      <c r="AD494" s="13" t="n">
        <v>6345.823</v>
      </c>
      <c r="AE494" s="13" t="n">
        <v>5616.3618</v>
      </c>
      <c r="AF494" s="13" t="n">
        <v>4886.9722</v>
      </c>
      <c r="AG494" s="13" t="n">
        <v>4887.02552</v>
      </c>
      <c r="AH494" s="13" t="n">
        <v>4267.06575</v>
      </c>
      <c r="AI494" s="13" t="n">
        <v>4595.30259</v>
      </c>
      <c r="AJ494" s="13" t="n">
        <v>6163.35813</v>
      </c>
      <c r="AK494" s="13" t="n">
        <v>7184.6358</v>
      </c>
      <c r="AL494" s="13" t="n">
        <v>8023.476903</v>
      </c>
      <c r="AM494" s="13" t="n">
        <v>8059.862587</v>
      </c>
      <c r="AN494" s="13" t="n">
        <v>6819.806859</v>
      </c>
      <c r="AO494" s="13" t="n">
        <v>5597.375734</v>
      </c>
      <c r="AP494" s="13" t="n">
        <v>5030.124</v>
      </c>
      <c r="AQ494" s="13" t="n">
        <v>5446.132621</v>
      </c>
      <c r="AR494" s="13" t="n">
        <v>4765.271864</v>
      </c>
      <c r="AS494" s="13" t="n">
        <v>5559.529446</v>
      </c>
      <c r="AT494" s="13" t="n">
        <v>5030.134856</v>
      </c>
    </row>
    <row r="495" customFormat="false" ht="15" hidden="false" customHeight="true" outlineLevel="0" collapsed="false">
      <c r="A495" s="12" t="s">
        <v>1538</v>
      </c>
      <c r="B495" s="12" t="s">
        <v>1539</v>
      </c>
      <c r="C495" s="12" t="n">
        <v>1</v>
      </c>
      <c r="D495" s="12" t="s">
        <v>1540</v>
      </c>
      <c r="E495" s="13" t="n">
        <v>0</v>
      </c>
      <c r="F495" s="13" t="n">
        <v>0</v>
      </c>
      <c r="G495" s="13" t="n">
        <v>0</v>
      </c>
      <c r="H495" s="13" t="n">
        <v>0</v>
      </c>
      <c r="I495" s="13" t="n">
        <v>0</v>
      </c>
      <c r="J495" s="13" t="n">
        <v>0</v>
      </c>
      <c r="K495" s="13" t="n">
        <v>0</v>
      </c>
      <c r="L495" s="13" t="n">
        <v>0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1139.92704</v>
      </c>
      <c r="U495" s="13" t="n">
        <v>1140.074372</v>
      </c>
      <c r="V495" s="13" t="n">
        <v>1140.052368</v>
      </c>
      <c r="W495" s="13" t="n">
        <v>1140.02432</v>
      </c>
      <c r="X495" s="13" t="n">
        <v>0</v>
      </c>
      <c r="Y495" s="13" t="n">
        <v>0</v>
      </c>
      <c r="Z495" s="13" t="n">
        <v>0</v>
      </c>
      <c r="AA495" s="13" t="n">
        <v>0</v>
      </c>
      <c r="AB495" s="13" t="n">
        <v>0</v>
      </c>
      <c r="AC495" s="13" t="n">
        <v>0</v>
      </c>
      <c r="AD495" s="13" t="n">
        <v>0</v>
      </c>
      <c r="AE495" s="13" t="n">
        <v>3360.01932</v>
      </c>
      <c r="AF495" s="13" t="n">
        <v>1679.964</v>
      </c>
      <c r="AG495" s="13" t="n">
        <v>60.01678</v>
      </c>
      <c r="AH495" s="13" t="n">
        <v>60.0543</v>
      </c>
      <c r="AI495" s="13" t="n">
        <v>59.96243</v>
      </c>
      <c r="AJ495" s="13" t="n">
        <v>60.01758</v>
      </c>
      <c r="AK495" s="13" t="n">
        <v>59.98815</v>
      </c>
      <c r="AL495" s="13" t="n">
        <v>60.043006</v>
      </c>
      <c r="AM495" s="13" t="n">
        <v>59.982591</v>
      </c>
      <c r="AN495" s="13" t="n">
        <v>60.064222</v>
      </c>
      <c r="AO495" s="13" t="n">
        <v>62.237122</v>
      </c>
      <c r="AP495" s="13" t="n">
        <v>62.29416</v>
      </c>
      <c r="AQ495" s="13" t="n">
        <v>62.289112</v>
      </c>
      <c r="AR495" s="13" t="n">
        <v>62.27623</v>
      </c>
      <c r="AS495" s="13" t="n">
        <v>62.141823</v>
      </c>
      <c r="AT495" s="13" t="n">
        <v>62.13068</v>
      </c>
    </row>
    <row r="496" customFormat="false" ht="15" hidden="false" customHeight="true" outlineLevel="0" collapsed="false">
      <c r="A496" s="12" t="s">
        <v>1541</v>
      </c>
      <c r="B496" s="12" t="s">
        <v>1542</v>
      </c>
      <c r="C496" s="12" t="n">
        <v>1</v>
      </c>
      <c r="D496" s="12" t="s">
        <v>1543</v>
      </c>
      <c r="E496" s="13" t="n">
        <v>0</v>
      </c>
      <c r="F496" s="13" t="n">
        <v>0</v>
      </c>
      <c r="G496" s="13" t="n">
        <v>0</v>
      </c>
      <c r="H496" s="13" t="n">
        <v>0</v>
      </c>
      <c r="I496" s="13" t="n">
        <v>0</v>
      </c>
      <c r="J496" s="13" t="n">
        <v>0</v>
      </c>
      <c r="K496" s="13" t="n">
        <v>0</v>
      </c>
      <c r="L496" s="13" t="n">
        <v>0</v>
      </c>
      <c r="M496" s="13" t="n">
        <v>0</v>
      </c>
      <c r="N496" s="13" t="n">
        <v>0</v>
      </c>
      <c r="O496" s="13" t="n">
        <v>0</v>
      </c>
      <c r="P496" s="13" t="n">
        <v>0</v>
      </c>
      <c r="Q496" s="13" t="n">
        <v>0</v>
      </c>
      <c r="R496" s="13" t="n">
        <v>0</v>
      </c>
      <c r="S496" s="13" t="n">
        <v>0</v>
      </c>
      <c r="T496" s="13" t="n">
        <v>0</v>
      </c>
      <c r="U496" s="13" t="n">
        <v>0</v>
      </c>
      <c r="V496" s="13" t="n">
        <v>0</v>
      </c>
      <c r="W496" s="13" t="n">
        <v>0</v>
      </c>
      <c r="X496" s="13" t="n">
        <v>0</v>
      </c>
      <c r="Y496" s="13" t="n">
        <v>0</v>
      </c>
      <c r="Z496" s="13" t="n">
        <v>0</v>
      </c>
      <c r="AA496" s="13" t="n">
        <v>0</v>
      </c>
      <c r="AB496" s="13" t="n">
        <v>0</v>
      </c>
      <c r="AC496" s="13" t="n">
        <v>0</v>
      </c>
      <c r="AD496" s="13" t="n">
        <v>0</v>
      </c>
      <c r="AE496" s="13" t="n">
        <v>0</v>
      </c>
      <c r="AF496" s="13" t="n">
        <v>0</v>
      </c>
      <c r="AG496" s="13" t="n">
        <v>0</v>
      </c>
      <c r="AH496" s="13" t="n">
        <v>0</v>
      </c>
      <c r="AI496" s="13" t="n">
        <v>0</v>
      </c>
      <c r="AJ496" s="13" t="n">
        <v>0</v>
      </c>
      <c r="AK496" s="13" t="n">
        <v>0</v>
      </c>
      <c r="AL496" s="13" t="n">
        <v>0</v>
      </c>
      <c r="AM496" s="13" t="n">
        <v>0</v>
      </c>
      <c r="AN496" s="13" t="n">
        <v>0</v>
      </c>
      <c r="AO496" s="13" t="n">
        <v>0</v>
      </c>
      <c r="AP496" s="13" t="n">
        <v>0</v>
      </c>
      <c r="AQ496" s="13" t="n">
        <v>5849.925411</v>
      </c>
      <c r="AR496" s="13" t="n">
        <v>359.974152</v>
      </c>
      <c r="AS496" s="13" t="n">
        <v>2070.067023</v>
      </c>
      <c r="AT496" s="13" t="n">
        <v>1934.976896</v>
      </c>
    </row>
    <row r="497" customFormat="false" ht="15" hidden="false" customHeight="true" outlineLevel="0" collapsed="false">
      <c r="A497" s="12" t="s">
        <v>1544</v>
      </c>
      <c r="B497" s="12" t="s">
        <v>1545</v>
      </c>
      <c r="C497" s="12" t="n">
        <v>1</v>
      </c>
      <c r="D497" s="12" t="s">
        <v>1546</v>
      </c>
      <c r="E497" s="13" t="n">
        <v>0</v>
      </c>
      <c r="F497" s="13" t="n">
        <v>0</v>
      </c>
      <c r="G497" s="13" t="n">
        <v>0</v>
      </c>
      <c r="H497" s="13" t="n">
        <v>0</v>
      </c>
      <c r="I497" s="13" t="n">
        <v>0</v>
      </c>
      <c r="J497" s="13" t="n">
        <v>0</v>
      </c>
      <c r="K497" s="13" t="n">
        <v>0</v>
      </c>
      <c r="L497" s="13" t="n">
        <v>0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0</v>
      </c>
      <c r="T497" s="13" t="n">
        <v>0</v>
      </c>
      <c r="U497" s="13" t="n">
        <v>0</v>
      </c>
      <c r="V497" s="13" t="n">
        <v>0</v>
      </c>
      <c r="W497" s="13" t="n">
        <v>0</v>
      </c>
      <c r="X497" s="13" t="n">
        <v>0</v>
      </c>
      <c r="Y497" s="13" t="n">
        <v>0</v>
      </c>
      <c r="Z497" s="13" t="n">
        <v>0</v>
      </c>
      <c r="AA497" s="13" t="n">
        <v>0</v>
      </c>
      <c r="AB497" s="13" t="n">
        <v>0</v>
      </c>
      <c r="AC497" s="13" t="n">
        <v>0</v>
      </c>
      <c r="AD497" s="13" t="n">
        <v>0</v>
      </c>
      <c r="AE497" s="13" t="n">
        <v>12511.5354</v>
      </c>
      <c r="AF497" s="13" t="n">
        <v>12511.4242</v>
      </c>
      <c r="AG497" s="13" t="n">
        <v>15361.59396</v>
      </c>
      <c r="AH497" s="13" t="n">
        <v>15361.4367</v>
      </c>
      <c r="AI497" s="13" t="n">
        <v>15361.47231</v>
      </c>
      <c r="AJ497" s="13" t="n">
        <v>15361.51824</v>
      </c>
      <c r="AK497" s="13" t="n">
        <v>15361.55265</v>
      </c>
      <c r="AL497" s="13" t="n">
        <v>15361.432124</v>
      </c>
      <c r="AM497" s="13" t="n">
        <v>0</v>
      </c>
      <c r="AN497" s="13" t="n">
        <v>0</v>
      </c>
      <c r="AO497" s="13" t="n">
        <v>0</v>
      </c>
      <c r="AP497" s="13" t="n">
        <v>0</v>
      </c>
      <c r="AQ497" s="13" t="n">
        <v>0</v>
      </c>
      <c r="AR497" s="13" t="n">
        <v>0</v>
      </c>
      <c r="AS497" s="13" t="n">
        <v>0</v>
      </c>
      <c r="AT497" s="13" t="n">
        <v>0</v>
      </c>
    </row>
    <row r="498" customFormat="false" ht="15" hidden="false" customHeight="true" outlineLevel="0" collapsed="false">
      <c r="A498" s="12" t="s">
        <v>1547</v>
      </c>
      <c r="B498" s="12" t="s">
        <v>1548</v>
      </c>
      <c r="C498" s="12" t="n">
        <v>1</v>
      </c>
      <c r="D498" s="12" t="s">
        <v>1549</v>
      </c>
      <c r="E498" s="13" t="n">
        <v>5936.361696</v>
      </c>
      <c r="F498" s="13" t="n">
        <v>6302.338422</v>
      </c>
      <c r="G498" s="13" t="n">
        <v>6749.60187</v>
      </c>
      <c r="H498" s="13" t="n">
        <v>7359.428826</v>
      </c>
      <c r="I498" s="13" t="n">
        <v>6749.638427</v>
      </c>
      <c r="J498" s="13" t="n">
        <v>6627.571295</v>
      </c>
      <c r="K498" s="13" t="n">
        <v>7156.152804</v>
      </c>
      <c r="L498" s="13" t="n">
        <v>6221.008689</v>
      </c>
      <c r="M498" s="13" t="n">
        <v>4594.52349</v>
      </c>
      <c r="N498" s="13" t="n">
        <v>4147.282812</v>
      </c>
      <c r="O498" s="13" t="n">
        <v>3903.440036</v>
      </c>
      <c r="P498" s="13" t="n">
        <v>3822.013153</v>
      </c>
      <c r="Q498" s="13" t="n">
        <v>4098.483603</v>
      </c>
      <c r="R498" s="13" t="n">
        <v>4098.529368</v>
      </c>
      <c r="S498" s="13" t="n">
        <v>4397.45733</v>
      </c>
      <c r="T498" s="13" t="n">
        <v>4440.02944</v>
      </c>
      <c r="U498" s="13" t="n">
        <v>4696.278994</v>
      </c>
      <c r="V498" s="13" t="n">
        <v>4183.99956</v>
      </c>
      <c r="W498" s="13" t="n">
        <v>4653.474272</v>
      </c>
      <c r="X498" s="13" t="n">
        <v>4354.62408</v>
      </c>
      <c r="Y498" s="13" t="n">
        <v>4055.801274</v>
      </c>
      <c r="Z498" s="13" t="n">
        <v>0</v>
      </c>
      <c r="AA498" s="13" t="n">
        <v>0</v>
      </c>
      <c r="AB498" s="13" t="n">
        <v>0</v>
      </c>
      <c r="AC498" s="13" t="n">
        <v>0</v>
      </c>
      <c r="AD498" s="13" t="n">
        <v>0</v>
      </c>
      <c r="AE498" s="13" t="n">
        <v>0</v>
      </c>
      <c r="AF498" s="13" t="n">
        <v>0</v>
      </c>
      <c r="AG498" s="13" t="n">
        <v>0</v>
      </c>
      <c r="AH498" s="13" t="n">
        <v>0</v>
      </c>
      <c r="AI498" s="13" t="n">
        <v>0</v>
      </c>
      <c r="AJ498" s="13" t="n">
        <v>0</v>
      </c>
      <c r="AK498" s="13" t="n">
        <v>0</v>
      </c>
      <c r="AL498" s="13" t="n">
        <v>0</v>
      </c>
      <c r="AM498" s="13" t="n">
        <v>0</v>
      </c>
      <c r="AN498" s="13" t="n">
        <v>0</v>
      </c>
      <c r="AO498" s="13" t="n">
        <v>0</v>
      </c>
      <c r="AP498" s="13" t="n">
        <v>0</v>
      </c>
      <c r="AQ498" s="13" t="n">
        <v>0</v>
      </c>
      <c r="AR498" s="13" t="n">
        <v>0</v>
      </c>
      <c r="AS498" s="13" t="n">
        <v>0</v>
      </c>
      <c r="AT498" s="13" t="n">
        <v>0</v>
      </c>
    </row>
    <row r="499" customFormat="false" ht="15" hidden="false" customHeight="true" outlineLevel="0" collapsed="false">
      <c r="A499" s="12" t="s">
        <v>1550</v>
      </c>
      <c r="B499" s="12" t="s">
        <v>1551</v>
      </c>
      <c r="C499" s="12" t="n">
        <v>1</v>
      </c>
      <c r="D499" s="12" t="s">
        <v>1552</v>
      </c>
      <c r="E499" s="13" t="n">
        <v>0</v>
      </c>
      <c r="F499" s="13" t="n">
        <v>0</v>
      </c>
      <c r="G499" s="13" t="n">
        <v>0</v>
      </c>
      <c r="H499" s="13" t="n">
        <v>0</v>
      </c>
      <c r="I499" s="13" t="n">
        <v>0</v>
      </c>
      <c r="J499" s="13" t="n">
        <v>0</v>
      </c>
      <c r="K499" s="13" t="n">
        <v>0</v>
      </c>
      <c r="L499" s="13" t="n">
        <v>0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  <c r="V499" s="13" t="n">
        <v>0</v>
      </c>
      <c r="W499" s="13" t="n">
        <v>0</v>
      </c>
      <c r="X499" s="13" t="n">
        <v>0</v>
      </c>
      <c r="Y499" s="13" t="n">
        <v>0</v>
      </c>
      <c r="Z499" s="13" t="n">
        <v>0</v>
      </c>
      <c r="AA499" s="13" t="n">
        <v>0</v>
      </c>
      <c r="AB499" s="13" t="n">
        <v>0</v>
      </c>
      <c r="AC499" s="13" t="n">
        <v>0</v>
      </c>
      <c r="AD499" s="13" t="n">
        <v>0</v>
      </c>
      <c r="AE499" s="13" t="n">
        <v>0</v>
      </c>
      <c r="AF499" s="13" t="n">
        <v>0</v>
      </c>
      <c r="AG499" s="13" t="n">
        <v>0</v>
      </c>
      <c r="AH499" s="13" t="n">
        <v>0</v>
      </c>
      <c r="AI499" s="13" t="n">
        <v>0</v>
      </c>
      <c r="AJ499" s="13" t="n">
        <v>0</v>
      </c>
      <c r="AK499" s="13" t="n">
        <v>0</v>
      </c>
      <c r="AL499" s="13" t="n">
        <v>437.614056</v>
      </c>
      <c r="AM499" s="13" t="n">
        <v>510.494039</v>
      </c>
      <c r="AN499" s="13" t="n">
        <v>401.207423</v>
      </c>
      <c r="AO499" s="13" t="n">
        <v>378.249988</v>
      </c>
      <c r="AP499" s="13" t="n">
        <v>416.04216</v>
      </c>
      <c r="AQ499" s="13" t="n">
        <v>453.768938</v>
      </c>
      <c r="AR499" s="13" t="n">
        <v>453.827062</v>
      </c>
      <c r="AS499" s="13" t="n">
        <v>491.59548</v>
      </c>
      <c r="AT499" s="13" t="n">
        <v>0</v>
      </c>
    </row>
    <row r="500" customFormat="false" ht="15" hidden="false" customHeight="true" outlineLevel="0" collapsed="false">
      <c r="A500" s="12" t="s">
        <v>1553</v>
      </c>
      <c r="B500" s="12" t="s">
        <v>1554</v>
      </c>
      <c r="C500" s="12" t="n">
        <v>1</v>
      </c>
      <c r="D500" s="12" t="s">
        <v>1555</v>
      </c>
      <c r="E500" s="13" t="n">
        <v>0</v>
      </c>
      <c r="F500" s="13" t="n">
        <v>0</v>
      </c>
      <c r="G500" s="13" t="n">
        <v>0</v>
      </c>
      <c r="H500" s="13" t="n">
        <v>0</v>
      </c>
      <c r="I500" s="13" t="n">
        <v>0</v>
      </c>
      <c r="J500" s="13" t="n">
        <v>0</v>
      </c>
      <c r="K500" s="13" t="n">
        <v>0</v>
      </c>
      <c r="L500" s="13" t="n">
        <v>0</v>
      </c>
      <c r="M500" s="13" t="n">
        <v>0</v>
      </c>
      <c r="N500" s="13" t="n">
        <v>0</v>
      </c>
      <c r="O500" s="13" t="n">
        <v>0</v>
      </c>
      <c r="P500" s="13" t="n">
        <v>0</v>
      </c>
      <c r="Q500" s="13" t="n">
        <v>0</v>
      </c>
      <c r="R500" s="13" t="n">
        <v>0</v>
      </c>
      <c r="S500" s="13" t="n">
        <v>0</v>
      </c>
      <c r="T500" s="13" t="n">
        <v>572.0064</v>
      </c>
      <c r="U500" s="13" t="n">
        <v>623.95504</v>
      </c>
      <c r="V500" s="13" t="n">
        <v>572.05278</v>
      </c>
      <c r="W500" s="13" t="n">
        <v>597.950256</v>
      </c>
      <c r="X500" s="13" t="n">
        <v>572.08973</v>
      </c>
      <c r="Y500" s="13" t="n">
        <v>571.91897</v>
      </c>
      <c r="Z500" s="13" t="n">
        <v>597.984112</v>
      </c>
      <c r="AA500" s="13" t="n">
        <v>597.9837</v>
      </c>
      <c r="AB500" s="13" t="n">
        <v>624.059736</v>
      </c>
      <c r="AC500" s="13" t="n">
        <v>649.9724</v>
      </c>
      <c r="AD500" s="13" t="n">
        <v>623.9067</v>
      </c>
      <c r="AE500" s="13" t="n">
        <v>623.99484</v>
      </c>
      <c r="AF500" s="13" t="n">
        <v>624.0146</v>
      </c>
      <c r="AG500" s="13" t="n">
        <v>623.90434</v>
      </c>
      <c r="AH500" s="13" t="n">
        <v>441.909</v>
      </c>
      <c r="AI500" s="13" t="n">
        <v>468.0453</v>
      </c>
      <c r="AJ500" s="13" t="n">
        <v>468.02529</v>
      </c>
      <c r="AK500" s="13" t="n">
        <v>520.08075</v>
      </c>
      <c r="AL500" s="13" t="n">
        <v>519.942963</v>
      </c>
      <c r="AM500" s="13" t="n">
        <v>493.985069</v>
      </c>
      <c r="AN500" s="13" t="n">
        <v>494.001251</v>
      </c>
      <c r="AO500" s="13" t="n">
        <v>512.206342</v>
      </c>
      <c r="AP500" s="13" t="n">
        <v>512.15808</v>
      </c>
      <c r="AQ500" s="13" t="n">
        <v>512.255517</v>
      </c>
      <c r="AR500" s="13" t="n">
        <v>485.228316</v>
      </c>
      <c r="AS500" s="13" t="n">
        <v>485.363988</v>
      </c>
      <c r="AT500" s="13" t="n">
        <v>485.319368</v>
      </c>
    </row>
    <row r="501" customFormat="false" ht="15" hidden="false" customHeight="true" outlineLevel="0" collapsed="false">
      <c r="A501" s="12" t="s">
        <v>1556</v>
      </c>
      <c r="B501" s="12" t="s">
        <v>1557</v>
      </c>
      <c r="C501" s="12" t="n">
        <v>1</v>
      </c>
      <c r="D501" s="12" t="s">
        <v>1558</v>
      </c>
      <c r="E501" s="13" t="n">
        <v>0</v>
      </c>
      <c r="F501" s="13" t="n">
        <v>0</v>
      </c>
      <c r="G501" s="13" t="n">
        <v>0</v>
      </c>
      <c r="H501" s="13" t="n">
        <v>0</v>
      </c>
      <c r="I501" s="13" t="n">
        <v>0</v>
      </c>
      <c r="J501" s="13" t="n">
        <v>0</v>
      </c>
      <c r="K501" s="13" t="n">
        <v>0</v>
      </c>
      <c r="L501" s="13" t="n">
        <v>0</v>
      </c>
      <c r="M501" s="13" t="n">
        <v>0</v>
      </c>
      <c r="N501" s="13" t="n">
        <v>2922.46665</v>
      </c>
      <c r="O501" s="13" t="n">
        <v>2852.553583</v>
      </c>
      <c r="P501" s="13" t="n">
        <v>2712.511039</v>
      </c>
      <c r="Q501" s="13" t="n">
        <v>2625.014277</v>
      </c>
      <c r="R501" s="13" t="n">
        <v>2817.482526</v>
      </c>
      <c r="S501" s="13" t="n">
        <v>2765.075385</v>
      </c>
      <c r="T501" s="13" t="n">
        <v>2799.93728</v>
      </c>
      <c r="U501" s="13" t="n">
        <v>2834.92616</v>
      </c>
      <c r="V501" s="13" t="n">
        <v>2817.521148</v>
      </c>
      <c r="W501" s="13" t="n">
        <v>2764.933984</v>
      </c>
      <c r="X501" s="13" t="n">
        <v>2099.97582</v>
      </c>
      <c r="Y501" s="13" t="n">
        <v>1994.924242</v>
      </c>
      <c r="Z501" s="13" t="n">
        <v>1977.57736</v>
      </c>
      <c r="AA501" s="13" t="n">
        <v>2082.53436</v>
      </c>
      <c r="AB501" s="13" t="n">
        <v>2187.44674</v>
      </c>
      <c r="AC501" s="13" t="n">
        <v>2571.7648</v>
      </c>
      <c r="AD501" s="13" t="n">
        <v>2717.7614</v>
      </c>
      <c r="AE501" s="13" t="n">
        <v>2973.21192</v>
      </c>
      <c r="AF501" s="13" t="n">
        <v>2918.399</v>
      </c>
      <c r="AG501" s="13" t="n">
        <v>2772.54366</v>
      </c>
      <c r="AH501" s="13" t="n">
        <v>2717.74035</v>
      </c>
      <c r="AI501" s="13" t="n">
        <v>3082.52003</v>
      </c>
      <c r="AJ501" s="13" t="n">
        <v>2845.42974</v>
      </c>
      <c r="AK501" s="13" t="n">
        <v>3684.4098</v>
      </c>
      <c r="AL501" s="13" t="n">
        <v>5234.792382</v>
      </c>
      <c r="AM501" s="13" t="n">
        <v>4778.796516</v>
      </c>
      <c r="AN501" s="13" t="n">
        <v>4176.981091</v>
      </c>
      <c r="AO501" s="13" t="n">
        <v>3819.738712</v>
      </c>
      <c r="AP501" s="13" t="n">
        <v>5446.16616</v>
      </c>
      <c r="AQ501" s="13" t="n">
        <v>5030.026867</v>
      </c>
      <c r="AR501" s="13" t="n">
        <v>4405.999416</v>
      </c>
      <c r="AS501" s="13" t="n">
        <v>3725.220537</v>
      </c>
      <c r="AT501" s="13" t="n">
        <v>3687.412104</v>
      </c>
    </row>
    <row r="502" customFormat="false" ht="15" hidden="false" customHeight="true" outlineLevel="0" collapsed="false">
      <c r="A502" s="12" t="s">
        <v>1559</v>
      </c>
      <c r="B502" s="12" t="s">
        <v>1560</v>
      </c>
      <c r="C502" s="12" t="n">
        <v>1</v>
      </c>
      <c r="D502" s="12" t="s">
        <v>1561</v>
      </c>
      <c r="E502" s="13" t="n">
        <v>0</v>
      </c>
      <c r="F502" s="13" t="n">
        <v>0</v>
      </c>
      <c r="G502" s="13" t="n">
        <v>0</v>
      </c>
      <c r="H502" s="13" t="n">
        <v>0</v>
      </c>
      <c r="I502" s="13" t="n">
        <v>0</v>
      </c>
      <c r="J502" s="13" t="n">
        <v>0</v>
      </c>
      <c r="K502" s="13" t="n">
        <v>0</v>
      </c>
      <c r="L502" s="13" t="n">
        <v>0</v>
      </c>
      <c r="M502" s="13" t="n">
        <v>0</v>
      </c>
      <c r="N502" s="13" t="n">
        <v>0</v>
      </c>
      <c r="O502" s="13" t="n">
        <v>1506.551645</v>
      </c>
      <c r="P502" s="13" t="n">
        <v>1506.574615</v>
      </c>
      <c r="Q502" s="13" t="n">
        <v>1506.606075</v>
      </c>
      <c r="R502" s="13" t="n">
        <v>1575.068802</v>
      </c>
      <c r="S502" s="13" t="n">
        <v>1574.98641</v>
      </c>
      <c r="T502" s="13" t="n">
        <v>1506.624</v>
      </c>
      <c r="U502" s="13" t="n">
        <v>1438.148546</v>
      </c>
      <c r="V502" s="13" t="n">
        <v>1506.497772</v>
      </c>
      <c r="W502" s="13" t="n">
        <v>1506.59464</v>
      </c>
      <c r="X502" s="13" t="n">
        <v>1438.057096</v>
      </c>
      <c r="Y502" s="13" t="n">
        <v>0</v>
      </c>
      <c r="Z502" s="13" t="n">
        <v>1438.128736</v>
      </c>
      <c r="AA502" s="13" t="n">
        <v>1506.59238</v>
      </c>
      <c r="AB502" s="13" t="n">
        <v>1643.519188</v>
      </c>
      <c r="AC502" s="13" t="n">
        <v>1712.7176</v>
      </c>
      <c r="AD502" s="13" t="n">
        <v>1641.3735</v>
      </c>
      <c r="AE502" s="13" t="n">
        <v>1712.5668</v>
      </c>
      <c r="AF502" s="13" t="n">
        <v>1569.9244</v>
      </c>
      <c r="AG502" s="13" t="n">
        <v>1569.8923</v>
      </c>
      <c r="AH502" s="13" t="n">
        <v>1641.29535</v>
      </c>
      <c r="AI502" s="13" t="n">
        <v>1712.59467</v>
      </c>
      <c r="AJ502" s="13" t="n">
        <v>1712.55132</v>
      </c>
      <c r="AK502" s="13" t="n">
        <v>1569.9651</v>
      </c>
      <c r="AL502" s="13" t="n">
        <v>1498.496616</v>
      </c>
      <c r="AM502" s="13" t="n">
        <v>1284.397866</v>
      </c>
      <c r="AN502" s="13" t="n">
        <v>1284.547119</v>
      </c>
      <c r="AO502" s="13" t="n">
        <v>1331.80545</v>
      </c>
      <c r="AP502" s="13" t="n">
        <v>1183.7616</v>
      </c>
      <c r="AQ502" s="13" t="n">
        <v>1183.855274</v>
      </c>
      <c r="AR502" s="13" t="n">
        <v>1183.774648</v>
      </c>
      <c r="AS502" s="13" t="n">
        <v>1183.810383</v>
      </c>
      <c r="AT502" s="13" t="n">
        <v>1183.808224</v>
      </c>
    </row>
    <row r="503" customFormat="false" ht="15" hidden="false" customHeight="true" outlineLevel="0" collapsed="false">
      <c r="A503" s="12" t="s">
        <v>1562</v>
      </c>
      <c r="B503" s="12" t="s">
        <v>1563</v>
      </c>
      <c r="C503" s="12" t="n">
        <v>1</v>
      </c>
      <c r="D503" s="12" t="s">
        <v>1564</v>
      </c>
      <c r="E503" s="13" t="n">
        <v>0</v>
      </c>
      <c r="F503" s="13" t="n">
        <v>0</v>
      </c>
      <c r="G503" s="13" t="n">
        <v>0</v>
      </c>
      <c r="H503" s="13" t="n">
        <v>0</v>
      </c>
      <c r="I503" s="13" t="n">
        <v>0</v>
      </c>
      <c r="J503" s="13" t="n">
        <v>0</v>
      </c>
      <c r="K503" s="13" t="n">
        <v>0</v>
      </c>
      <c r="L503" s="13" t="n">
        <v>0</v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0</v>
      </c>
      <c r="W503" s="13" t="n">
        <v>0</v>
      </c>
      <c r="X503" s="13" t="n">
        <v>0</v>
      </c>
      <c r="Y503" s="13" t="n">
        <v>0</v>
      </c>
      <c r="Z503" s="13" t="n">
        <v>0</v>
      </c>
      <c r="AA503" s="13" t="n">
        <v>0</v>
      </c>
      <c r="AB503" s="13" t="n">
        <v>0</v>
      </c>
      <c r="AC503" s="13" t="n">
        <v>0</v>
      </c>
      <c r="AD503" s="13" t="n">
        <v>0</v>
      </c>
      <c r="AE503" s="13" t="n">
        <v>0</v>
      </c>
      <c r="AF503" s="13" t="n">
        <v>0</v>
      </c>
      <c r="AG503" s="13" t="n">
        <v>0</v>
      </c>
      <c r="AH503" s="13" t="n">
        <v>0</v>
      </c>
      <c r="AI503" s="13" t="n">
        <v>0</v>
      </c>
      <c r="AJ503" s="13" t="n">
        <v>0</v>
      </c>
      <c r="AK503" s="13" t="n">
        <v>0</v>
      </c>
      <c r="AL503" s="13" t="n">
        <v>0</v>
      </c>
      <c r="AM503" s="13" t="n">
        <v>0</v>
      </c>
      <c r="AN503" s="13" t="n">
        <v>0</v>
      </c>
      <c r="AO503" s="13" t="n">
        <v>0</v>
      </c>
      <c r="AP503" s="13" t="n">
        <v>1275.04584</v>
      </c>
      <c r="AQ503" s="13" t="n">
        <v>1350.080288</v>
      </c>
      <c r="AR503" s="13" t="n">
        <v>1350.078496</v>
      </c>
      <c r="AS503" s="13" t="n">
        <v>1424.934504</v>
      </c>
      <c r="AT503" s="13" t="n">
        <v>1574.968984</v>
      </c>
    </row>
    <row r="504" customFormat="false" ht="15" hidden="false" customHeight="true" outlineLevel="0" collapsed="false">
      <c r="A504" s="12" t="s">
        <v>1565</v>
      </c>
      <c r="B504" s="12" t="s">
        <v>1566</v>
      </c>
      <c r="C504" s="12" t="n">
        <v>1</v>
      </c>
      <c r="D504" s="12" t="s">
        <v>1567</v>
      </c>
      <c r="E504" s="13" t="n">
        <v>0</v>
      </c>
      <c r="F504" s="13" t="n">
        <v>0</v>
      </c>
      <c r="G504" s="13" t="n">
        <v>0</v>
      </c>
      <c r="H504" s="13" t="n">
        <v>0</v>
      </c>
      <c r="I504" s="13" t="n">
        <v>0</v>
      </c>
      <c r="J504" s="13" t="n">
        <v>0</v>
      </c>
      <c r="K504" s="13" t="n">
        <v>0</v>
      </c>
      <c r="L504" s="13" t="n">
        <v>0</v>
      </c>
      <c r="M504" s="13" t="n">
        <v>0</v>
      </c>
      <c r="N504" s="13" t="n">
        <v>0</v>
      </c>
      <c r="O504" s="13" t="n">
        <v>0</v>
      </c>
      <c r="P504" s="13" t="n">
        <v>0</v>
      </c>
      <c r="Q504" s="13" t="n">
        <v>0</v>
      </c>
      <c r="R504" s="13" t="n">
        <v>0</v>
      </c>
      <c r="S504" s="13" t="n">
        <v>0</v>
      </c>
      <c r="T504" s="13" t="n">
        <v>0</v>
      </c>
      <c r="U504" s="13" t="n">
        <v>0</v>
      </c>
      <c r="V504" s="13" t="n">
        <v>0</v>
      </c>
      <c r="W504" s="13" t="n">
        <v>0</v>
      </c>
      <c r="X504" s="13" t="n">
        <v>0</v>
      </c>
      <c r="Y504" s="13" t="n">
        <v>0</v>
      </c>
      <c r="Z504" s="13" t="n">
        <v>0</v>
      </c>
      <c r="AA504" s="13" t="n">
        <v>0</v>
      </c>
      <c r="AB504" s="13" t="n">
        <v>0</v>
      </c>
      <c r="AC504" s="13" t="n">
        <v>0</v>
      </c>
      <c r="AD504" s="13" t="n">
        <v>0</v>
      </c>
      <c r="AE504" s="13" t="n">
        <v>0</v>
      </c>
      <c r="AF504" s="13" t="n">
        <v>0</v>
      </c>
      <c r="AG504" s="13" t="n">
        <v>0</v>
      </c>
      <c r="AH504" s="13" t="n">
        <v>0</v>
      </c>
      <c r="AI504" s="13" t="n">
        <v>0</v>
      </c>
      <c r="AJ504" s="13" t="n">
        <v>0</v>
      </c>
      <c r="AK504" s="13" t="n">
        <v>0</v>
      </c>
      <c r="AL504" s="13" t="n">
        <v>3085.03175</v>
      </c>
      <c r="AM504" s="13" t="n">
        <v>3072.50275</v>
      </c>
      <c r="AN504" s="13" t="n">
        <v>3012.20275</v>
      </c>
      <c r="AO504" s="13" t="n">
        <v>2844.633</v>
      </c>
      <c r="AP504" s="13" t="n">
        <v>2847.24</v>
      </c>
      <c r="AQ504" s="13" t="n">
        <v>2987.7045</v>
      </c>
      <c r="AR504" s="13" t="n">
        <v>2894.529</v>
      </c>
      <c r="AS504" s="13" t="n">
        <v>2856.1005</v>
      </c>
      <c r="AT504" s="13" t="n">
        <v>2887.764</v>
      </c>
    </row>
    <row r="505" customFormat="false" ht="15" hidden="false" customHeight="true" outlineLevel="0" collapsed="false">
      <c r="A505" s="12" t="s">
        <v>1568</v>
      </c>
      <c r="B505" s="12" t="s">
        <v>1569</v>
      </c>
      <c r="C505" s="12" t="n">
        <v>1</v>
      </c>
      <c r="D505" s="12" t="s">
        <v>1570</v>
      </c>
      <c r="E505" s="13" t="n">
        <v>0</v>
      </c>
      <c r="F505" s="13" t="n">
        <v>0</v>
      </c>
      <c r="G505" s="13" t="n">
        <v>0</v>
      </c>
      <c r="H505" s="13" t="n">
        <v>0</v>
      </c>
      <c r="I505" s="13" t="n">
        <v>0</v>
      </c>
      <c r="J505" s="13" t="n">
        <v>0</v>
      </c>
      <c r="K505" s="13" t="n">
        <v>0</v>
      </c>
      <c r="L505" s="13" t="n">
        <v>1879.917186</v>
      </c>
      <c r="M505" s="13" t="n">
        <v>2079.927</v>
      </c>
      <c r="N505" s="13" t="n">
        <v>1959.994944</v>
      </c>
      <c r="O505" s="13" t="n">
        <v>2039.996545</v>
      </c>
      <c r="P505" s="13" t="n">
        <v>1959.985055</v>
      </c>
      <c r="Q505" s="13" t="n">
        <v>2142.041868</v>
      </c>
      <c r="R505" s="13" t="n">
        <v>2352.004737</v>
      </c>
      <c r="S505" s="13" t="n">
        <v>5003.997465</v>
      </c>
      <c r="T505" s="13" t="n">
        <v>2897.99552</v>
      </c>
      <c r="U505" s="13" t="n">
        <v>2981.928611</v>
      </c>
      <c r="V505" s="13" t="n">
        <v>0</v>
      </c>
      <c r="W505" s="13" t="n">
        <v>0</v>
      </c>
      <c r="X505" s="13" t="n">
        <v>0</v>
      </c>
      <c r="Y505" s="13" t="n">
        <v>0</v>
      </c>
      <c r="Z505" s="13" t="n">
        <v>0</v>
      </c>
      <c r="AA505" s="13" t="n">
        <v>0</v>
      </c>
      <c r="AB505" s="13" t="n">
        <v>0</v>
      </c>
      <c r="AC505" s="13" t="n">
        <v>0</v>
      </c>
      <c r="AD505" s="13" t="n">
        <v>0</v>
      </c>
      <c r="AE505" s="13" t="n">
        <v>0</v>
      </c>
      <c r="AF505" s="13" t="n">
        <v>0</v>
      </c>
      <c r="AG505" s="13" t="n">
        <v>0</v>
      </c>
      <c r="AH505" s="13" t="n">
        <v>0</v>
      </c>
      <c r="AI505" s="13" t="n">
        <v>0</v>
      </c>
      <c r="AJ505" s="13" t="n">
        <v>0</v>
      </c>
      <c r="AK505" s="13" t="n">
        <v>0</v>
      </c>
      <c r="AL505" s="13" t="n">
        <v>0</v>
      </c>
      <c r="AM505" s="13" t="n">
        <v>0</v>
      </c>
      <c r="AN505" s="13" t="n">
        <v>0</v>
      </c>
      <c r="AO505" s="13" t="n">
        <v>0</v>
      </c>
      <c r="AP505" s="13" t="n">
        <v>0</v>
      </c>
      <c r="AQ505" s="13" t="n">
        <v>0</v>
      </c>
      <c r="AR505" s="13" t="n">
        <v>0</v>
      </c>
      <c r="AS505" s="13" t="n">
        <v>0</v>
      </c>
      <c r="AT505" s="13" t="n">
        <v>0</v>
      </c>
    </row>
    <row r="506" customFormat="false" ht="15" hidden="false" customHeight="true" outlineLevel="0" collapsed="false">
      <c r="A506" s="12" t="s">
        <v>1571</v>
      </c>
      <c r="B506" s="12" t="s">
        <v>1572</v>
      </c>
      <c r="C506" s="12" t="n">
        <v>1</v>
      </c>
      <c r="D506" s="12" t="s">
        <v>1573</v>
      </c>
      <c r="E506" s="13" t="n">
        <v>0</v>
      </c>
      <c r="F506" s="13" t="n">
        <v>0</v>
      </c>
      <c r="G506" s="13" t="n">
        <v>0</v>
      </c>
      <c r="H506" s="13" t="n">
        <v>0</v>
      </c>
      <c r="I506" s="13" t="n">
        <v>0</v>
      </c>
      <c r="J506" s="13" t="n">
        <v>0</v>
      </c>
      <c r="K506" s="13" t="n">
        <v>0</v>
      </c>
      <c r="L506" s="13" t="n">
        <v>0</v>
      </c>
      <c r="M506" s="13" t="n">
        <v>0</v>
      </c>
      <c r="N506" s="13" t="n">
        <v>0</v>
      </c>
      <c r="O506" s="13" t="n">
        <v>0</v>
      </c>
      <c r="P506" s="13" t="n">
        <v>0</v>
      </c>
      <c r="Q506" s="13" t="n">
        <v>0</v>
      </c>
      <c r="R506" s="13" t="n">
        <v>0</v>
      </c>
      <c r="S506" s="13" t="n">
        <v>0</v>
      </c>
      <c r="T506" s="13" t="n">
        <v>0</v>
      </c>
      <c r="U506" s="13" t="n">
        <v>0</v>
      </c>
      <c r="V506" s="13" t="n">
        <v>0</v>
      </c>
      <c r="W506" s="13" t="n">
        <v>0</v>
      </c>
      <c r="X506" s="13" t="n">
        <v>0</v>
      </c>
      <c r="Y506" s="13" t="n">
        <v>0</v>
      </c>
      <c r="Z506" s="13" t="n">
        <v>0</v>
      </c>
      <c r="AA506" s="13" t="n">
        <v>0</v>
      </c>
      <c r="AB506" s="13" t="n">
        <v>0</v>
      </c>
      <c r="AC506" s="13" t="n">
        <v>0</v>
      </c>
      <c r="AD506" s="13" t="n">
        <v>0</v>
      </c>
      <c r="AE506" s="13" t="n">
        <v>11327.02704</v>
      </c>
      <c r="AF506" s="13" t="n">
        <v>8553.9146</v>
      </c>
      <c r="AG506" s="13" t="n">
        <v>11091.91146</v>
      </c>
      <c r="AH506" s="13" t="n">
        <v>11185.9632</v>
      </c>
      <c r="AI506" s="13" t="n">
        <v>9587.97376</v>
      </c>
      <c r="AJ506" s="13" t="n">
        <v>11421.04725</v>
      </c>
      <c r="AK506" s="13" t="n">
        <v>11186.0472</v>
      </c>
      <c r="AL506" s="13" t="n">
        <v>11139.082699</v>
      </c>
      <c r="AM506" s="13" t="n">
        <v>11561.965423</v>
      </c>
      <c r="AN506" s="13" t="n">
        <v>11515.066656</v>
      </c>
      <c r="AO506" s="13" t="n">
        <v>10998.040786</v>
      </c>
      <c r="AP506" s="13" t="n">
        <v>10669.03968</v>
      </c>
      <c r="AQ506" s="13" t="n">
        <v>14053.07553</v>
      </c>
      <c r="AR506" s="13" t="n">
        <v>14241.08268</v>
      </c>
      <c r="AS506" s="13" t="n">
        <v>15180.953094</v>
      </c>
      <c r="AT506" s="13" t="n">
        <v>15133.983552</v>
      </c>
    </row>
    <row r="507" customFormat="false" ht="15" hidden="false" customHeight="true" outlineLevel="0" collapsed="false">
      <c r="A507" s="12" t="s">
        <v>1574</v>
      </c>
      <c r="B507" s="12" t="s">
        <v>1575</v>
      </c>
      <c r="C507" s="12" t="n">
        <v>1</v>
      </c>
      <c r="D507" s="12" t="s">
        <v>1576</v>
      </c>
      <c r="E507" s="13" t="n">
        <v>5409.92466</v>
      </c>
      <c r="F507" s="13" t="n">
        <v>5341.35465</v>
      </c>
      <c r="G507" s="13" t="n">
        <v>5409.998667</v>
      </c>
      <c r="H507" s="13" t="n">
        <v>5341.439457</v>
      </c>
      <c r="I507" s="13" t="n">
        <v>5409.926487</v>
      </c>
      <c r="J507" s="13" t="n">
        <v>5615.37969</v>
      </c>
      <c r="K507" s="13" t="n">
        <v>5615.312832</v>
      </c>
      <c r="L507" s="13" t="n">
        <v>5478.319154</v>
      </c>
      <c r="M507" s="13" t="n">
        <v>5546.883285</v>
      </c>
      <c r="N507" s="13" t="n">
        <v>2541.958782</v>
      </c>
      <c r="O507" s="13" t="n">
        <v>2480.002548</v>
      </c>
      <c r="P507" s="13" t="n">
        <v>2480.053597</v>
      </c>
      <c r="Q507" s="13" t="n">
        <v>2541.914865</v>
      </c>
      <c r="R507" s="13" t="n">
        <v>2417.988735</v>
      </c>
      <c r="S507" s="13" t="n">
        <v>2418.055695</v>
      </c>
      <c r="T507" s="13" t="n">
        <v>2449.07264</v>
      </c>
      <c r="U507" s="13" t="n">
        <v>2603.994974</v>
      </c>
      <c r="V507" s="13" t="n">
        <v>2727.982452</v>
      </c>
      <c r="W507" s="13" t="n">
        <v>2697.057536</v>
      </c>
      <c r="X507" s="13" t="n">
        <v>2665.918312</v>
      </c>
      <c r="Y507" s="13" t="n">
        <v>2666.067708</v>
      </c>
      <c r="Z507" s="13" t="n">
        <v>2945.016624</v>
      </c>
      <c r="AA507" s="13" t="n">
        <v>2851.95366</v>
      </c>
      <c r="AB507" s="13" t="n">
        <v>2851.977276</v>
      </c>
      <c r="AC507" s="13" t="n">
        <v>3166.3148</v>
      </c>
      <c r="AD507" s="13" t="n">
        <v>3004.7708</v>
      </c>
      <c r="AE507" s="13" t="n">
        <v>3004.85052</v>
      </c>
      <c r="AF507" s="13" t="n">
        <v>2972.4398</v>
      </c>
      <c r="AG507" s="13" t="n">
        <v>3295.71244</v>
      </c>
      <c r="AH507" s="13" t="n">
        <v>3360.20805</v>
      </c>
      <c r="AI507" s="13" t="n">
        <v>3037.21926</v>
      </c>
      <c r="AJ507" s="13" t="n">
        <v>3198.63879</v>
      </c>
      <c r="AK507" s="13" t="n">
        <v>3295.67925</v>
      </c>
      <c r="AL507" s="13" t="n">
        <v>2552.564479</v>
      </c>
      <c r="AM507" s="13" t="n">
        <v>2778.643084</v>
      </c>
      <c r="AN507" s="13" t="n">
        <v>2614.412154</v>
      </c>
      <c r="AO507" s="13" t="n">
        <v>2551.5496</v>
      </c>
      <c r="AP507" s="13" t="n">
        <v>2881.06176</v>
      </c>
      <c r="AQ507" s="13" t="n">
        <v>2780.556988</v>
      </c>
      <c r="AR507" s="13" t="n">
        <v>2780.5021</v>
      </c>
      <c r="AS507" s="13" t="n">
        <v>2713.468572</v>
      </c>
      <c r="AT507" s="13" t="n">
        <v>8040.060024</v>
      </c>
    </row>
    <row r="508" customFormat="false" ht="15" hidden="false" customHeight="true" outlineLevel="0" collapsed="false">
      <c r="A508" s="12" t="s">
        <v>1577</v>
      </c>
      <c r="B508" s="12" t="s">
        <v>888</v>
      </c>
      <c r="C508" s="12" t="n">
        <v>1</v>
      </c>
      <c r="D508" s="12" t="s">
        <v>1578</v>
      </c>
      <c r="E508" s="13" t="n">
        <v>0</v>
      </c>
      <c r="F508" s="13" t="n">
        <v>0</v>
      </c>
      <c r="G508" s="13" t="n">
        <v>0</v>
      </c>
      <c r="H508" s="13" t="n">
        <v>0</v>
      </c>
      <c r="I508" s="13" t="n">
        <v>24201.595733</v>
      </c>
      <c r="J508" s="13" t="n">
        <v>20344.247255</v>
      </c>
      <c r="K508" s="13" t="n">
        <v>0</v>
      </c>
      <c r="L508" s="13" t="n">
        <v>0</v>
      </c>
      <c r="M508" s="13" t="n">
        <v>0</v>
      </c>
      <c r="N508" s="13" t="n">
        <v>0</v>
      </c>
      <c r="O508" s="13" t="n">
        <v>0</v>
      </c>
      <c r="P508" s="13" t="n">
        <v>0</v>
      </c>
      <c r="Q508" s="13" t="n">
        <v>0</v>
      </c>
      <c r="R508" s="13" t="n">
        <v>0</v>
      </c>
      <c r="S508" s="13" t="n">
        <v>0</v>
      </c>
      <c r="T508" s="13" t="n">
        <v>0</v>
      </c>
      <c r="U508" s="13" t="n">
        <v>0</v>
      </c>
      <c r="V508" s="13" t="n">
        <v>0</v>
      </c>
      <c r="W508" s="13" t="n">
        <v>0</v>
      </c>
      <c r="X508" s="13" t="n">
        <v>0</v>
      </c>
      <c r="Y508" s="13" t="n">
        <v>0</v>
      </c>
      <c r="Z508" s="13" t="n">
        <v>0</v>
      </c>
      <c r="AA508" s="13" t="n">
        <v>0</v>
      </c>
      <c r="AB508" s="13" t="n">
        <v>0</v>
      </c>
      <c r="AC508" s="13" t="n">
        <v>0</v>
      </c>
      <c r="AD508" s="13" t="n">
        <v>0</v>
      </c>
      <c r="AE508" s="13" t="n">
        <v>0</v>
      </c>
      <c r="AF508" s="13" t="n">
        <v>0</v>
      </c>
      <c r="AG508" s="13" t="n">
        <v>0</v>
      </c>
      <c r="AH508" s="13" t="n">
        <v>0</v>
      </c>
      <c r="AI508" s="13" t="n">
        <v>0</v>
      </c>
      <c r="AJ508" s="13" t="n">
        <v>0</v>
      </c>
      <c r="AK508" s="13" t="n">
        <v>0</v>
      </c>
      <c r="AL508" s="13" t="n">
        <v>0</v>
      </c>
      <c r="AM508" s="13" t="n">
        <v>0</v>
      </c>
      <c r="AN508" s="13" t="n">
        <v>0</v>
      </c>
      <c r="AO508" s="13" t="n">
        <v>0</v>
      </c>
      <c r="AP508" s="13" t="n">
        <v>0</v>
      </c>
      <c r="AQ508" s="13" t="n">
        <v>0</v>
      </c>
      <c r="AR508" s="13" t="n">
        <v>0</v>
      </c>
      <c r="AS508" s="13" t="n">
        <v>0</v>
      </c>
      <c r="AT508" s="13" t="n">
        <v>0</v>
      </c>
    </row>
    <row r="509" customFormat="false" ht="15" hidden="false" customHeight="true" outlineLevel="0" collapsed="false">
      <c r="A509" s="12" t="s">
        <v>1579</v>
      </c>
      <c r="B509" s="12" t="s">
        <v>1580</v>
      </c>
      <c r="C509" s="12" t="n">
        <v>1</v>
      </c>
      <c r="D509" s="12" t="s">
        <v>1581</v>
      </c>
      <c r="E509" s="13" t="n">
        <v>0</v>
      </c>
      <c r="F509" s="13" t="n">
        <v>0</v>
      </c>
      <c r="G509" s="13" t="n">
        <v>0</v>
      </c>
      <c r="H509" s="13" t="n">
        <v>0</v>
      </c>
      <c r="I509" s="13" t="n">
        <v>0</v>
      </c>
      <c r="J509" s="13" t="n">
        <v>0</v>
      </c>
      <c r="K509" s="13" t="n">
        <v>0</v>
      </c>
      <c r="L509" s="13" t="n">
        <v>0</v>
      </c>
      <c r="M509" s="13" t="n">
        <v>0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0</v>
      </c>
      <c r="X509" s="13" t="n">
        <v>818.97074</v>
      </c>
      <c r="Y509" s="13" t="n">
        <v>818.99584</v>
      </c>
      <c r="Z509" s="13" t="n">
        <v>819.095904</v>
      </c>
      <c r="AA509" s="13" t="n">
        <v>819.01317</v>
      </c>
      <c r="AB509" s="13" t="n">
        <v>818.926638</v>
      </c>
      <c r="AC509" s="13" t="n">
        <v>818.928</v>
      </c>
      <c r="AD509" s="13" t="n">
        <v>818.9417</v>
      </c>
      <c r="AE509" s="13" t="n">
        <v>818.92944</v>
      </c>
      <c r="AF509" s="13" t="n">
        <v>819.0314</v>
      </c>
      <c r="AG509" s="13" t="n">
        <v>819.00712</v>
      </c>
      <c r="AH509" s="13" t="n">
        <v>819.04245</v>
      </c>
      <c r="AI509" s="13" t="n">
        <v>818.98529</v>
      </c>
      <c r="AJ509" s="13" t="n">
        <v>2708.99226</v>
      </c>
      <c r="AK509" s="13" t="n">
        <v>2614.5294</v>
      </c>
      <c r="AL509" s="13" t="n">
        <v>2110.530079</v>
      </c>
      <c r="AM509" s="13" t="n">
        <v>1889.910199</v>
      </c>
      <c r="AN509" s="13" t="n">
        <v>1543.506639</v>
      </c>
      <c r="AO509" s="13" t="n">
        <v>1012.516946</v>
      </c>
      <c r="AP509" s="13" t="n">
        <v>1012.40952</v>
      </c>
      <c r="AQ509" s="13" t="n">
        <v>1012.379143</v>
      </c>
      <c r="AR509" s="13" t="n">
        <v>1045.188108</v>
      </c>
      <c r="AS509" s="13" t="n">
        <v>947.186784</v>
      </c>
      <c r="AT509" s="13" t="n">
        <v>849.177632</v>
      </c>
    </row>
    <row r="510" customFormat="false" ht="15" hidden="false" customHeight="true" outlineLevel="0" collapsed="false">
      <c r="A510" s="12" t="s">
        <v>1582</v>
      </c>
      <c r="B510" s="12" t="s">
        <v>1583</v>
      </c>
      <c r="C510" s="12" t="n">
        <v>1</v>
      </c>
      <c r="D510" s="12" t="s">
        <v>1584</v>
      </c>
      <c r="E510" s="13" t="n">
        <v>0</v>
      </c>
      <c r="F510" s="13" t="n">
        <v>0</v>
      </c>
      <c r="G510" s="13" t="n">
        <v>0</v>
      </c>
      <c r="H510" s="13" t="n">
        <v>0</v>
      </c>
      <c r="I510" s="13" t="n">
        <v>0</v>
      </c>
      <c r="J510" s="13" t="n">
        <v>0</v>
      </c>
      <c r="K510" s="13" t="n">
        <v>0</v>
      </c>
      <c r="L510" s="13" t="n">
        <v>0</v>
      </c>
      <c r="M510" s="13" t="n">
        <v>0</v>
      </c>
      <c r="N510" s="13" t="n">
        <v>0</v>
      </c>
      <c r="O510" s="13" t="n">
        <v>0</v>
      </c>
      <c r="P510" s="13" t="n">
        <v>0</v>
      </c>
      <c r="Q510" s="13" t="n">
        <v>1237.734837</v>
      </c>
      <c r="R510" s="13" t="n">
        <v>0</v>
      </c>
      <c r="S510" s="13" t="n">
        <v>0</v>
      </c>
      <c r="T510" s="13" t="n">
        <v>0</v>
      </c>
      <c r="U510" s="13" t="n">
        <v>0</v>
      </c>
      <c r="V510" s="13" t="n">
        <v>0</v>
      </c>
      <c r="W510" s="13" t="n">
        <v>0</v>
      </c>
      <c r="X510" s="13" t="n">
        <v>0</v>
      </c>
      <c r="Y510" s="13" t="n">
        <v>1320.04017</v>
      </c>
      <c r="Z510" s="13" t="n">
        <v>1140.038768</v>
      </c>
      <c r="AA510" s="13" t="n">
        <v>1140.04674</v>
      </c>
      <c r="AB510" s="13" t="n">
        <v>1140.062436</v>
      </c>
      <c r="AC510" s="13" t="n">
        <v>0</v>
      </c>
      <c r="AD510" s="13" t="n">
        <v>1237.7537</v>
      </c>
      <c r="AE510" s="13" t="n">
        <v>1237.78368</v>
      </c>
      <c r="AF510" s="13" t="n">
        <v>937.882</v>
      </c>
      <c r="AG510" s="13" t="n">
        <v>1250.31742</v>
      </c>
      <c r="AH510" s="13" t="n">
        <v>1250.37585</v>
      </c>
      <c r="AI510" s="13" t="n">
        <v>1250.37644</v>
      </c>
      <c r="AJ510" s="13" t="n">
        <v>1250.49051</v>
      </c>
      <c r="AK510" s="13" t="n">
        <v>1250.3952</v>
      </c>
      <c r="AL510" s="13" t="n">
        <v>1250.404809</v>
      </c>
      <c r="AM510" s="13" t="n">
        <v>1250.462761</v>
      </c>
      <c r="AN510" s="13" t="n">
        <v>1250.378849</v>
      </c>
      <c r="AO510" s="13" t="n">
        <v>1296.635442</v>
      </c>
      <c r="AP510" s="13" t="n">
        <v>1296.61584</v>
      </c>
      <c r="AQ510" s="13" t="n">
        <v>1296.663753</v>
      </c>
      <c r="AR510" s="13" t="n">
        <v>1296.573566</v>
      </c>
      <c r="AS510" s="13" t="n">
        <v>1296.669627</v>
      </c>
      <c r="AT510" s="13" t="n">
        <v>1296.518528</v>
      </c>
    </row>
    <row r="511" customFormat="false" ht="15" hidden="false" customHeight="true" outlineLevel="0" collapsed="false">
      <c r="A511" s="12" t="s">
        <v>1585</v>
      </c>
      <c r="B511" s="12" t="s">
        <v>1586</v>
      </c>
      <c r="C511" s="12" t="n">
        <v>1</v>
      </c>
      <c r="D511" s="12" t="s">
        <v>1587</v>
      </c>
      <c r="E511" s="13" t="n">
        <v>0</v>
      </c>
      <c r="F511" s="13" t="n">
        <v>0</v>
      </c>
      <c r="G511" s="13" t="n">
        <v>0</v>
      </c>
      <c r="H511" s="13" t="n">
        <v>0</v>
      </c>
      <c r="I511" s="13" t="n">
        <v>0</v>
      </c>
      <c r="J511" s="13" t="n">
        <v>0</v>
      </c>
      <c r="K511" s="13" t="n">
        <v>0</v>
      </c>
      <c r="L511" s="13" t="n">
        <v>737.498244</v>
      </c>
      <c r="M511" s="13" t="n">
        <v>737.49276</v>
      </c>
      <c r="N511" s="13" t="n">
        <v>737.527596</v>
      </c>
      <c r="O511" s="13" t="n">
        <v>737.530594</v>
      </c>
      <c r="P511" s="13" t="n">
        <v>737.468697</v>
      </c>
      <c r="Q511" s="13" t="n">
        <v>737.421435</v>
      </c>
      <c r="R511" s="13" t="n">
        <v>737.448102</v>
      </c>
      <c r="S511" s="13" t="n">
        <v>737.540895</v>
      </c>
      <c r="T511" s="13" t="n">
        <v>737.47968</v>
      </c>
      <c r="U511" s="13" t="n">
        <v>737.55555</v>
      </c>
      <c r="V511" s="13" t="n">
        <v>737.496708</v>
      </c>
      <c r="W511" s="13" t="n">
        <v>737.453232</v>
      </c>
      <c r="X511" s="13" t="n">
        <v>0</v>
      </c>
      <c r="Y511" s="13" t="n">
        <v>0</v>
      </c>
      <c r="Z511" s="13" t="n">
        <v>0</v>
      </c>
      <c r="AA511" s="13" t="n">
        <v>0</v>
      </c>
      <c r="AB511" s="13" t="n">
        <v>0</v>
      </c>
      <c r="AC511" s="13" t="n">
        <v>0</v>
      </c>
      <c r="AD511" s="13" t="n">
        <v>0</v>
      </c>
      <c r="AE511" s="13" t="n">
        <v>0</v>
      </c>
      <c r="AF511" s="13" t="n">
        <v>0</v>
      </c>
      <c r="AG511" s="13" t="n">
        <v>0</v>
      </c>
      <c r="AH511" s="13" t="n">
        <v>0</v>
      </c>
      <c r="AI511" s="13" t="n">
        <v>0</v>
      </c>
      <c r="AJ511" s="13" t="n">
        <v>0</v>
      </c>
      <c r="AK511" s="13" t="n">
        <v>0</v>
      </c>
      <c r="AL511" s="13" t="n">
        <v>0</v>
      </c>
      <c r="AM511" s="13" t="n">
        <v>0</v>
      </c>
      <c r="AN511" s="13" t="n">
        <v>0</v>
      </c>
      <c r="AO511" s="13" t="n">
        <v>0</v>
      </c>
      <c r="AP511" s="13" t="n">
        <v>0</v>
      </c>
      <c r="AQ511" s="13" t="n">
        <v>0</v>
      </c>
      <c r="AR511" s="13" t="n">
        <v>0</v>
      </c>
      <c r="AS511" s="13" t="n">
        <v>0</v>
      </c>
      <c r="AT511" s="13" t="n">
        <v>0</v>
      </c>
    </row>
    <row r="512" customFormat="false" ht="15" hidden="false" customHeight="true" outlineLevel="0" collapsed="false">
      <c r="A512" s="12" t="s">
        <v>1588</v>
      </c>
      <c r="B512" s="12" t="s">
        <v>1589</v>
      </c>
      <c r="C512" s="12" t="n">
        <v>1</v>
      </c>
      <c r="D512" s="12" t="s">
        <v>1590</v>
      </c>
      <c r="E512" s="13" t="n">
        <v>0</v>
      </c>
      <c r="F512" s="13" t="n">
        <v>0</v>
      </c>
      <c r="G512" s="13" t="n">
        <v>0</v>
      </c>
      <c r="H512" s="13" t="n">
        <v>0</v>
      </c>
      <c r="I512" s="13" t="n">
        <v>0</v>
      </c>
      <c r="J512" s="13" t="n">
        <v>0</v>
      </c>
      <c r="K512" s="13" t="n">
        <v>0</v>
      </c>
      <c r="L512" s="13" t="n">
        <v>0</v>
      </c>
      <c r="M512" s="13" t="n">
        <v>0</v>
      </c>
      <c r="N512" s="13" t="n">
        <v>0</v>
      </c>
      <c r="O512" s="13" t="n">
        <v>0</v>
      </c>
      <c r="P512" s="13" t="n">
        <v>0</v>
      </c>
      <c r="Q512" s="13" t="n">
        <v>0</v>
      </c>
      <c r="R512" s="13" t="n">
        <v>0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0</v>
      </c>
      <c r="X512" s="13" t="n">
        <v>0</v>
      </c>
      <c r="Y512" s="13" t="n">
        <v>750.08994</v>
      </c>
      <c r="Z512" s="13" t="n">
        <v>749.935824</v>
      </c>
      <c r="AA512" s="13" t="n">
        <v>750.03075</v>
      </c>
      <c r="AB512" s="13" t="n">
        <v>749.923924</v>
      </c>
      <c r="AC512" s="13" t="n">
        <v>750.0636</v>
      </c>
      <c r="AD512" s="13" t="n">
        <v>749.9609</v>
      </c>
      <c r="AE512" s="13" t="n">
        <v>749.93688</v>
      </c>
      <c r="AF512" s="13" t="n">
        <v>750.1098</v>
      </c>
      <c r="AG512" s="13" t="n">
        <v>750.11326</v>
      </c>
      <c r="AH512" s="13" t="n">
        <v>749.92335</v>
      </c>
      <c r="AI512" s="13" t="n">
        <v>750.0003</v>
      </c>
      <c r="AJ512" s="13" t="n">
        <v>750.03336</v>
      </c>
      <c r="AK512" s="13" t="n">
        <v>749.9436</v>
      </c>
      <c r="AL512" s="13" t="n">
        <v>749.985032</v>
      </c>
      <c r="AM512" s="13" t="n">
        <v>750.057537</v>
      </c>
      <c r="AN512" s="13" t="n">
        <v>0</v>
      </c>
      <c r="AO512" s="13" t="n">
        <v>0</v>
      </c>
      <c r="AP512" s="13" t="n">
        <v>0</v>
      </c>
      <c r="AQ512" s="13" t="n">
        <v>0</v>
      </c>
      <c r="AR512" s="13" t="n">
        <v>0</v>
      </c>
      <c r="AS512" s="13" t="n">
        <v>0</v>
      </c>
      <c r="AT512" s="13" t="n">
        <v>0</v>
      </c>
    </row>
    <row r="513" customFormat="false" ht="15" hidden="false" customHeight="true" outlineLevel="0" collapsed="false">
      <c r="A513" s="12" t="s">
        <v>1591</v>
      </c>
      <c r="B513" s="12" t="s">
        <v>1592</v>
      </c>
      <c r="C513" s="12" t="n">
        <v>1</v>
      </c>
      <c r="D513" s="12" t="s">
        <v>1593</v>
      </c>
      <c r="E513" s="13" t="n">
        <v>0</v>
      </c>
      <c r="F513" s="13" t="n">
        <v>0</v>
      </c>
      <c r="G513" s="13" t="n">
        <v>0</v>
      </c>
      <c r="H513" s="13" t="n">
        <v>0</v>
      </c>
      <c r="I513" s="13" t="n">
        <v>0</v>
      </c>
      <c r="J513" s="13" t="n">
        <v>0</v>
      </c>
      <c r="K513" s="13" t="n">
        <v>0</v>
      </c>
      <c r="L513" s="13" t="n">
        <v>0</v>
      </c>
      <c r="M513" s="13" t="n">
        <v>0</v>
      </c>
      <c r="N513" s="13" t="n">
        <v>0</v>
      </c>
      <c r="O513" s="13" t="n">
        <v>0</v>
      </c>
      <c r="P513" s="13" t="n">
        <v>0</v>
      </c>
      <c r="Q513" s="13" t="n">
        <v>2240.078571</v>
      </c>
      <c r="R513" s="13" t="n">
        <v>2080.034424</v>
      </c>
      <c r="S513" s="13" t="n">
        <v>2039.939865</v>
      </c>
      <c r="T513" s="13" t="n">
        <v>1836.0384</v>
      </c>
      <c r="U513" s="13" t="n">
        <v>1835.919884</v>
      </c>
      <c r="V513" s="13" t="n">
        <v>2040.045228</v>
      </c>
      <c r="W513" s="13" t="n">
        <v>2040.04352</v>
      </c>
      <c r="X513" s="13" t="n">
        <v>2040.089824</v>
      </c>
      <c r="Y513" s="13" t="n">
        <v>2000.042966</v>
      </c>
      <c r="Z513" s="13" t="n">
        <v>2039.921664</v>
      </c>
      <c r="AA513" s="13" t="n">
        <v>2040.08364</v>
      </c>
      <c r="AB513" s="13" t="n">
        <v>2039.930674</v>
      </c>
      <c r="AC513" s="13" t="n">
        <v>2040.082</v>
      </c>
      <c r="AD513" s="13" t="n">
        <v>2040.0661</v>
      </c>
      <c r="AE513" s="13" t="n">
        <v>2039.97528</v>
      </c>
      <c r="AF513" s="13" t="n">
        <v>1984.433</v>
      </c>
      <c r="AG513" s="13" t="n">
        <v>2320.00556</v>
      </c>
      <c r="AH513" s="13" t="n">
        <v>2560.0506</v>
      </c>
      <c r="AI513" s="13" t="n">
        <v>2119.92566</v>
      </c>
      <c r="AJ513" s="13" t="n">
        <v>2119.99986</v>
      </c>
      <c r="AK513" s="13" t="n">
        <v>2119.9482</v>
      </c>
      <c r="AL513" s="13" t="n">
        <v>2119.92331</v>
      </c>
      <c r="AM513" s="13" t="n">
        <v>2119.935181</v>
      </c>
      <c r="AN513" s="13" t="n">
        <v>2120.051237</v>
      </c>
      <c r="AO513" s="13" t="n">
        <v>2200.021922</v>
      </c>
      <c r="AP513" s="13" t="n">
        <v>2199.96744</v>
      </c>
      <c r="AQ513" s="13" t="n">
        <v>2200.03695</v>
      </c>
      <c r="AR513" s="13" t="n">
        <v>2200.017466</v>
      </c>
      <c r="AS513" s="13" t="n">
        <v>2240.048277</v>
      </c>
      <c r="AT513" s="13" t="n">
        <v>2279.933432</v>
      </c>
    </row>
    <row r="514" customFormat="false" ht="15" hidden="false" customHeight="true" outlineLevel="0" collapsed="false">
      <c r="A514" s="12" t="s">
        <v>1594</v>
      </c>
      <c r="B514" s="12" t="s">
        <v>1595</v>
      </c>
      <c r="C514" s="12" t="n">
        <v>1</v>
      </c>
      <c r="D514" s="12" t="s">
        <v>1596</v>
      </c>
      <c r="E514" s="13" t="n">
        <v>1096.446456</v>
      </c>
      <c r="F514" s="13" t="n">
        <v>1173.16575</v>
      </c>
      <c r="G514" s="13" t="n">
        <v>1173.261446</v>
      </c>
      <c r="H514" s="13" t="n">
        <v>1173.237048</v>
      </c>
      <c r="I514" s="13" t="n">
        <v>1084.141562</v>
      </c>
      <c r="J514" s="13" t="n">
        <v>2346.498605</v>
      </c>
      <c r="K514" s="13" t="n">
        <v>0</v>
      </c>
      <c r="L514" s="13" t="n">
        <v>1358.443632</v>
      </c>
      <c r="M514" s="13" t="n">
        <v>1111.52709</v>
      </c>
      <c r="N514" s="13" t="n">
        <v>1111.531056</v>
      </c>
      <c r="O514" s="13" t="n">
        <v>1049.6819</v>
      </c>
      <c r="P514" s="13" t="n">
        <v>1235.0359</v>
      </c>
      <c r="Q514" s="13" t="n">
        <v>1296.797229</v>
      </c>
      <c r="R514" s="13" t="n">
        <v>1296.773598</v>
      </c>
      <c r="S514" s="13" t="n">
        <v>1235.079135</v>
      </c>
      <c r="T514" s="13" t="n">
        <v>2460.30848</v>
      </c>
      <c r="U514" s="13" t="n">
        <v>1111.419915</v>
      </c>
      <c r="V514" s="13" t="n">
        <v>1234.933908</v>
      </c>
      <c r="W514" s="13" t="n">
        <v>1235.088848</v>
      </c>
      <c r="X514" s="13" t="n">
        <v>1296.670622</v>
      </c>
      <c r="Y514" s="13" t="n">
        <v>1234.990602</v>
      </c>
      <c r="Z514" s="13" t="n">
        <v>1235.058704</v>
      </c>
      <c r="AA514" s="13" t="n">
        <v>1173.31341</v>
      </c>
      <c r="AB514" s="13" t="n">
        <v>1111.530522</v>
      </c>
      <c r="AC514" s="13" t="n">
        <v>1049.7168</v>
      </c>
      <c r="AD514" s="13" t="n">
        <v>1287.0257</v>
      </c>
      <c r="AE514" s="13" t="n">
        <v>1286.9766</v>
      </c>
      <c r="AF514" s="13" t="n">
        <v>0</v>
      </c>
      <c r="AG514" s="13" t="n">
        <v>1608.68128</v>
      </c>
      <c r="AH514" s="13" t="n">
        <v>3217.43745</v>
      </c>
      <c r="AI514" s="13" t="n">
        <v>1673.12097</v>
      </c>
      <c r="AJ514" s="13" t="n">
        <v>1994.93217</v>
      </c>
      <c r="AK514" s="13" t="n">
        <v>1801.8459</v>
      </c>
      <c r="AL514" s="13" t="n">
        <v>1866.121892</v>
      </c>
      <c r="AM514" s="13" t="n">
        <v>1801.862359</v>
      </c>
      <c r="AN514" s="13" t="n">
        <v>1737.366613</v>
      </c>
      <c r="AO514" s="13" t="n">
        <v>1934.867646</v>
      </c>
      <c r="AP514" s="13" t="n">
        <v>2201.69304</v>
      </c>
      <c r="AQ514" s="13" t="n">
        <v>2201.84768</v>
      </c>
      <c r="AR514" s="13" t="n">
        <v>2201.771726</v>
      </c>
      <c r="AS514" s="13" t="n">
        <v>2335.251627</v>
      </c>
      <c r="AT514" s="13" t="n">
        <v>2135.020184</v>
      </c>
    </row>
    <row r="515" customFormat="false" ht="15" hidden="false" customHeight="true" outlineLevel="0" collapsed="false">
      <c r="A515" s="12" t="s">
        <v>1597</v>
      </c>
      <c r="B515" s="12" t="s">
        <v>1598</v>
      </c>
      <c r="C515" s="12" t="n">
        <v>1</v>
      </c>
      <c r="D515" s="12" t="s">
        <v>1599</v>
      </c>
      <c r="E515" s="13" t="n">
        <v>0</v>
      </c>
      <c r="F515" s="13" t="n">
        <v>0</v>
      </c>
      <c r="G515" s="13" t="n">
        <v>0</v>
      </c>
      <c r="H515" s="13" t="n">
        <v>0</v>
      </c>
      <c r="I515" s="13" t="n">
        <v>0</v>
      </c>
      <c r="J515" s="13" t="n">
        <v>0</v>
      </c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  <c r="V515" s="13" t="n">
        <v>0</v>
      </c>
      <c r="W515" s="13" t="n">
        <v>0</v>
      </c>
      <c r="X515" s="13" t="n">
        <v>0</v>
      </c>
      <c r="Y515" s="13" t="n">
        <v>0</v>
      </c>
      <c r="Z515" s="13" t="n">
        <v>0</v>
      </c>
      <c r="AA515" s="13" t="n">
        <v>0</v>
      </c>
      <c r="AB515" s="13" t="n">
        <v>0</v>
      </c>
      <c r="AC515" s="13" t="n">
        <v>0</v>
      </c>
      <c r="AD515" s="13" t="n">
        <v>0</v>
      </c>
      <c r="AE515" s="13" t="n">
        <v>0</v>
      </c>
      <c r="AF515" s="13" t="n">
        <v>0</v>
      </c>
      <c r="AG515" s="13" t="n">
        <v>0</v>
      </c>
      <c r="AH515" s="13" t="n">
        <v>450.02955</v>
      </c>
      <c r="AI515" s="13" t="n">
        <v>450.00018</v>
      </c>
      <c r="AJ515" s="13" t="n">
        <v>449.94546</v>
      </c>
      <c r="AK515" s="13" t="n">
        <v>450.00285</v>
      </c>
      <c r="AL515" s="13" t="n">
        <v>449.954183</v>
      </c>
      <c r="AM515" s="13" t="n">
        <v>449.961149</v>
      </c>
      <c r="AN515" s="13" t="n">
        <v>449.942166</v>
      </c>
      <c r="AO515" s="13" t="n">
        <v>466.519812</v>
      </c>
      <c r="AP515" s="13" t="n">
        <v>466.60224</v>
      </c>
      <c r="AQ515" s="13" t="n">
        <v>466.625121</v>
      </c>
      <c r="AR515" s="13" t="n">
        <v>466.63316</v>
      </c>
      <c r="AS515" s="13" t="n">
        <v>466.669512</v>
      </c>
      <c r="AT515" s="13" t="n">
        <v>466.592656</v>
      </c>
    </row>
    <row r="516" customFormat="false" ht="15" hidden="false" customHeight="true" outlineLevel="0" collapsed="false">
      <c r="A516" s="12" t="s">
        <v>1600</v>
      </c>
      <c r="B516" s="12" t="s">
        <v>1601</v>
      </c>
      <c r="C516" s="12" t="n">
        <v>1</v>
      </c>
      <c r="D516" s="12" t="s">
        <v>1602</v>
      </c>
      <c r="E516" s="13" t="n">
        <v>2054.475468</v>
      </c>
      <c r="F516" s="13" t="n">
        <v>1917.366894</v>
      </c>
      <c r="G516" s="13" t="n">
        <v>1917.364779</v>
      </c>
      <c r="H516" s="13" t="n">
        <v>1506.592224</v>
      </c>
      <c r="I516" s="13" t="n">
        <v>1985.884348</v>
      </c>
      <c r="J516" s="13" t="n">
        <v>1985.893585</v>
      </c>
      <c r="K516" s="13" t="n">
        <v>1985.9196</v>
      </c>
      <c r="L516" s="13" t="n">
        <v>2191.394646</v>
      </c>
      <c r="M516" s="13" t="n">
        <v>2191.32648</v>
      </c>
      <c r="N516" s="13" t="n">
        <v>2122.9665</v>
      </c>
      <c r="O516" s="13" t="n">
        <v>2191.426065</v>
      </c>
      <c r="P516" s="13" t="n">
        <v>2191.427399</v>
      </c>
      <c r="Q516" s="13" t="n">
        <v>2191.317759</v>
      </c>
      <c r="R516" s="13" t="n">
        <v>2191.318317</v>
      </c>
      <c r="S516" s="13" t="n">
        <v>2259.76311</v>
      </c>
      <c r="T516" s="13" t="n">
        <v>2259.76576</v>
      </c>
      <c r="U516" s="13" t="n">
        <v>2259.802384</v>
      </c>
      <c r="V516" s="13" t="n">
        <v>0</v>
      </c>
      <c r="W516" s="13" t="n">
        <v>0</v>
      </c>
      <c r="X516" s="13" t="n">
        <v>0</v>
      </c>
      <c r="Y516" s="13" t="n">
        <v>0</v>
      </c>
      <c r="Z516" s="13" t="n">
        <v>0</v>
      </c>
      <c r="AA516" s="13" t="n">
        <v>0</v>
      </c>
      <c r="AB516" s="13" t="n">
        <v>0</v>
      </c>
      <c r="AC516" s="13" t="n">
        <v>0</v>
      </c>
      <c r="AD516" s="13" t="n">
        <v>0</v>
      </c>
      <c r="AE516" s="13" t="n">
        <v>0</v>
      </c>
      <c r="AF516" s="13" t="n">
        <v>0</v>
      </c>
      <c r="AG516" s="13" t="n">
        <v>0</v>
      </c>
      <c r="AH516" s="13" t="n">
        <v>0</v>
      </c>
      <c r="AI516" s="13" t="n">
        <v>0</v>
      </c>
      <c r="AJ516" s="13" t="n">
        <v>0</v>
      </c>
      <c r="AK516" s="13" t="n">
        <v>0</v>
      </c>
      <c r="AL516" s="13" t="n">
        <v>0</v>
      </c>
      <c r="AM516" s="13" t="n">
        <v>0</v>
      </c>
      <c r="AN516" s="13" t="n">
        <v>0</v>
      </c>
      <c r="AO516" s="13" t="n">
        <v>0</v>
      </c>
      <c r="AP516" s="13" t="n">
        <v>0</v>
      </c>
      <c r="AQ516" s="13" t="n">
        <v>0</v>
      </c>
      <c r="AR516" s="13" t="n">
        <v>0</v>
      </c>
      <c r="AS516" s="13" t="n">
        <v>0</v>
      </c>
      <c r="AT516" s="13" t="n">
        <v>0</v>
      </c>
    </row>
    <row r="517" customFormat="false" ht="15" hidden="false" customHeight="true" outlineLevel="0" collapsed="false">
      <c r="A517" s="12" t="s">
        <v>1603</v>
      </c>
      <c r="B517" s="12" t="s">
        <v>1604</v>
      </c>
      <c r="C517" s="12" t="n">
        <v>1</v>
      </c>
      <c r="D517" s="12" t="s">
        <v>1605</v>
      </c>
      <c r="E517" s="13" t="n">
        <v>0</v>
      </c>
      <c r="F517" s="13" t="n">
        <v>0</v>
      </c>
      <c r="G517" s="13" t="n">
        <v>0</v>
      </c>
      <c r="H517" s="13" t="n">
        <v>0</v>
      </c>
      <c r="I517" s="13" t="n">
        <v>0</v>
      </c>
      <c r="J517" s="13" t="n">
        <v>0</v>
      </c>
      <c r="K517" s="13" t="n">
        <v>0</v>
      </c>
      <c r="L517" s="13" t="n">
        <v>0</v>
      </c>
      <c r="M517" s="13" t="n">
        <v>0</v>
      </c>
      <c r="N517" s="13" t="n">
        <v>0</v>
      </c>
      <c r="O517" s="13" t="n">
        <v>4465.966287</v>
      </c>
      <c r="P517" s="13" t="n">
        <v>4465.923651</v>
      </c>
      <c r="Q517" s="13" t="n">
        <v>4988.025036</v>
      </c>
      <c r="R517" s="13" t="n">
        <v>4233.916224</v>
      </c>
      <c r="S517" s="13" t="n">
        <v>3827.967915</v>
      </c>
      <c r="T517" s="13" t="n">
        <v>3654.03136</v>
      </c>
      <c r="U517" s="13" t="n">
        <v>3596.049577</v>
      </c>
      <c r="V517" s="13" t="n">
        <v>3653.952588</v>
      </c>
      <c r="W517" s="13" t="n">
        <v>3364.009264</v>
      </c>
      <c r="X517" s="13" t="n">
        <v>4002.050236</v>
      </c>
      <c r="Y517" s="13" t="n">
        <v>4059.935628</v>
      </c>
      <c r="Z517" s="13" t="n">
        <v>0</v>
      </c>
      <c r="AA517" s="13" t="n">
        <v>0</v>
      </c>
      <c r="AB517" s="13" t="n">
        <v>0</v>
      </c>
      <c r="AC517" s="13" t="n">
        <v>0</v>
      </c>
      <c r="AD517" s="13" t="n">
        <v>0</v>
      </c>
      <c r="AE517" s="13" t="n">
        <v>5858.03988</v>
      </c>
      <c r="AF517" s="13" t="n">
        <v>4872.0914</v>
      </c>
      <c r="AG517" s="13" t="n">
        <v>4930.06006</v>
      </c>
      <c r="AH517" s="13" t="n">
        <v>5451.91065</v>
      </c>
      <c r="AI517" s="13" t="n">
        <v>5219.9269</v>
      </c>
      <c r="AJ517" s="13" t="n">
        <v>5220.03834</v>
      </c>
      <c r="AK517" s="13" t="n">
        <v>5220.06975</v>
      </c>
      <c r="AL517" s="13" t="n">
        <v>5567.975811</v>
      </c>
      <c r="AM517" s="13" t="n">
        <v>4176.035678</v>
      </c>
      <c r="AN517" s="13" t="n">
        <v>4176.081926</v>
      </c>
      <c r="AO517" s="13" t="n">
        <v>4330.048632</v>
      </c>
      <c r="AP517" s="13" t="n">
        <v>4330.04808</v>
      </c>
      <c r="AQ517" s="13" t="n">
        <v>0</v>
      </c>
      <c r="AR517" s="13" t="n">
        <v>0</v>
      </c>
      <c r="AS517" s="13" t="n">
        <v>0</v>
      </c>
      <c r="AT517" s="13" t="n">
        <v>0</v>
      </c>
    </row>
    <row r="518" customFormat="false" ht="15" hidden="false" customHeight="true" outlineLevel="0" collapsed="false">
      <c r="A518" s="12" t="s">
        <v>1606</v>
      </c>
      <c r="B518" s="12" t="s">
        <v>1607</v>
      </c>
      <c r="C518" s="12" t="n">
        <v>1</v>
      </c>
      <c r="D518" s="12" t="s">
        <v>1608</v>
      </c>
      <c r="E518" s="13" t="n">
        <v>0</v>
      </c>
      <c r="F518" s="13" t="n">
        <v>0</v>
      </c>
      <c r="G518" s="13" t="n">
        <v>0</v>
      </c>
      <c r="H518" s="13" t="n">
        <v>0</v>
      </c>
      <c r="I518" s="13" t="n">
        <v>0</v>
      </c>
      <c r="J518" s="13" t="n">
        <v>0</v>
      </c>
      <c r="K518" s="13" t="n">
        <v>0</v>
      </c>
      <c r="L518" s="13" t="n">
        <v>0</v>
      </c>
      <c r="M518" s="13" t="n">
        <v>0</v>
      </c>
      <c r="N518" s="13" t="n">
        <v>0</v>
      </c>
      <c r="O518" s="13" t="n">
        <v>0</v>
      </c>
      <c r="P518" s="13" t="n">
        <v>0</v>
      </c>
      <c r="Q518" s="13" t="n">
        <v>0</v>
      </c>
      <c r="R518" s="13" t="n">
        <v>0</v>
      </c>
      <c r="S518" s="13" t="n">
        <v>0</v>
      </c>
      <c r="T518" s="13" t="n">
        <v>0</v>
      </c>
      <c r="U518" s="13" t="n">
        <v>0</v>
      </c>
      <c r="V518" s="13" t="n">
        <v>0</v>
      </c>
      <c r="W518" s="13" t="n">
        <v>0</v>
      </c>
      <c r="X518" s="13" t="n">
        <v>0</v>
      </c>
      <c r="Y518" s="13" t="n">
        <v>0</v>
      </c>
      <c r="Z518" s="13" t="n">
        <v>0</v>
      </c>
      <c r="AA518" s="13" t="n">
        <v>0</v>
      </c>
      <c r="AB518" s="13" t="n">
        <v>0</v>
      </c>
      <c r="AC518" s="13" t="n">
        <v>0</v>
      </c>
      <c r="AD518" s="13" t="n">
        <v>0</v>
      </c>
      <c r="AE518" s="13" t="n">
        <v>0</v>
      </c>
      <c r="AF518" s="13" t="n">
        <v>0</v>
      </c>
      <c r="AG518" s="13" t="n">
        <v>0</v>
      </c>
      <c r="AH518" s="13" t="n">
        <v>0</v>
      </c>
      <c r="AI518" s="13" t="n">
        <v>0</v>
      </c>
      <c r="AJ518" s="13" t="n">
        <v>0</v>
      </c>
      <c r="AK518" s="13" t="n">
        <v>0</v>
      </c>
      <c r="AL518" s="13" t="n">
        <v>0</v>
      </c>
      <c r="AM518" s="13" t="n">
        <v>0</v>
      </c>
      <c r="AN518" s="13" t="n">
        <v>0</v>
      </c>
      <c r="AO518" s="13" t="n">
        <v>0</v>
      </c>
      <c r="AP518" s="13" t="n">
        <v>0</v>
      </c>
      <c r="AQ518" s="13" t="n">
        <v>0</v>
      </c>
      <c r="AR518" s="13" t="n">
        <v>0</v>
      </c>
      <c r="AS518" s="13" t="n">
        <v>0</v>
      </c>
      <c r="AT518" s="13" t="n">
        <v>0</v>
      </c>
    </row>
    <row r="519" customFormat="false" ht="15" hidden="false" customHeight="true" outlineLevel="0" collapsed="false">
      <c r="A519" s="12" t="s">
        <v>1609</v>
      </c>
      <c r="B519" s="12" t="s">
        <v>1610</v>
      </c>
      <c r="C519" s="12" t="n">
        <v>1</v>
      </c>
      <c r="D519" s="12" t="s">
        <v>1611</v>
      </c>
      <c r="E519" s="13" t="n">
        <v>0</v>
      </c>
      <c r="F519" s="13" t="n">
        <v>0</v>
      </c>
      <c r="G519" s="13" t="n">
        <v>0</v>
      </c>
      <c r="H519" s="13" t="n">
        <v>0</v>
      </c>
      <c r="I519" s="13" t="n">
        <v>0</v>
      </c>
      <c r="J519" s="13" t="n">
        <v>0</v>
      </c>
      <c r="K519" s="13" t="n">
        <v>0</v>
      </c>
      <c r="L519" s="13" t="n">
        <v>0</v>
      </c>
      <c r="M519" s="13" t="n">
        <v>0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0</v>
      </c>
      <c r="X519" s="13" t="n">
        <v>0</v>
      </c>
      <c r="Y519" s="13" t="n">
        <v>0</v>
      </c>
      <c r="Z519" s="13" t="n">
        <v>0</v>
      </c>
      <c r="AA519" s="13" t="n">
        <v>0</v>
      </c>
      <c r="AB519" s="13" t="n">
        <v>0</v>
      </c>
      <c r="AC519" s="13" t="n">
        <v>0</v>
      </c>
      <c r="AD519" s="13" t="n">
        <v>0</v>
      </c>
      <c r="AE519" s="13" t="n">
        <v>0</v>
      </c>
      <c r="AF519" s="13" t="n">
        <v>0</v>
      </c>
      <c r="AG519" s="13" t="n">
        <v>0</v>
      </c>
      <c r="AH519" s="13" t="n">
        <v>0</v>
      </c>
      <c r="AI519" s="13" t="n">
        <v>0</v>
      </c>
      <c r="AJ519" s="13" t="n">
        <v>0</v>
      </c>
      <c r="AK519" s="13" t="n">
        <v>0</v>
      </c>
      <c r="AL519" s="13" t="n">
        <v>0</v>
      </c>
      <c r="AM519" s="13" t="n">
        <v>0</v>
      </c>
      <c r="AN519" s="13" t="n">
        <v>0</v>
      </c>
      <c r="AO519" s="13" t="n">
        <v>0</v>
      </c>
      <c r="AP519" s="13" t="n">
        <v>0</v>
      </c>
      <c r="AQ519" s="13" t="n">
        <v>0</v>
      </c>
      <c r="AR519" s="13" t="n">
        <v>0</v>
      </c>
      <c r="AS519" s="13" t="n">
        <v>51499.992537</v>
      </c>
      <c r="AT519" s="13" t="n">
        <v>63449.950608</v>
      </c>
    </row>
    <row r="520" customFormat="false" ht="15" hidden="false" customHeight="true" outlineLevel="0" collapsed="false">
      <c r="A520" s="12" t="s">
        <v>1612</v>
      </c>
      <c r="B520" s="12" t="s">
        <v>1613</v>
      </c>
      <c r="C520" s="12" t="n">
        <v>1</v>
      </c>
      <c r="D520" s="12" t="s">
        <v>1614</v>
      </c>
      <c r="E520" s="13" t="n">
        <v>0</v>
      </c>
      <c r="F520" s="13" t="n">
        <v>0</v>
      </c>
      <c r="G520" s="13" t="n">
        <v>0</v>
      </c>
      <c r="H520" s="13" t="n">
        <v>0</v>
      </c>
      <c r="I520" s="13" t="n">
        <v>0</v>
      </c>
      <c r="J520" s="13" t="n">
        <v>0</v>
      </c>
      <c r="K520" s="13" t="n">
        <v>0</v>
      </c>
      <c r="L520" s="13" t="n">
        <v>0</v>
      </c>
      <c r="M520" s="13" t="n">
        <v>0</v>
      </c>
      <c r="N520" s="13" t="n">
        <v>0</v>
      </c>
      <c r="O520" s="13" t="n">
        <v>0</v>
      </c>
      <c r="P520" s="13" t="n">
        <v>0</v>
      </c>
      <c r="Q520" s="13" t="n">
        <v>0</v>
      </c>
      <c r="R520" s="13" t="n">
        <v>0</v>
      </c>
      <c r="S520" s="13" t="n">
        <v>0</v>
      </c>
      <c r="T520" s="13" t="n">
        <v>0</v>
      </c>
      <c r="U520" s="13" t="n">
        <v>0</v>
      </c>
      <c r="V520" s="13" t="n">
        <v>0</v>
      </c>
      <c r="W520" s="13" t="n">
        <v>0</v>
      </c>
      <c r="X520" s="13" t="n">
        <v>0</v>
      </c>
      <c r="Y520" s="13" t="n">
        <v>0</v>
      </c>
      <c r="Z520" s="13" t="n">
        <v>0</v>
      </c>
      <c r="AA520" s="13" t="n">
        <v>0</v>
      </c>
      <c r="AB520" s="13" t="n">
        <v>0</v>
      </c>
      <c r="AC520" s="13" t="n">
        <v>0</v>
      </c>
      <c r="AD520" s="13" t="n">
        <v>0</v>
      </c>
      <c r="AE520" s="13" t="n">
        <v>0</v>
      </c>
      <c r="AF520" s="13" t="n">
        <v>0</v>
      </c>
      <c r="AG520" s="13" t="n">
        <v>0</v>
      </c>
      <c r="AH520" s="13" t="n">
        <v>5599.96905</v>
      </c>
      <c r="AI520" s="13" t="n">
        <v>5550.00222</v>
      </c>
      <c r="AJ520" s="13" t="n">
        <v>5299.99965</v>
      </c>
      <c r="AK520" s="13" t="n">
        <v>5500.01445</v>
      </c>
      <c r="AL520" s="13" t="n">
        <v>5350.089688</v>
      </c>
      <c r="AM520" s="13" t="n">
        <v>5649.919833</v>
      </c>
      <c r="AN520" s="13" t="n">
        <v>5899.961064</v>
      </c>
      <c r="AO520" s="13" t="n">
        <v>6842.807782</v>
      </c>
      <c r="AP520" s="13" t="n">
        <v>5650.4772</v>
      </c>
      <c r="AQ520" s="13" t="n">
        <v>6220.762915</v>
      </c>
      <c r="AR520" s="13" t="n">
        <v>6480.061014</v>
      </c>
      <c r="AS520" s="13" t="n">
        <v>6117.074883</v>
      </c>
      <c r="AT520" s="13" t="n">
        <v>6220.768704</v>
      </c>
    </row>
    <row r="521" customFormat="false" ht="15" hidden="false" customHeight="true" outlineLevel="0" collapsed="false">
      <c r="A521" s="12" t="s">
        <v>1615</v>
      </c>
      <c r="B521" s="12" t="s">
        <v>1616</v>
      </c>
      <c r="C521" s="12" t="n">
        <v>1</v>
      </c>
      <c r="D521" s="12" t="s">
        <v>1617</v>
      </c>
      <c r="E521" s="13" t="n">
        <v>0</v>
      </c>
      <c r="F521" s="13" t="n">
        <v>0</v>
      </c>
      <c r="G521" s="13" t="n">
        <v>0</v>
      </c>
      <c r="H521" s="13" t="n">
        <v>0</v>
      </c>
      <c r="I521" s="13" t="n">
        <v>0</v>
      </c>
      <c r="J521" s="13" t="n">
        <v>0</v>
      </c>
      <c r="K521" s="13" t="n">
        <v>0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749.988239</v>
      </c>
      <c r="Q521" s="13" t="n">
        <v>749.955024</v>
      </c>
      <c r="R521" s="13" t="n">
        <v>0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0</v>
      </c>
      <c r="X521" s="13" t="n">
        <v>0</v>
      </c>
      <c r="Y521" s="13" t="n">
        <v>0</v>
      </c>
      <c r="Z521" s="13" t="n">
        <v>0</v>
      </c>
      <c r="AA521" s="13" t="n">
        <v>0</v>
      </c>
      <c r="AB521" s="13" t="n">
        <v>0</v>
      </c>
      <c r="AC521" s="13" t="n">
        <v>0</v>
      </c>
      <c r="AD521" s="13" t="n">
        <v>0</v>
      </c>
      <c r="AE521" s="13" t="n">
        <v>0</v>
      </c>
      <c r="AF521" s="13" t="n">
        <v>0</v>
      </c>
      <c r="AG521" s="13" t="n">
        <v>0</v>
      </c>
      <c r="AH521" s="13" t="n">
        <v>0</v>
      </c>
      <c r="AI521" s="13" t="n">
        <v>0</v>
      </c>
      <c r="AJ521" s="13" t="n">
        <v>0</v>
      </c>
      <c r="AK521" s="13" t="n">
        <v>0</v>
      </c>
      <c r="AL521" s="13" t="n">
        <v>0</v>
      </c>
      <c r="AM521" s="13" t="n">
        <v>0</v>
      </c>
      <c r="AN521" s="13" t="n">
        <v>0</v>
      </c>
      <c r="AO521" s="13" t="n">
        <v>0</v>
      </c>
      <c r="AP521" s="13" t="n">
        <v>0</v>
      </c>
      <c r="AQ521" s="13" t="n">
        <v>0</v>
      </c>
      <c r="AR521" s="13" t="n">
        <v>0</v>
      </c>
      <c r="AS521" s="13" t="n">
        <v>0</v>
      </c>
      <c r="AT521" s="13" t="n">
        <v>0</v>
      </c>
    </row>
    <row r="522" customFormat="false" ht="15" hidden="false" customHeight="true" outlineLevel="0" collapsed="false">
      <c r="A522" s="12" t="s">
        <v>1618</v>
      </c>
      <c r="B522" s="12" t="s">
        <v>1619</v>
      </c>
      <c r="C522" s="12" t="n">
        <v>1</v>
      </c>
      <c r="D522" s="12" t="s">
        <v>1620</v>
      </c>
      <c r="E522" s="13" t="n">
        <v>0</v>
      </c>
      <c r="F522" s="13" t="n">
        <v>0</v>
      </c>
      <c r="G522" s="13" t="n">
        <v>0</v>
      </c>
      <c r="H522" s="13" t="n">
        <v>0</v>
      </c>
      <c r="I522" s="13" t="n">
        <v>0</v>
      </c>
      <c r="J522" s="13" t="n">
        <v>0</v>
      </c>
      <c r="K522" s="13" t="n">
        <v>0</v>
      </c>
      <c r="L522" s="13" t="n">
        <v>0</v>
      </c>
      <c r="M522" s="13" t="n">
        <v>0</v>
      </c>
      <c r="N522" s="13" t="n">
        <v>0</v>
      </c>
      <c r="O522" s="13" t="n">
        <v>0</v>
      </c>
      <c r="P522" s="13" t="n">
        <v>0</v>
      </c>
      <c r="Q522" s="13" t="n">
        <v>0</v>
      </c>
      <c r="R522" s="13" t="n">
        <v>0</v>
      </c>
      <c r="S522" s="13" t="n">
        <v>0</v>
      </c>
      <c r="T522" s="13" t="n">
        <v>0</v>
      </c>
      <c r="U522" s="13" t="n">
        <v>0</v>
      </c>
      <c r="V522" s="13" t="n">
        <v>0</v>
      </c>
      <c r="W522" s="13" t="n">
        <v>0</v>
      </c>
      <c r="X522" s="13" t="n">
        <v>0</v>
      </c>
      <c r="Y522" s="13" t="n">
        <v>0</v>
      </c>
      <c r="Z522" s="13" t="n">
        <v>0</v>
      </c>
      <c r="AA522" s="13" t="n">
        <v>0</v>
      </c>
      <c r="AB522" s="13" t="n">
        <v>0</v>
      </c>
      <c r="AC522" s="13" t="n">
        <v>0</v>
      </c>
      <c r="AD522" s="13" t="n">
        <v>0</v>
      </c>
      <c r="AE522" s="13" t="n">
        <v>0</v>
      </c>
      <c r="AF522" s="13" t="n">
        <v>0</v>
      </c>
      <c r="AG522" s="13" t="n">
        <v>0</v>
      </c>
      <c r="AH522" s="13" t="n">
        <v>0</v>
      </c>
      <c r="AI522" s="13" t="n">
        <v>0</v>
      </c>
      <c r="AJ522" s="13" t="n">
        <v>0</v>
      </c>
      <c r="AK522" s="13" t="n">
        <v>0</v>
      </c>
      <c r="AL522" s="13" t="n">
        <v>0</v>
      </c>
      <c r="AM522" s="13" t="n">
        <v>0</v>
      </c>
      <c r="AN522" s="13" t="n">
        <v>0</v>
      </c>
      <c r="AO522" s="13" t="n">
        <v>0</v>
      </c>
      <c r="AP522" s="13" t="n">
        <v>0</v>
      </c>
      <c r="AQ522" s="13" t="n">
        <v>2659.96237</v>
      </c>
      <c r="AR522" s="13" t="n">
        <v>2819.97295</v>
      </c>
      <c r="AS522" s="13" t="n">
        <v>2779.93782</v>
      </c>
      <c r="AT522" s="13" t="n">
        <v>2460.024896</v>
      </c>
    </row>
    <row r="523" customFormat="false" ht="15" hidden="false" customHeight="true" outlineLevel="0" collapsed="false">
      <c r="A523" s="12" t="s">
        <v>1621</v>
      </c>
      <c r="B523" s="12" t="s">
        <v>1622</v>
      </c>
      <c r="C523" s="12" t="n">
        <v>1</v>
      </c>
      <c r="D523" s="12" t="s">
        <v>1623</v>
      </c>
      <c r="E523" s="13" t="n">
        <v>0</v>
      </c>
      <c r="F523" s="13" t="n">
        <v>0</v>
      </c>
      <c r="G523" s="13" t="n">
        <v>0</v>
      </c>
      <c r="H523" s="13" t="n">
        <v>0</v>
      </c>
      <c r="I523" s="13" t="n">
        <v>0</v>
      </c>
      <c r="J523" s="13" t="n">
        <v>0</v>
      </c>
      <c r="K523" s="13" t="n">
        <v>0</v>
      </c>
      <c r="L523" s="13" t="n">
        <v>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0</v>
      </c>
      <c r="V523" s="13" t="n">
        <v>0</v>
      </c>
      <c r="W523" s="13" t="n">
        <v>0</v>
      </c>
      <c r="X523" s="13" t="n">
        <v>0</v>
      </c>
      <c r="Y523" s="13" t="n">
        <v>0</v>
      </c>
      <c r="Z523" s="13" t="n">
        <v>0</v>
      </c>
      <c r="AA523" s="13" t="n">
        <v>0</v>
      </c>
      <c r="AB523" s="13" t="n">
        <v>0</v>
      </c>
      <c r="AC523" s="13" t="n">
        <v>0</v>
      </c>
      <c r="AD523" s="13" t="n">
        <v>0</v>
      </c>
      <c r="AE523" s="13" t="n">
        <v>0</v>
      </c>
      <c r="AF523" s="13" t="n">
        <v>0</v>
      </c>
      <c r="AG523" s="13" t="n">
        <v>0</v>
      </c>
      <c r="AH523" s="13" t="n">
        <v>1080.03315</v>
      </c>
      <c r="AI523" s="13" t="n">
        <v>1080.07562</v>
      </c>
      <c r="AJ523" s="13" t="n">
        <v>1079.94366</v>
      </c>
      <c r="AK523" s="13" t="n">
        <v>1199.94645</v>
      </c>
      <c r="AL523" s="13" t="n">
        <v>1140.08039</v>
      </c>
      <c r="AM523" s="13" t="n">
        <v>1260.001277</v>
      </c>
      <c r="AN523" s="13" t="n">
        <v>1139.961387</v>
      </c>
      <c r="AO523" s="13" t="n">
        <v>1244.225234</v>
      </c>
      <c r="AP523" s="13" t="n">
        <v>1182.036</v>
      </c>
      <c r="AQ523" s="13" t="n">
        <v>1057.647393</v>
      </c>
      <c r="AR523" s="13" t="n">
        <v>1182.020388</v>
      </c>
      <c r="AS523" s="13" t="n">
        <v>1181.906316</v>
      </c>
      <c r="AT523" s="13" t="n">
        <v>1182.058064</v>
      </c>
    </row>
    <row r="524" customFormat="false" ht="15" hidden="false" customHeight="true" outlineLevel="0" collapsed="false">
      <c r="A524" s="12" t="s">
        <v>1624</v>
      </c>
      <c r="B524" s="12" t="s">
        <v>1625</v>
      </c>
      <c r="C524" s="12" t="n">
        <v>1</v>
      </c>
      <c r="D524" s="12" t="s">
        <v>1626</v>
      </c>
      <c r="E524" s="13" t="n">
        <v>0</v>
      </c>
      <c r="F524" s="13" t="n">
        <v>0</v>
      </c>
      <c r="G524" s="13" t="n">
        <v>0</v>
      </c>
      <c r="H524" s="13" t="n">
        <v>0</v>
      </c>
      <c r="I524" s="13" t="n">
        <v>0</v>
      </c>
      <c r="J524" s="13" t="n">
        <v>0</v>
      </c>
      <c r="K524" s="13" t="n">
        <v>0</v>
      </c>
      <c r="L524" s="13" t="n">
        <v>0</v>
      </c>
      <c r="M524" s="13" t="n">
        <v>0</v>
      </c>
      <c r="N524" s="13" t="n">
        <v>0</v>
      </c>
      <c r="O524" s="13" t="n">
        <v>0</v>
      </c>
      <c r="P524" s="13" t="n">
        <v>0</v>
      </c>
      <c r="Q524" s="13" t="n">
        <v>0</v>
      </c>
      <c r="R524" s="13" t="n">
        <v>0</v>
      </c>
      <c r="S524" s="13" t="n">
        <v>3299.995155</v>
      </c>
      <c r="T524" s="13" t="n">
        <v>3959.95264</v>
      </c>
      <c r="U524" s="13" t="n">
        <v>3960.079868</v>
      </c>
      <c r="V524" s="13" t="n">
        <v>0</v>
      </c>
      <c r="W524" s="13" t="n">
        <v>0</v>
      </c>
      <c r="X524" s="13" t="n">
        <v>0</v>
      </c>
      <c r="Y524" s="13" t="n">
        <v>0</v>
      </c>
      <c r="Z524" s="13" t="n">
        <v>0</v>
      </c>
      <c r="AA524" s="13" t="n">
        <v>0</v>
      </c>
      <c r="AB524" s="13" t="n">
        <v>0</v>
      </c>
      <c r="AC524" s="13" t="n">
        <v>0</v>
      </c>
      <c r="AD524" s="13" t="n">
        <v>0</v>
      </c>
      <c r="AE524" s="13" t="n">
        <v>0</v>
      </c>
      <c r="AF524" s="13" t="n">
        <v>0</v>
      </c>
      <c r="AG524" s="13" t="n">
        <v>0</v>
      </c>
      <c r="AH524" s="13" t="n">
        <v>0</v>
      </c>
      <c r="AI524" s="13" t="n">
        <v>0</v>
      </c>
      <c r="AJ524" s="13" t="n">
        <v>0</v>
      </c>
      <c r="AK524" s="13" t="n">
        <v>0</v>
      </c>
      <c r="AL524" s="13" t="n">
        <v>0</v>
      </c>
      <c r="AM524" s="13" t="n">
        <v>0</v>
      </c>
      <c r="AN524" s="13" t="n">
        <v>0</v>
      </c>
      <c r="AO524" s="13" t="n">
        <v>0</v>
      </c>
      <c r="AP524" s="13" t="n">
        <v>0</v>
      </c>
      <c r="AQ524" s="13" t="n">
        <v>0</v>
      </c>
      <c r="AR524" s="13" t="n">
        <v>0</v>
      </c>
      <c r="AS524" s="13" t="n">
        <v>0</v>
      </c>
      <c r="AT524" s="13" t="n">
        <v>0</v>
      </c>
    </row>
    <row r="525" customFormat="false" ht="15" hidden="false" customHeight="true" outlineLevel="0" collapsed="false">
      <c r="A525" s="12" t="s">
        <v>1627</v>
      </c>
      <c r="B525" s="12" t="s">
        <v>1628</v>
      </c>
      <c r="C525" s="12" t="n">
        <v>1</v>
      </c>
      <c r="D525" s="12" t="s">
        <v>1629</v>
      </c>
      <c r="E525" s="13" t="n">
        <v>2600.069328</v>
      </c>
      <c r="F525" s="13" t="n">
        <v>2455.642944</v>
      </c>
      <c r="G525" s="13" t="n">
        <v>2455.667701</v>
      </c>
      <c r="H525" s="13" t="n">
        <v>2455.608231</v>
      </c>
      <c r="I525" s="13" t="n">
        <v>2455.667242</v>
      </c>
      <c r="J525" s="13" t="n">
        <v>0</v>
      </c>
      <c r="K525" s="13" t="n">
        <v>0</v>
      </c>
      <c r="L525" s="13" t="n">
        <v>0</v>
      </c>
      <c r="M525" s="13" t="n">
        <v>0</v>
      </c>
      <c r="N525" s="13" t="n">
        <v>0</v>
      </c>
      <c r="O525" s="13" t="n">
        <v>0</v>
      </c>
      <c r="P525" s="13" t="n">
        <v>0</v>
      </c>
      <c r="Q525" s="13" t="n">
        <v>0</v>
      </c>
      <c r="R525" s="13" t="n">
        <v>0</v>
      </c>
      <c r="S525" s="13" t="n">
        <v>0</v>
      </c>
      <c r="T525" s="13" t="n">
        <v>0</v>
      </c>
      <c r="U525" s="13" t="n">
        <v>0</v>
      </c>
      <c r="V525" s="13" t="n">
        <v>0</v>
      </c>
      <c r="W525" s="13" t="n">
        <v>0</v>
      </c>
      <c r="X525" s="13" t="n">
        <v>0</v>
      </c>
      <c r="Y525" s="13" t="n">
        <v>0</v>
      </c>
      <c r="Z525" s="13" t="n">
        <v>0</v>
      </c>
      <c r="AA525" s="13" t="n">
        <v>0</v>
      </c>
      <c r="AB525" s="13" t="n">
        <v>0</v>
      </c>
      <c r="AC525" s="13" t="n">
        <v>0</v>
      </c>
      <c r="AD525" s="13" t="n">
        <v>0</v>
      </c>
      <c r="AE525" s="13" t="n">
        <v>0</v>
      </c>
      <c r="AF525" s="13" t="n">
        <v>0</v>
      </c>
      <c r="AG525" s="13" t="n">
        <v>0</v>
      </c>
      <c r="AH525" s="13" t="n">
        <v>0</v>
      </c>
      <c r="AI525" s="13" t="n">
        <v>0</v>
      </c>
      <c r="AJ525" s="13" t="n">
        <v>0</v>
      </c>
      <c r="AK525" s="13" t="n">
        <v>0</v>
      </c>
      <c r="AL525" s="13" t="n">
        <v>0</v>
      </c>
      <c r="AM525" s="13" t="n">
        <v>0</v>
      </c>
      <c r="AN525" s="13" t="n">
        <v>0</v>
      </c>
      <c r="AO525" s="13" t="n">
        <v>0</v>
      </c>
      <c r="AP525" s="13" t="n">
        <v>0</v>
      </c>
      <c r="AQ525" s="13" t="n">
        <v>0</v>
      </c>
      <c r="AR525" s="13" t="n">
        <v>0</v>
      </c>
      <c r="AS525" s="13" t="n">
        <v>0</v>
      </c>
      <c r="AT525" s="13" t="n">
        <v>0</v>
      </c>
    </row>
    <row r="526" customFormat="false" ht="15" hidden="false" customHeight="true" outlineLevel="0" collapsed="false">
      <c r="A526" s="12" t="s">
        <v>1630</v>
      </c>
      <c r="B526" s="12" t="s">
        <v>1631</v>
      </c>
      <c r="C526" s="12" t="n">
        <v>1</v>
      </c>
      <c r="D526" s="12" t="s">
        <v>1632</v>
      </c>
      <c r="E526" s="13" t="n">
        <v>0</v>
      </c>
      <c r="F526" s="13" t="n">
        <v>0</v>
      </c>
      <c r="G526" s="13" t="n">
        <v>0</v>
      </c>
      <c r="H526" s="13" t="n">
        <v>0</v>
      </c>
      <c r="I526" s="13" t="n">
        <v>0</v>
      </c>
      <c r="J526" s="13" t="n">
        <v>0</v>
      </c>
      <c r="K526" s="13" t="n">
        <v>0</v>
      </c>
      <c r="L526" s="13" t="n">
        <v>0</v>
      </c>
      <c r="M526" s="13" t="n">
        <v>0</v>
      </c>
      <c r="N526" s="13" t="n">
        <v>0</v>
      </c>
      <c r="O526" s="13" t="n">
        <v>0</v>
      </c>
      <c r="P526" s="13" t="n">
        <v>0</v>
      </c>
      <c r="Q526" s="13" t="n">
        <v>0</v>
      </c>
      <c r="R526" s="13" t="n">
        <v>0</v>
      </c>
      <c r="S526" s="13" t="n">
        <v>0</v>
      </c>
      <c r="T526" s="13" t="n">
        <v>0</v>
      </c>
      <c r="U526" s="13" t="n">
        <v>1957.998044</v>
      </c>
      <c r="V526" s="13" t="n">
        <v>1958.060208</v>
      </c>
      <c r="W526" s="13" t="n">
        <v>1957.916768</v>
      </c>
      <c r="X526" s="13" t="n">
        <v>1957.994452</v>
      </c>
      <c r="Y526" s="13" t="n">
        <v>1957.91193</v>
      </c>
      <c r="Z526" s="13" t="n">
        <v>2596.0088</v>
      </c>
      <c r="AA526" s="13" t="n">
        <v>2288.05299</v>
      </c>
      <c r="AB526" s="13" t="n">
        <v>2222.049274</v>
      </c>
      <c r="AC526" s="13" t="n">
        <v>2545.2944</v>
      </c>
      <c r="AD526" s="13" t="n">
        <v>2545.3094</v>
      </c>
      <c r="AE526" s="13" t="n">
        <v>2682.74916</v>
      </c>
      <c r="AF526" s="13" t="n">
        <v>2751.5774</v>
      </c>
      <c r="AG526" s="13" t="n">
        <v>2751.50884</v>
      </c>
      <c r="AH526" s="13" t="n">
        <v>2705.65395</v>
      </c>
      <c r="AI526" s="13" t="n">
        <v>3462.4074</v>
      </c>
      <c r="AJ526" s="13" t="n">
        <v>4242.05001</v>
      </c>
      <c r="AK526" s="13" t="n">
        <v>4310.89155</v>
      </c>
      <c r="AL526" s="13" t="n">
        <v>4631.783788</v>
      </c>
      <c r="AM526" s="13" t="n">
        <v>4631.866683</v>
      </c>
      <c r="AN526" s="13" t="n">
        <v>4608.939957</v>
      </c>
      <c r="AO526" s="13" t="n">
        <v>4446.937188</v>
      </c>
      <c r="AP526" s="13" t="n">
        <v>4351.79064</v>
      </c>
      <c r="AQ526" s="13" t="n">
        <v>4446.790734</v>
      </c>
      <c r="AR526" s="13" t="n">
        <v>4637.035458</v>
      </c>
      <c r="AS526" s="13" t="n">
        <v>4565.779569</v>
      </c>
      <c r="AT526" s="13" t="n">
        <v>4565.817408</v>
      </c>
    </row>
    <row r="527" customFormat="false" ht="15" hidden="false" customHeight="true" outlineLevel="0" collapsed="false">
      <c r="A527" s="12" t="s">
        <v>1633</v>
      </c>
      <c r="B527" s="12" t="s">
        <v>1634</v>
      </c>
      <c r="C527" s="12" t="n">
        <v>1</v>
      </c>
      <c r="D527" s="12" t="s">
        <v>1635</v>
      </c>
      <c r="E527" s="13" t="n">
        <v>0</v>
      </c>
      <c r="F527" s="13" t="n">
        <v>0</v>
      </c>
      <c r="G527" s="13" t="n">
        <v>0</v>
      </c>
      <c r="H527" s="13" t="n">
        <v>0</v>
      </c>
      <c r="I527" s="13" t="n">
        <v>0</v>
      </c>
      <c r="J527" s="13" t="n">
        <v>0</v>
      </c>
      <c r="K527" s="13" t="n">
        <v>0</v>
      </c>
      <c r="L527" s="13" t="n">
        <v>0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3" t="n">
        <v>0</v>
      </c>
      <c r="V527" s="13" t="n">
        <v>0</v>
      </c>
      <c r="W527" s="13" t="n">
        <v>299.06888</v>
      </c>
      <c r="X527" s="13" t="n">
        <v>299.033384</v>
      </c>
      <c r="Y527" s="13" t="n">
        <v>318.542132</v>
      </c>
      <c r="Z527" s="13" t="n">
        <v>299.092288</v>
      </c>
      <c r="AA527" s="13" t="n">
        <v>292.46097</v>
      </c>
      <c r="AB527" s="13" t="n">
        <v>292.40153</v>
      </c>
      <c r="AC527" s="13" t="n">
        <v>305.4436</v>
      </c>
      <c r="AD527" s="13" t="n">
        <v>0</v>
      </c>
      <c r="AE527" s="13" t="n">
        <v>0</v>
      </c>
      <c r="AF527" s="13" t="n">
        <v>0</v>
      </c>
      <c r="AG527" s="13" t="n">
        <v>0</v>
      </c>
      <c r="AH527" s="13" t="n">
        <v>0</v>
      </c>
      <c r="AI527" s="13" t="n">
        <v>0</v>
      </c>
      <c r="AJ527" s="13" t="n">
        <v>0</v>
      </c>
      <c r="AK527" s="13" t="n">
        <v>0</v>
      </c>
      <c r="AL527" s="13" t="n">
        <v>0</v>
      </c>
      <c r="AM527" s="13" t="n">
        <v>0</v>
      </c>
      <c r="AN527" s="13" t="n">
        <v>0</v>
      </c>
      <c r="AO527" s="13" t="n">
        <v>0</v>
      </c>
      <c r="AP527" s="13" t="n">
        <v>0</v>
      </c>
      <c r="AQ527" s="13" t="n">
        <v>0</v>
      </c>
      <c r="AR527" s="13" t="n">
        <v>0</v>
      </c>
      <c r="AS527" s="13" t="n">
        <v>0</v>
      </c>
      <c r="AT527" s="13" t="n">
        <v>0</v>
      </c>
    </row>
    <row r="528" customFormat="false" ht="15" hidden="false" customHeight="true" outlineLevel="0" collapsed="false">
      <c r="A528" s="12" t="s">
        <v>1636</v>
      </c>
      <c r="B528" s="12" t="s">
        <v>1637</v>
      </c>
      <c r="C528" s="12" t="n">
        <v>1</v>
      </c>
      <c r="D528" s="12" t="s">
        <v>1638</v>
      </c>
      <c r="E528" s="13" t="n">
        <v>0</v>
      </c>
      <c r="F528" s="13" t="n">
        <v>0</v>
      </c>
      <c r="G528" s="13" t="n">
        <v>0</v>
      </c>
      <c r="H528" s="13" t="n">
        <v>0</v>
      </c>
      <c r="I528" s="13" t="n">
        <v>0</v>
      </c>
      <c r="J528" s="13" t="n">
        <v>0</v>
      </c>
      <c r="K528" s="13" t="n">
        <v>0</v>
      </c>
      <c r="L528" s="13" t="n">
        <v>0</v>
      </c>
      <c r="M528" s="13" t="n">
        <v>0</v>
      </c>
      <c r="N528" s="13" t="n">
        <v>0</v>
      </c>
      <c r="O528" s="13" t="n">
        <v>0</v>
      </c>
      <c r="P528" s="13" t="n">
        <v>0</v>
      </c>
      <c r="Q528" s="13" t="n">
        <v>0</v>
      </c>
      <c r="R528" s="13" t="n">
        <v>0</v>
      </c>
      <c r="S528" s="13" t="n">
        <v>0</v>
      </c>
      <c r="T528" s="13" t="n">
        <v>0</v>
      </c>
      <c r="U528" s="13" t="n">
        <v>0</v>
      </c>
      <c r="V528" s="13" t="n">
        <v>0</v>
      </c>
      <c r="W528" s="13" t="n">
        <v>0</v>
      </c>
      <c r="X528" s="13" t="n">
        <v>0</v>
      </c>
      <c r="Y528" s="13" t="n">
        <v>0</v>
      </c>
      <c r="Z528" s="13" t="n">
        <v>0</v>
      </c>
      <c r="AA528" s="13" t="n">
        <v>0</v>
      </c>
      <c r="AB528" s="13" t="n">
        <v>0</v>
      </c>
      <c r="AC528" s="13" t="n">
        <v>0</v>
      </c>
      <c r="AD528" s="13" t="n">
        <v>0</v>
      </c>
      <c r="AE528" s="13" t="n">
        <v>0</v>
      </c>
      <c r="AF528" s="13" t="n">
        <v>0</v>
      </c>
      <c r="AG528" s="13" t="n">
        <v>0</v>
      </c>
      <c r="AH528" s="13" t="n">
        <v>0</v>
      </c>
      <c r="AI528" s="13" t="n">
        <v>0</v>
      </c>
      <c r="AJ528" s="13" t="n">
        <v>0</v>
      </c>
      <c r="AK528" s="13" t="n">
        <v>0</v>
      </c>
      <c r="AL528" s="13" t="n">
        <v>0</v>
      </c>
      <c r="AM528" s="13" t="n">
        <v>0</v>
      </c>
      <c r="AN528" s="13" t="n">
        <v>0</v>
      </c>
      <c r="AO528" s="13" t="n">
        <v>0</v>
      </c>
      <c r="AP528" s="13" t="n">
        <v>0</v>
      </c>
      <c r="AQ528" s="13" t="n">
        <v>0</v>
      </c>
      <c r="AR528" s="13" t="n">
        <v>0</v>
      </c>
      <c r="AS528" s="13" t="n">
        <v>1609.975197</v>
      </c>
      <c r="AT528" s="13" t="n">
        <v>1259.940184</v>
      </c>
    </row>
    <row r="529" customFormat="false" ht="15" hidden="false" customHeight="true" outlineLevel="0" collapsed="false">
      <c r="A529" s="12" t="s">
        <v>1639</v>
      </c>
      <c r="B529" s="12" t="s">
        <v>1640</v>
      </c>
      <c r="C529" s="12" t="n">
        <v>1</v>
      </c>
      <c r="D529" s="12" t="s">
        <v>1641</v>
      </c>
      <c r="E529" s="13" t="n">
        <v>0</v>
      </c>
      <c r="F529" s="13" t="n">
        <v>0</v>
      </c>
      <c r="G529" s="13" t="n">
        <v>0</v>
      </c>
      <c r="H529" s="13" t="n">
        <v>0</v>
      </c>
      <c r="I529" s="13" t="n">
        <v>0</v>
      </c>
      <c r="J529" s="13" t="n">
        <v>0</v>
      </c>
      <c r="K529" s="13" t="n">
        <v>0</v>
      </c>
      <c r="L529" s="13" t="n">
        <v>0</v>
      </c>
      <c r="M529" s="13" t="n">
        <v>0</v>
      </c>
      <c r="N529" s="13" t="n">
        <v>0</v>
      </c>
      <c r="O529" s="13" t="n">
        <v>0</v>
      </c>
      <c r="P529" s="13" t="n">
        <v>0</v>
      </c>
      <c r="Q529" s="13" t="n">
        <v>338.063517</v>
      </c>
      <c r="R529" s="13" t="n">
        <v>260.004303</v>
      </c>
      <c r="S529" s="13" t="n">
        <v>260.01666</v>
      </c>
      <c r="T529" s="13" t="n">
        <v>676.02304</v>
      </c>
      <c r="U529" s="13" t="n">
        <v>676.007811</v>
      </c>
      <c r="V529" s="13" t="n">
        <v>649.984608</v>
      </c>
      <c r="W529" s="13" t="n">
        <v>299.06888</v>
      </c>
      <c r="X529" s="13" t="n">
        <v>299.033384</v>
      </c>
      <c r="Y529" s="13" t="n">
        <v>318.542132</v>
      </c>
      <c r="Z529" s="13" t="n">
        <v>299.092288</v>
      </c>
      <c r="AA529" s="13" t="n">
        <v>292.46097</v>
      </c>
      <c r="AB529" s="13" t="n">
        <v>292.40153</v>
      </c>
      <c r="AC529" s="13" t="n">
        <v>305.4436</v>
      </c>
      <c r="AD529" s="13" t="n">
        <v>0</v>
      </c>
      <c r="AE529" s="13" t="n">
        <v>0</v>
      </c>
      <c r="AF529" s="13" t="n">
        <v>0</v>
      </c>
      <c r="AG529" s="13" t="n">
        <v>0</v>
      </c>
      <c r="AH529" s="13" t="n">
        <v>0</v>
      </c>
      <c r="AI529" s="13" t="n">
        <v>0</v>
      </c>
      <c r="AJ529" s="13" t="n">
        <v>0</v>
      </c>
      <c r="AK529" s="13" t="n">
        <v>0</v>
      </c>
      <c r="AL529" s="13" t="n">
        <v>0</v>
      </c>
      <c r="AM529" s="13" t="n">
        <v>0</v>
      </c>
      <c r="AN529" s="13" t="n">
        <v>0</v>
      </c>
      <c r="AO529" s="13" t="n">
        <v>0</v>
      </c>
      <c r="AP529" s="13" t="n">
        <v>0</v>
      </c>
      <c r="AQ529" s="13" t="n">
        <v>0</v>
      </c>
      <c r="AR529" s="13" t="n">
        <v>0</v>
      </c>
      <c r="AS529" s="13" t="n">
        <v>0</v>
      </c>
      <c r="AT529" s="13" t="n">
        <v>0</v>
      </c>
    </row>
    <row r="530" customFormat="false" ht="15" hidden="false" customHeight="true" outlineLevel="0" collapsed="false">
      <c r="A530" s="12" t="s">
        <v>1642</v>
      </c>
      <c r="B530" s="12" t="s">
        <v>1643</v>
      </c>
      <c r="C530" s="12" t="n">
        <v>1</v>
      </c>
      <c r="D530" s="12" t="s">
        <v>1644</v>
      </c>
      <c r="E530" s="13" t="n">
        <v>0</v>
      </c>
      <c r="F530" s="13" t="n">
        <v>0</v>
      </c>
      <c r="G530" s="13" t="n">
        <v>0</v>
      </c>
      <c r="H530" s="13" t="n">
        <v>0</v>
      </c>
      <c r="I530" s="13" t="n">
        <v>0</v>
      </c>
      <c r="J530" s="13" t="n">
        <v>0</v>
      </c>
      <c r="K530" s="13" t="n">
        <v>0</v>
      </c>
      <c r="L530" s="13" t="n">
        <v>0</v>
      </c>
      <c r="M530" s="13" t="n">
        <v>0</v>
      </c>
      <c r="N530" s="13" t="n">
        <v>0</v>
      </c>
      <c r="O530" s="13" t="n">
        <v>0</v>
      </c>
      <c r="P530" s="13" t="n">
        <v>0</v>
      </c>
      <c r="Q530" s="13" t="n">
        <v>207.920223</v>
      </c>
      <c r="R530" s="13" t="n">
        <v>234.020967</v>
      </c>
      <c r="S530" s="13" t="n">
        <v>234.048075</v>
      </c>
      <c r="T530" s="13" t="n">
        <v>234.08</v>
      </c>
      <c r="U530" s="13" t="n">
        <v>233.98314</v>
      </c>
      <c r="V530" s="13" t="n">
        <v>208.002444</v>
      </c>
      <c r="W530" s="13" t="n">
        <v>299.06888</v>
      </c>
      <c r="X530" s="13" t="n">
        <v>299.033384</v>
      </c>
      <c r="Y530" s="13" t="n">
        <v>318.542132</v>
      </c>
      <c r="Z530" s="13" t="n">
        <v>299.092288</v>
      </c>
      <c r="AA530" s="13" t="n">
        <v>292.46097</v>
      </c>
      <c r="AB530" s="13" t="n">
        <v>292.40153</v>
      </c>
      <c r="AC530" s="13" t="n">
        <v>305.4436</v>
      </c>
      <c r="AD530" s="13" t="n">
        <v>0</v>
      </c>
      <c r="AE530" s="13" t="n">
        <v>0</v>
      </c>
      <c r="AF530" s="13" t="n">
        <v>0</v>
      </c>
      <c r="AG530" s="13" t="n">
        <v>0</v>
      </c>
      <c r="AH530" s="13" t="n">
        <v>0</v>
      </c>
      <c r="AI530" s="13" t="n">
        <v>0</v>
      </c>
      <c r="AJ530" s="13" t="n">
        <v>0</v>
      </c>
      <c r="AK530" s="13" t="n">
        <v>0</v>
      </c>
      <c r="AL530" s="13" t="n">
        <v>0</v>
      </c>
      <c r="AM530" s="13" t="n">
        <v>0</v>
      </c>
      <c r="AN530" s="13" t="n">
        <v>0</v>
      </c>
      <c r="AO530" s="13" t="n">
        <v>0</v>
      </c>
      <c r="AP530" s="13" t="n">
        <v>0</v>
      </c>
      <c r="AQ530" s="13" t="n">
        <v>0</v>
      </c>
      <c r="AR530" s="13" t="n">
        <v>0</v>
      </c>
      <c r="AS530" s="13" t="n">
        <v>0</v>
      </c>
      <c r="AT530" s="13" t="n">
        <v>0</v>
      </c>
    </row>
    <row r="531" customFormat="false" ht="15" hidden="false" customHeight="true" outlineLevel="0" collapsed="false">
      <c r="A531" s="12" t="s">
        <v>1645</v>
      </c>
      <c r="B531" s="12" t="s">
        <v>1646</v>
      </c>
      <c r="C531" s="12" t="n">
        <v>1</v>
      </c>
      <c r="D531" s="12" t="s">
        <v>1647</v>
      </c>
      <c r="E531" s="13" t="n">
        <v>0</v>
      </c>
      <c r="F531" s="13" t="n">
        <v>0</v>
      </c>
      <c r="G531" s="13" t="n">
        <v>0</v>
      </c>
      <c r="H531" s="13" t="n">
        <v>0</v>
      </c>
      <c r="I531" s="13" t="n">
        <v>0</v>
      </c>
      <c r="J531" s="13" t="n">
        <v>0</v>
      </c>
      <c r="K531" s="13" t="n">
        <v>0</v>
      </c>
      <c r="L531" s="13" t="n">
        <v>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299.06888</v>
      </c>
      <c r="X531" s="13" t="n">
        <v>299.033384</v>
      </c>
      <c r="Y531" s="13" t="n">
        <v>318.542132</v>
      </c>
      <c r="Z531" s="13" t="n">
        <v>299.092288</v>
      </c>
      <c r="AA531" s="13" t="n">
        <v>292.46097</v>
      </c>
      <c r="AB531" s="13" t="n">
        <v>292.40153</v>
      </c>
      <c r="AC531" s="13" t="n">
        <v>305.4436</v>
      </c>
      <c r="AD531" s="13" t="n">
        <v>0</v>
      </c>
      <c r="AE531" s="13" t="n">
        <v>0</v>
      </c>
      <c r="AF531" s="13" t="n">
        <v>0</v>
      </c>
      <c r="AG531" s="13" t="n">
        <v>0</v>
      </c>
      <c r="AH531" s="13" t="n">
        <v>0</v>
      </c>
      <c r="AI531" s="13" t="n">
        <v>0</v>
      </c>
      <c r="AJ531" s="13" t="n">
        <v>0</v>
      </c>
      <c r="AK531" s="13" t="n">
        <v>0</v>
      </c>
      <c r="AL531" s="13" t="n">
        <v>0</v>
      </c>
      <c r="AM531" s="13" t="n">
        <v>0</v>
      </c>
      <c r="AN531" s="13" t="n">
        <v>0</v>
      </c>
      <c r="AO531" s="13" t="n">
        <v>0</v>
      </c>
      <c r="AP531" s="13" t="n">
        <v>0</v>
      </c>
      <c r="AQ531" s="13" t="n">
        <v>0</v>
      </c>
      <c r="AR531" s="13" t="n">
        <v>0</v>
      </c>
      <c r="AS531" s="13" t="n">
        <v>0</v>
      </c>
      <c r="AT531" s="13" t="n">
        <v>0</v>
      </c>
    </row>
    <row r="532" customFormat="false" ht="15" hidden="false" customHeight="true" outlineLevel="0" collapsed="false">
      <c r="A532" s="12" t="s">
        <v>1648</v>
      </c>
      <c r="B532" s="12" t="s">
        <v>1649</v>
      </c>
      <c r="C532" s="12" t="n">
        <v>1</v>
      </c>
      <c r="D532" s="12" t="s">
        <v>1650</v>
      </c>
      <c r="E532" s="13" t="n">
        <v>0</v>
      </c>
      <c r="F532" s="13" t="n">
        <v>0</v>
      </c>
      <c r="G532" s="13" t="n">
        <v>0</v>
      </c>
      <c r="H532" s="13" t="n">
        <v>0</v>
      </c>
      <c r="I532" s="13" t="n">
        <v>0</v>
      </c>
      <c r="J532" s="13" t="n">
        <v>0</v>
      </c>
      <c r="K532" s="13" t="n">
        <v>0</v>
      </c>
      <c r="L532" s="13" t="n">
        <v>0</v>
      </c>
      <c r="M532" s="13" t="n">
        <v>0</v>
      </c>
      <c r="N532" s="13" t="n">
        <v>0</v>
      </c>
      <c r="O532" s="13" t="n">
        <v>0</v>
      </c>
      <c r="P532" s="13" t="n">
        <v>0</v>
      </c>
      <c r="Q532" s="13" t="n">
        <v>0</v>
      </c>
      <c r="R532" s="13" t="n">
        <v>0</v>
      </c>
      <c r="S532" s="13" t="n">
        <v>0</v>
      </c>
      <c r="T532" s="13" t="n">
        <v>0</v>
      </c>
      <c r="U532" s="13" t="n">
        <v>0</v>
      </c>
      <c r="V532" s="13" t="n">
        <v>0</v>
      </c>
      <c r="W532" s="13" t="n">
        <v>0</v>
      </c>
      <c r="X532" s="13" t="n">
        <v>0</v>
      </c>
      <c r="Y532" s="13" t="n">
        <v>0</v>
      </c>
      <c r="Z532" s="13" t="n">
        <v>0</v>
      </c>
      <c r="AA532" s="13" t="n">
        <v>0</v>
      </c>
      <c r="AB532" s="13" t="n">
        <v>0</v>
      </c>
      <c r="AC532" s="13" t="n">
        <v>0</v>
      </c>
      <c r="AD532" s="13" t="n">
        <v>0</v>
      </c>
      <c r="AE532" s="13" t="n">
        <v>41839.90524</v>
      </c>
      <c r="AF532" s="13" t="n">
        <v>40760.0776</v>
      </c>
      <c r="AG532" s="13" t="n">
        <v>38320.0386</v>
      </c>
      <c r="AH532" s="13" t="n">
        <v>39379.94625</v>
      </c>
      <c r="AI532" s="13" t="n">
        <v>42780.0923</v>
      </c>
      <c r="AJ532" s="13" t="n">
        <v>41959.93041</v>
      </c>
      <c r="AK532" s="13" t="n">
        <v>42680.0094</v>
      </c>
      <c r="AL532" s="13" t="n">
        <v>43079.9359</v>
      </c>
      <c r="AM532" s="13" t="n">
        <v>45460.016957</v>
      </c>
      <c r="AN532" s="13" t="n">
        <v>43399.997055</v>
      </c>
      <c r="AO532" s="13" t="n">
        <v>45441.374356</v>
      </c>
      <c r="AP532" s="13" t="n">
        <v>42745.18272</v>
      </c>
      <c r="AQ532" s="13" t="n">
        <v>40525.94813</v>
      </c>
      <c r="AR532" s="13" t="n">
        <v>40588.138194</v>
      </c>
      <c r="AS532" s="13" t="n">
        <v>37560.144933</v>
      </c>
      <c r="AT532" s="13" t="n">
        <v>38037.10236</v>
      </c>
    </row>
    <row r="533" customFormat="false" ht="15" hidden="false" customHeight="true" outlineLevel="0" collapsed="false">
      <c r="A533" s="12" t="s">
        <v>1651</v>
      </c>
      <c r="B533" s="12" t="s">
        <v>1652</v>
      </c>
      <c r="C533" s="12" t="n">
        <v>1</v>
      </c>
      <c r="D533" s="12" t="s">
        <v>1653</v>
      </c>
      <c r="E533" s="13" t="n">
        <v>0</v>
      </c>
      <c r="F533" s="13" t="n">
        <v>0</v>
      </c>
      <c r="G533" s="13" t="n">
        <v>0</v>
      </c>
      <c r="H533" s="13" t="n">
        <v>0</v>
      </c>
      <c r="I533" s="13" t="n">
        <v>0</v>
      </c>
      <c r="J533" s="13" t="n">
        <v>0</v>
      </c>
      <c r="K533" s="13" t="n">
        <v>0</v>
      </c>
      <c r="L533" s="13" t="n">
        <v>0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11040.031593</v>
      </c>
      <c r="R533" s="13" t="n">
        <v>10880.009121</v>
      </c>
      <c r="S533" s="13" t="n">
        <v>10880.01009</v>
      </c>
      <c r="T533" s="13" t="n">
        <v>9827.9552</v>
      </c>
      <c r="U533" s="13" t="n">
        <v>9900.030117</v>
      </c>
      <c r="V533" s="13" t="n">
        <v>11119.932252</v>
      </c>
      <c r="W533" s="13" t="n">
        <v>11119.92472</v>
      </c>
      <c r="X533" s="13" t="n">
        <v>10959.93046</v>
      </c>
      <c r="Y533" s="13" t="n">
        <v>10759.951596</v>
      </c>
      <c r="Z533" s="13" t="n">
        <v>10640.027728</v>
      </c>
      <c r="AA533" s="13" t="n">
        <v>21120.04956</v>
      </c>
      <c r="AB533" s="13" t="n">
        <v>10759.971596</v>
      </c>
      <c r="AC533" s="13" t="n">
        <v>10879.9548</v>
      </c>
      <c r="AD533" s="13" t="n">
        <v>10719.9448</v>
      </c>
      <c r="AE533" s="13" t="n">
        <v>10880.00424</v>
      </c>
      <c r="AF533" s="13" t="n">
        <v>8631.0598</v>
      </c>
      <c r="AG533" s="13" t="n">
        <v>11320.01382</v>
      </c>
      <c r="AH533" s="13" t="n">
        <v>11439.96645</v>
      </c>
      <c r="AI533" s="13" t="n">
        <v>11280.0797</v>
      </c>
      <c r="AJ533" s="13" t="n">
        <v>11279.95002</v>
      </c>
      <c r="AK533" s="13" t="n">
        <v>11000.0289</v>
      </c>
      <c r="AL533" s="13" t="n">
        <v>11079.960598</v>
      </c>
      <c r="AM533" s="13" t="n">
        <v>11160.06372</v>
      </c>
      <c r="AN533" s="13" t="n">
        <v>11119.973555</v>
      </c>
      <c r="AO533" s="13" t="n">
        <v>11560.071306</v>
      </c>
      <c r="AP533" s="13" t="n">
        <v>11359.96992</v>
      </c>
      <c r="AQ533" s="13" t="n">
        <v>11520.045333</v>
      </c>
      <c r="AR533" s="13" t="n">
        <v>11560.047122</v>
      </c>
      <c r="AS533" s="13" t="n">
        <v>11720.051676</v>
      </c>
      <c r="AT533" s="13" t="n">
        <v>12239.918976</v>
      </c>
    </row>
    <row r="534" customFormat="false" ht="15" hidden="false" customHeight="true" outlineLevel="0" collapsed="false">
      <c r="A534" s="12" t="s">
        <v>1654</v>
      </c>
      <c r="B534" s="12" t="s">
        <v>1655</v>
      </c>
      <c r="C534" s="12" t="n">
        <v>1</v>
      </c>
      <c r="D534" s="12" t="s">
        <v>1656</v>
      </c>
      <c r="E534" s="13" t="n">
        <v>0</v>
      </c>
      <c r="F534" s="13" t="n">
        <v>0</v>
      </c>
      <c r="G534" s="13" t="n">
        <v>0</v>
      </c>
      <c r="H534" s="13" t="n">
        <v>0</v>
      </c>
      <c r="I534" s="13" t="n">
        <v>0</v>
      </c>
      <c r="J534" s="13" t="n">
        <v>0</v>
      </c>
      <c r="K534" s="13" t="n">
        <v>0</v>
      </c>
      <c r="L534" s="13" t="n">
        <v>0</v>
      </c>
      <c r="M534" s="13" t="n">
        <v>0</v>
      </c>
      <c r="N534" s="13" t="n">
        <v>0</v>
      </c>
      <c r="O534" s="13" t="n">
        <v>0</v>
      </c>
      <c r="P534" s="13" t="n">
        <v>0</v>
      </c>
      <c r="Q534" s="13" t="n">
        <v>0</v>
      </c>
      <c r="R534" s="13" t="n">
        <v>0</v>
      </c>
      <c r="S534" s="13" t="n">
        <v>0</v>
      </c>
      <c r="T534" s="13" t="n">
        <v>0</v>
      </c>
      <c r="U534" s="13" t="n">
        <v>0</v>
      </c>
      <c r="V534" s="13" t="n">
        <v>0</v>
      </c>
      <c r="W534" s="13" t="n">
        <v>3015.06432</v>
      </c>
      <c r="X534" s="13" t="n">
        <v>3239.991022</v>
      </c>
      <c r="Y534" s="13" t="n">
        <v>3420.095128</v>
      </c>
      <c r="Z534" s="13" t="n">
        <v>3465.02024</v>
      </c>
      <c r="AA534" s="13" t="n">
        <v>3329.93244</v>
      </c>
      <c r="AB534" s="13" t="n">
        <v>3375.062366</v>
      </c>
      <c r="AC534" s="13" t="n">
        <v>3469.8972</v>
      </c>
      <c r="AD534" s="13" t="n">
        <v>3516.789</v>
      </c>
      <c r="AE534" s="13" t="n">
        <v>3422.88828</v>
      </c>
      <c r="AF534" s="13" t="n">
        <v>3375.9836</v>
      </c>
      <c r="AG534" s="13" t="n">
        <v>3375.99212</v>
      </c>
      <c r="AH534" s="13" t="n">
        <v>3422.90625</v>
      </c>
      <c r="AI534" s="13" t="n">
        <v>3469.9262</v>
      </c>
      <c r="AJ534" s="13" t="n">
        <v>3469.83624</v>
      </c>
      <c r="AK534" s="13" t="n">
        <v>3516.7365</v>
      </c>
      <c r="AL534" s="13" t="n">
        <v>3469.785859</v>
      </c>
      <c r="AM534" s="13" t="n">
        <v>3469.818628</v>
      </c>
      <c r="AN534" s="13" t="n">
        <v>3516.814148</v>
      </c>
      <c r="AO534" s="13" t="n">
        <v>3549.239974</v>
      </c>
      <c r="AP534" s="13" t="n">
        <v>3597.876</v>
      </c>
      <c r="AQ534" s="13" t="n">
        <v>3792.392912</v>
      </c>
      <c r="AR534" s="13" t="n">
        <v>3646.580262</v>
      </c>
      <c r="AS534" s="13" t="n">
        <v>3549.180888</v>
      </c>
      <c r="AT534" s="13" t="n">
        <v>3646.45836</v>
      </c>
    </row>
    <row r="535" customFormat="false" ht="15" hidden="false" customHeight="true" outlineLevel="0" collapsed="false">
      <c r="A535" s="12" t="s">
        <v>1657</v>
      </c>
      <c r="B535" s="12" t="s">
        <v>1658</v>
      </c>
      <c r="C535" s="12" t="n">
        <v>1</v>
      </c>
      <c r="D535" s="12" t="s">
        <v>1659</v>
      </c>
      <c r="E535" s="13" t="n">
        <v>0</v>
      </c>
      <c r="F535" s="13" t="n">
        <v>0</v>
      </c>
      <c r="G535" s="13" t="n">
        <v>0</v>
      </c>
      <c r="H535" s="13" t="n">
        <v>0</v>
      </c>
      <c r="I535" s="13" t="n">
        <v>0</v>
      </c>
      <c r="J535" s="13" t="n">
        <v>0</v>
      </c>
      <c r="K535" s="13" t="n">
        <v>0</v>
      </c>
      <c r="L535" s="13" t="n">
        <v>0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0</v>
      </c>
      <c r="W535" s="13" t="n">
        <v>0</v>
      </c>
      <c r="X535" s="13" t="n">
        <v>0</v>
      </c>
      <c r="Y535" s="13" t="n">
        <v>0</v>
      </c>
      <c r="Z535" s="13" t="n">
        <v>0</v>
      </c>
      <c r="AA535" s="13" t="n">
        <v>420.01722</v>
      </c>
      <c r="AB535" s="13" t="n">
        <v>420.086904</v>
      </c>
      <c r="AC535" s="13" t="n">
        <v>720.0776</v>
      </c>
      <c r="AD535" s="13" t="n">
        <v>1739.9175</v>
      </c>
      <c r="AE535" s="13" t="n">
        <v>3540.05316</v>
      </c>
      <c r="AF535" s="13" t="n">
        <v>3599.9788</v>
      </c>
      <c r="AG535" s="13" t="n">
        <v>3720.07546</v>
      </c>
      <c r="AH535" s="13" t="n">
        <v>3719.9673</v>
      </c>
      <c r="AI535" s="13" t="n">
        <v>3359.96375</v>
      </c>
      <c r="AJ535" s="13" t="n">
        <v>3539.91888</v>
      </c>
      <c r="AK535" s="13" t="n">
        <v>3360.0702</v>
      </c>
      <c r="AL535" s="13" t="n">
        <v>3420.056989</v>
      </c>
      <c r="AM535" s="13" t="n">
        <v>3419.924852</v>
      </c>
      <c r="AN535" s="13" t="n">
        <v>3060.038328</v>
      </c>
      <c r="AO535" s="13" t="n">
        <v>3732.675702</v>
      </c>
      <c r="AP535" s="13" t="n">
        <v>3359.39808</v>
      </c>
      <c r="AQ535" s="13" t="n">
        <v>3110.471994</v>
      </c>
      <c r="AR535" s="13" t="n">
        <v>3048.377602</v>
      </c>
      <c r="AS535" s="13" t="n">
        <v>3172.694913</v>
      </c>
      <c r="AT535" s="13" t="n">
        <v>3421.5628</v>
      </c>
    </row>
    <row r="536" customFormat="false" ht="15" hidden="false" customHeight="true" outlineLevel="0" collapsed="false">
      <c r="A536" s="12" t="s">
        <v>1660</v>
      </c>
      <c r="B536" s="12" t="s">
        <v>1661</v>
      </c>
      <c r="C536" s="12" t="n">
        <v>1</v>
      </c>
      <c r="D536" s="12" t="s">
        <v>1662</v>
      </c>
      <c r="E536" s="13" t="n">
        <v>0</v>
      </c>
      <c r="F536" s="13" t="n">
        <v>0</v>
      </c>
      <c r="G536" s="13" t="n">
        <v>0</v>
      </c>
      <c r="H536" s="13" t="n">
        <v>0</v>
      </c>
      <c r="I536" s="13" t="n">
        <v>0</v>
      </c>
      <c r="J536" s="13" t="n">
        <v>0</v>
      </c>
      <c r="K536" s="13" t="n">
        <v>0</v>
      </c>
      <c r="L536" s="13" t="n">
        <v>0</v>
      </c>
      <c r="M536" s="13" t="n">
        <v>0</v>
      </c>
      <c r="N536" s="13" t="n">
        <v>0</v>
      </c>
      <c r="O536" s="13" t="n">
        <v>0</v>
      </c>
      <c r="P536" s="13" t="n">
        <v>0</v>
      </c>
      <c r="Q536" s="13" t="n">
        <v>0</v>
      </c>
      <c r="R536" s="13" t="n">
        <v>0</v>
      </c>
      <c r="S536" s="13" t="n">
        <v>0</v>
      </c>
      <c r="T536" s="13" t="n">
        <v>0</v>
      </c>
      <c r="U536" s="13" t="n">
        <v>0</v>
      </c>
      <c r="V536" s="13" t="n">
        <v>0</v>
      </c>
      <c r="W536" s="13" t="n">
        <v>0</v>
      </c>
      <c r="X536" s="13" t="n">
        <v>0</v>
      </c>
      <c r="Y536" s="13" t="n">
        <v>0</v>
      </c>
      <c r="Z536" s="13" t="n">
        <v>0</v>
      </c>
      <c r="AA536" s="13" t="n">
        <v>0</v>
      </c>
      <c r="AB536" s="13" t="n">
        <v>0</v>
      </c>
      <c r="AC536" s="13" t="n">
        <v>0</v>
      </c>
      <c r="AD536" s="13" t="n">
        <v>0</v>
      </c>
      <c r="AE536" s="13" t="n">
        <v>0</v>
      </c>
      <c r="AF536" s="13" t="n">
        <v>0</v>
      </c>
      <c r="AG536" s="13" t="n">
        <v>0</v>
      </c>
      <c r="AH536" s="13" t="n">
        <v>0</v>
      </c>
      <c r="AI536" s="13" t="n">
        <v>0</v>
      </c>
      <c r="AJ536" s="13" t="n">
        <v>0</v>
      </c>
      <c r="AK536" s="13" t="n">
        <v>0</v>
      </c>
      <c r="AL536" s="13" t="n">
        <v>0</v>
      </c>
      <c r="AM536" s="13" t="n">
        <v>0</v>
      </c>
      <c r="AN536" s="13" t="n">
        <v>0</v>
      </c>
      <c r="AO536" s="13" t="n">
        <v>0</v>
      </c>
      <c r="AP536" s="13" t="n">
        <v>0</v>
      </c>
      <c r="AQ536" s="13" t="n">
        <v>28710.029515</v>
      </c>
      <c r="AR536" s="13" t="n">
        <v>10916.935406</v>
      </c>
      <c r="AS536" s="13" t="n">
        <v>16073.960517</v>
      </c>
      <c r="AT536" s="13" t="n">
        <v>22337.992144</v>
      </c>
    </row>
    <row r="537" customFormat="false" ht="15" hidden="false" customHeight="true" outlineLevel="0" collapsed="false">
      <c r="A537" s="12" t="s">
        <v>1663</v>
      </c>
      <c r="B537" s="12" t="s">
        <v>1664</v>
      </c>
      <c r="C537" s="12" t="n">
        <v>1</v>
      </c>
      <c r="D537" s="12" t="s">
        <v>1665</v>
      </c>
      <c r="E537" s="13" t="n">
        <v>1577.245176</v>
      </c>
      <c r="F537" s="13" t="n">
        <v>1600.658148</v>
      </c>
      <c r="G537" s="13" t="n">
        <v>1600.790532</v>
      </c>
      <c r="H537" s="13" t="n">
        <v>1600.754238</v>
      </c>
      <c r="I537" s="13" t="n">
        <v>1600.761351</v>
      </c>
      <c r="J537" s="13" t="n">
        <v>1600.655205</v>
      </c>
      <c r="K537" s="13" t="n">
        <v>1600.751328</v>
      </c>
      <c r="L537" s="13" t="n">
        <v>1600.759699</v>
      </c>
      <c r="M537" s="13" t="n">
        <v>1600.662465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0</v>
      </c>
      <c r="V537" s="13" t="n">
        <v>0</v>
      </c>
      <c r="W537" s="13" t="n">
        <v>0</v>
      </c>
      <c r="X537" s="13" t="n">
        <v>0</v>
      </c>
      <c r="Y537" s="13" t="n">
        <v>0</v>
      </c>
      <c r="Z537" s="13" t="n">
        <v>0</v>
      </c>
      <c r="AA537" s="13" t="n">
        <v>0</v>
      </c>
      <c r="AB537" s="13" t="n">
        <v>0</v>
      </c>
      <c r="AC537" s="13" t="n">
        <v>0</v>
      </c>
      <c r="AD537" s="13" t="n">
        <v>0</v>
      </c>
      <c r="AE537" s="13" t="n">
        <v>0</v>
      </c>
      <c r="AF537" s="13" t="n">
        <v>0</v>
      </c>
      <c r="AG537" s="13" t="n">
        <v>0</v>
      </c>
      <c r="AH537" s="13" t="n">
        <v>0</v>
      </c>
      <c r="AI537" s="13" t="n">
        <v>0</v>
      </c>
      <c r="AJ537" s="13" t="n">
        <v>0</v>
      </c>
      <c r="AK537" s="13" t="n">
        <v>0</v>
      </c>
      <c r="AL537" s="13" t="n">
        <v>0</v>
      </c>
      <c r="AM537" s="13" t="n">
        <v>0</v>
      </c>
      <c r="AN537" s="13" t="n">
        <v>0</v>
      </c>
      <c r="AO537" s="13" t="n">
        <v>0</v>
      </c>
      <c r="AP537" s="13" t="n">
        <v>0</v>
      </c>
      <c r="AQ537" s="13" t="n">
        <v>0</v>
      </c>
      <c r="AR537" s="13" t="n">
        <v>0</v>
      </c>
      <c r="AS537" s="13" t="n">
        <v>0</v>
      </c>
      <c r="AT537" s="13" t="n">
        <v>0</v>
      </c>
    </row>
    <row r="538" customFormat="false" ht="15" hidden="false" customHeight="true" outlineLevel="0" collapsed="false">
      <c r="A538" s="12" t="s">
        <v>1666</v>
      </c>
      <c r="B538" s="12" t="s">
        <v>1667</v>
      </c>
      <c r="C538" s="12" t="n">
        <v>1</v>
      </c>
      <c r="D538" s="12" t="s">
        <v>1668</v>
      </c>
      <c r="E538" s="13" t="n">
        <v>280.027692</v>
      </c>
      <c r="F538" s="13" t="n">
        <v>280.087572</v>
      </c>
      <c r="G538" s="13" t="n">
        <v>280.011641</v>
      </c>
      <c r="H538" s="13" t="n">
        <v>279.960624</v>
      </c>
      <c r="I538" s="13" t="n">
        <v>279.960912</v>
      </c>
      <c r="J538" s="13" t="n">
        <v>280.033405</v>
      </c>
      <c r="K538" s="13" t="n">
        <v>280.031352</v>
      </c>
      <c r="L538" s="13" t="n">
        <v>279.994792</v>
      </c>
      <c r="M538" s="13" t="n">
        <v>280.085085</v>
      </c>
      <c r="N538" s="13" t="n">
        <v>280.0509</v>
      </c>
      <c r="O538" s="13" t="n">
        <v>279.972533</v>
      </c>
      <c r="P538" s="13" t="n">
        <v>319.925053</v>
      </c>
      <c r="Q538" s="13" t="n">
        <v>293.938416</v>
      </c>
      <c r="R538" s="13" t="n">
        <v>336.073938</v>
      </c>
      <c r="S538" s="13" t="n">
        <v>335.937555</v>
      </c>
      <c r="T538" s="13" t="n">
        <v>377.9328</v>
      </c>
      <c r="U538" s="13" t="n">
        <v>377.933637</v>
      </c>
      <c r="V538" s="13" t="n">
        <v>378.052272</v>
      </c>
      <c r="W538" s="13" t="n">
        <v>462.009856</v>
      </c>
      <c r="X538" s="13" t="n">
        <v>462.03434</v>
      </c>
      <c r="Y538" s="13" t="n">
        <v>462.063278</v>
      </c>
      <c r="Z538" s="13" t="n">
        <v>630.058352</v>
      </c>
      <c r="AA538" s="13" t="n">
        <v>462.05976</v>
      </c>
      <c r="AB538" s="13" t="n">
        <v>461.974182</v>
      </c>
      <c r="AC538" s="13" t="n">
        <v>481.4304</v>
      </c>
      <c r="AD538" s="13" t="n">
        <v>481.4285</v>
      </c>
      <c r="AE538" s="13" t="n">
        <v>481.51908</v>
      </c>
      <c r="AF538" s="13" t="n">
        <v>481.4722</v>
      </c>
      <c r="AG538" s="13" t="n">
        <v>481.4851</v>
      </c>
      <c r="AH538" s="13" t="n">
        <v>481.5675</v>
      </c>
      <c r="AI538" s="13" t="n">
        <v>350.18811</v>
      </c>
      <c r="AJ538" s="13" t="n">
        <v>350.22681</v>
      </c>
      <c r="AK538" s="13" t="n">
        <v>350.20605</v>
      </c>
      <c r="AL538" s="13" t="n">
        <v>350.128081</v>
      </c>
      <c r="AM538" s="13" t="n">
        <v>350.173597</v>
      </c>
      <c r="AN538" s="13" t="n">
        <v>350.134851</v>
      </c>
      <c r="AO538" s="13" t="n">
        <v>363.078612</v>
      </c>
      <c r="AP538" s="13" t="n">
        <v>363.06624</v>
      </c>
      <c r="AQ538" s="13" t="n">
        <v>363.051365</v>
      </c>
      <c r="AR538" s="13" t="n">
        <v>363.13182</v>
      </c>
      <c r="AS538" s="13" t="n">
        <v>363.157506</v>
      </c>
      <c r="AT538" s="13" t="n">
        <v>363.1582</v>
      </c>
    </row>
    <row r="539" customFormat="false" ht="15" hidden="false" customHeight="true" outlineLevel="0" collapsed="false">
      <c r="A539" s="12" t="s">
        <v>1669</v>
      </c>
      <c r="B539" s="12" t="s">
        <v>1670</v>
      </c>
      <c r="C539" s="12" t="n">
        <v>1</v>
      </c>
      <c r="D539" s="12" t="s">
        <v>1671</v>
      </c>
      <c r="E539" s="13" t="n">
        <v>0</v>
      </c>
      <c r="F539" s="13" t="n">
        <v>0</v>
      </c>
      <c r="G539" s="13" t="n">
        <v>0</v>
      </c>
      <c r="H539" s="13" t="n">
        <v>0</v>
      </c>
      <c r="I539" s="13" t="n">
        <v>0</v>
      </c>
      <c r="J539" s="13" t="n">
        <v>0</v>
      </c>
      <c r="K539" s="13" t="n">
        <v>0</v>
      </c>
      <c r="L539" s="13" t="n">
        <v>0</v>
      </c>
      <c r="M539" s="13" t="n">
        <v>0</v>
      </c>
      <c r="N539" s="13" t="n">
        <v>0</v>
      </c>
      <c r="O539" s="13" t="n">
        <v>0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  <c r="X539" s="13" t="n">
        <v>0</v>
      </c>
      <c r="Y539" s="13" t="n">
        <v>0</v>
      </c>
      <c r="Z539" s="13" t="n">
        <v>0</v>
      </c>
      <c r="AA539" s="13" t="n">
        <v>0</v>
      </c>
      <c r="AB539" s="13" t="n">
        <v>0</v>
      </c>
      <c r="AC539" s="13" t="n">
        <v>0</v>
      </c>
      <c r="AD539" s="13" t="n">
        <v>0</v>
      </c>
      <c r="AE539" s="13" t="n">
        <v>2430.0486</v>
      </c>
      <c r="AF539" s="13" t="n">
        <v>2340.0058</v>
      </c>
      <c r="AG539" s="13" t="n">
        <v>2744.94752</v>
      </c>
      <c r="AH539" s="13" t="n">
        <v>2429.93295</v>
      </c>
      <c r="AI539" s="13" t="n">
        <v>2205.07607</v>
      </c>
      <c r="AJ539" s="13" t="n">
        <v>2024.94096</v>
      </c>
      <c r="AK539" s="13" t="n">
        <v>2070.0498</v>
      </c>
      <c r="AL539" s="13" t="n">
        <v>2114.950423</v>
      </c>
      <c r="AM539" s="13" t="n">
        <v>2249.989178</v>
      </c>
      <c r="AN539" s="13" t="n">
        <v>2204.932413</v>
      </c>
      <c r="AO539" s="13" t="n">
        <v>2239.674382</v>
      </c>
      <c r="AP539" s="13" t="n">
        <v>2146.30128</v>
      </c>
      <c r="AQ539" s="13" t="n">
        <v>2146.439342</v>
      </c>
      <c r="AR539" s="13" t="n">
        <v>1913.02053</v>
      </c>
      <c r="AS539" s="13" t="n">
        <v>1913.068044</v>
      </c>
      <c r="AT539" s="13" t="n">
        <v>1913.099896</v>
      </c>
    </row>
    <row r="540" customFormat="false" ht="15" hidden="false" customHeight="true" outlineLevel="0" collapsed="false">
      <c r="A540" s="12" t="s">
        <v>1672</v>
      </c>
      <c r="B540" s="12" t="s">
        <v>1673</v>
      </c>
      <c r="C540" s="12" t="n">
        <v>1</v>
      </c>
      <c r="D540" s="12" t="s">
        <v>1674</v>
      </c>
      <c r="E540" s="13" t="n">
        <v>0</v>
      </c>
      <c r="F540" s="13" t="n">
        <v>0</v>
      </c>
      <c r="G540" s="13" t="n">
        <v>0</v>
      </c>
      <c r="H540" s="13" t="n">
        <v>0</v>
      </c>
      <c r="I540" s="13" t="n">
        <v>0</v>
      </c>
      <c r="J540" s="13" t="n">
        <v>0</v>
      </c>
      <c r="K540" s="13" t="n">
        <v>0</v>
      </c>
      <c r="L540" s="13" t="n">
        <v>0</v>
      </c>
      <c r="M540" s="13" t="n">
        <v>0</v>
      </c>
      <c r="N540" s="13" t="n">
        <v>0</v>
      </c>
      <c r="O540" s="13" t="n">
        <v>0</v>
      </c>
      <c r="P540" s="13" t="n">
        <v>0</v>
      </c>
      <c r="Q540" s="13" t="n">
        <v>0</v>
      </c>
      <c r="R540" s="13" t="n">
        <v>0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0</v>
      </c>
      <c r="X540" s="13" t="n">
        <v>0</v>
      </c>
      <c r="Y540" s="13" t="n">
        <v>0</v>
      </c>
      <c r="Z540" s="13" t="n">
        <v>0</v>
      </c>
      <c r="AA540" s="13" t="n">
        <v>0</v>
      </c>
      <c r="AB540" s="13" t="n">
        <v>0</v>
      </c>
      <c r="AC540" s="13" t="n">
        <v>0</v>
      </c>
      <c r="AD540" s="13" t="n">
        <v>1000.0163</v>
      </c>
      <c r="AE540" s="13" t="n">
        <v>999.98388</v>
      </c>
      <c r="AF540" s="13" t="n">
        <v>1050.0754</v>
      </c>
      <c r="AG540" s="13" t="n">
        <v>1000.02236</v>
      </c>
      <c r="AH540" s="13" t="n">
        <v>900.0591</v>
      </c>
      <c r="AI540" s="13" t="n">
        <v>950.00038</v>
      </c>
      <c r="AJ540" s="13" t="n">
        <v>900.07731</v>
      </c>
      <c r="AK540" s="13" t="n">
        <v>900.0057</v>
      </c>
      <c r="AL540" s="13" t="n">
        <v>899.908366</v>
      </c>
      <c r="AM540" s="13" t="n">
        <v>899.922298</v>
      </c>
      <c r="AN540" s="13" t="n">
        <v>900.064165</v>
      </c>
      <c r="AO540" s="13" t="n">
        <v>984.932626</v>
      </c>
      <c r="AP540" s="13" t="n">
        <v>1036.74048</v>
      </c>
      <c r="AQ540" s="13" t="n">
        <v>1036.823998</v>
      </c>
      <c r="AR540" s="13" t="n">
        <v>985.01699</v>
      </c>
      <c r="AS540" s="13" t="n">
        <v>1192.292136</v>
      </c>
      <c r="AT540" s="13" t="n">
        <v>1192.384008</v>
      </c>
    </row>
    <row r="541" customFormat="false" ht="15" hidden="false" customHeight="true" outlineLevel="0" collapsed="false">
      <c r="A541" s="12" t="s">
        <v>1675</v>
      </c>
      <c r="B541" s="12" t="s">
        <v>1676</v>
      </c>
      <c r="C541" s="12" t="n">
        <v>1</v>
      </c>
      <c r="D541" s="12" t="s">
        <v>1677</v>
      </c>
      <c r="E541" s="13" t="n">
        <v>0</v>
      </c>
      <c r="F541" s="13" t="n">
        <v>0</v>
      </c>
      <c r="G541" s="13" t="n">
        <v>0</v>
      </c>
      <c r="H541" s="13" t="n">
        <v>0</v>
      </c>
      <c r="I541" s="13" t="n">
        <v>0</v>
      </c>
      <c r="J541" s="13" t="n">
        <v>0</v>
      </c>
      <c r="K541" s="13" t="n">
        <v>0</v>
      </c>
      <c r="L541" s="13" t="n">
        <v>0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  <c r="V541" s="13" t="n">
        <v>0</v>
      </c>
      <c r="W541" s="13" t="n">
        <v>0</v>
      </c>
      <c r="X541" s="13" t="n">
        <v>0</v>
      </c>
      <c r="Y541" s="13" t="n">
        <v>0</v>
      </c>
      <c r="Z541" s="13" t="n">
        <v>0</v>
      </c>
      <c r="AA541" s="13" t="n">
        <v>0</v>
      </c>
      <c r="AB541" s="13" t="n">
        <v>0</v>
      </c>
      <c r="AC541" s="13" t="n">
        <v>0</v>
      </c>
      <c r="AD541" s="13" t="n">
        <v>0</v>
      </c>
      <c r="AE541" s="13" t="n">
        <v>0</v>
      </c>
      <c r="AF541" s="13" t="n">
        <v>0</v>
      </c>
      <c r="AG541" s="13" t="n">
        <v>0</v>
      </c>
      <c r="AH541" s="13" t="n">
        <v>878.1525</v>
      </c>
      <c r="AI541" s="13" t="n">
        <v>878.19584</v>
      </c>
      <c r="AJ541" s="13" t="n">
        <v>878.08329</v>
      </c>
      <c r="AK541" s="13" t="n">
        <v>878.17515</v>
      </c>
      <c r="AL541" s="13" t="n">
        <v>878.175008</v>
      </c>
      <c r="AM541" s="13" t="n">
        <v>878.093771</v>
      </c>
      <c r="AN541" s="13" t="n">
        <v>878.124539</v>
      </c>
      <c r="AO541" s="13" t="n">
        <v>910.454962</v>
      </c>
      <c r="AP541" s="13" t="n">
        <v>910.42656</v>
      </c>
      <c r="AQ541" s="13" t="n">
        <v>0</v>
      </c>
      <c r="AR541" s="13" t="n">
        <v>0</v>
      </c>
      <c r="AS541" s="13" t="n">
        <v>0</v>
      </c>
      <c r="AT541" s="13" t="n">
        <v>0</v>
      </c>
    </row>
    <row r="542" customFormat="false" ht="15" hidden="false" customHeight="true" outlineLevel="0" collapsed="false">
      <c r="A542" s="12" t="s">
        <v>1678</v>
      </c>
      <c r="B542" s="12" t="s">
        <v>1679</v>
      </c>
      <c r="C542" s="12" t="n">
        <v>1</v>
      </c>
      <c r="D542" s="12" t="s">
        <v>1680</v>
      </c>
      <c r="E542" s="13" t="n">
        <v>11259.705024</v>
      </c>
      <c r="F542" s="13" t="n">
        <v>11259.63081</v>
      </c>
      <c r="G542" s="13" t="n">
        <v>11259.653621</v>
      </c>
      <c r="H542" s="13" t="n">
        <v>11259.75654</v>
      </c>
      <c r="I542" s="13" t="n">
        <v>11259.766301</v>
      </c>
      <c r="J542" s="13" t="n">
        <v>11259.669365</v>
      </c>
      <c r="K542" s="13" t="n">
        <v>11439.397548</v>
      </c>
      <c r="L542" s="13" t="n">
        <v>11439.26091</v>
      </c>
      <c r="M542" s="13" t="n">
        <v>11439.24597</v>
      </c>
      <c r="N542" s="13" t="n">
        <v>11439.266214</v>
      </c>
      <c r="O542" s="13" t="n">
        <v>11439.295683</v>
      </c>
      <c r="P542" s="13" t="n">
        <v>11439.308545</v>
      </c>
      <c r="Q542" s="13" t="n">
        <v>11404.535832</v>
      </c>
      <c r="R542" s="13" t="n">
        <v>11161.210356</v>
      </c>
      <c r="S542" s="13" t="n">
        <v>9770.307945</v>
      </c>
      <c r="T542" s="13" t="n">
        <v>11022.01856</v>
      </c>
      <c r="U542" s="13" t="n">
        <v>10917.856776</v>
      </c>
      <c r="V542" s="13" t="n">
        <v>10813.547784</v>
      </c>
      <c r="W542" s="13" t="n">
        <v>0</v>
      </c>
      <c r="X542" s="13" t="n">
        <v>0</v>
      </c>
      <c r="Y542" s="13" t="n">
        <v>0</v>
      </c>
      <c r="Z542" s="13" t="n">
        <v>0</v>
      </c>
      <c r="AA542" s="13" t="n">
        <v>0</v>
      </c>
      <c r="AB542" s="13" t="n">
        <v>77850.035588</v>
      </c>
      <c r="AC542" s="13" t="n">
        <v>0</v>
      </c>
      <c r="AD542" s="13" t="n">
        <v>0</v>
      </c>
      <c r="AE542" s="13" t="n">
        <v>0</v>
      </c>
      <c r="AF542" s="13" t="n">
        <v>0</v>
      </c>
      <c r="AG542" s="13" t="n">
        <v>0</v>
      </c>
      <c r="AH542" s="13" t="n">
        <v>0</v>
      </c>
      <c r="AI542" s="13" t="n">
        <v>12734.40359</v>
      </c>
      <c r="AJ542" s="13" t="n">
        <v>12734.35119</v>
      </c>
      <c r="AK542" s="13" t="n">
        <v>12734.3652</v>
      </c>
      <c r="AL542" s="13" t="n">
        <v>12734.27434</v>
      </c>
      <c r="AM542" s="13" t="n">
        <v>12734.285726</v>
      </c>
      <c r="AN542" s="13" t="n">
        <v>12734.334396</v>
      </c>
      <c r="AO542" s="13" t="n">
        <v>13565.968576</v>
      </c>
      <c r="AP542" s="13" t="n">
        <v>13565.97696</v>
      </c>
      <c r="AQ542" s="13" t="n">
        <v>13565.98916</v>
      </c>
      <c r="AR542" s="13" t="n">
        <v>13566.043432</v>
      </c>
      <c r="AS542" s="13" t="n">
        <v>13565.958084</v>
      </c>
      <c r="AT542" s="13" t="n">
        <v>13566.015208</v>
      </c>
    </row>
    <row r="543" customFormat="false" ht="15" hidden="false" customHeight="true" outlineLevel="0" collapsed="false">
      <c r="A543" s="12" t="s">
        <v>1681</v>
      </c>
      <c r="B543" s="12" t="s">
        <v>1682</v>
      </c>
      <c r="C543" s="12" t="n">
        <v>1</v>
      </c>
      <c r="D543" s="12" t="s">
        <v>1683</v>
      </c>
      <c r="E543" s="13" t="n">
        <v>154824.136884</v>
      </c>
      <c r="F543" s="13" t="n">
        <v>149018.73402</v>
      </c>
      <c r="G543" s="13" t="n">
        <v>174077.463214</v>
      </c>
      <c r="H543" s="13" t="n">
        <v>163224.439659</v>
      </c>
      <c r="I543" s="13" t="n">
        <v>57764.91469</v>
      </c>
      <c r="J543" s="13" t="n">
        <v>59280.009775</v>
      </c>
      <c r="K543" s="13" t="n">
        <v>59920.033968</v>
      </c>
      <c r="L543" s="13" t="n">
        <v>0</v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  <c r="V543" s="13" t="n">
        <v>0</v>
      </c>
      <c r="W543" s="13" t="n">
        <v>0</v>
      </c>
      <c r="X543" s="13" t="n">
        <v>0</v>
      </c>
      <c r="Y543" s="13" t="n">
        <v>0</v>
      </c>
      <c r="Z543" s="13" t="n">
        <v>0</v>
      </c>
      <c r="AA543" s="13" t="n">
        <v>0</v>
      </c>
      <c r="AB543" s="13" t="n">
        <v>0</v>
      </c>
      <c r="AC543" s="13" t="n">
        <v>0</v>
      </c>
      <c r="AD543" s="13" t="n">
        <v>0</v>
      </c>
      <c r="AE543" s="13" t="n">
        <v>0</v>
      </c>
      <c r="AF543" s="13" t="n">
        <v>0</v>
      </c>
      <c r="AG543" s="13" t="n">
        <v>0</v>
      </c>
      <c r="AH543" s="13" t="n">
        <v>0</v>
      </c>
      <c r="AI543" s="13" t="n">
        <v>0</v>
      </c>
      <c r="AJ543" s="13" t="n">
        <v>0</v>
      </c>
      <c r="AK543" s="13" t="n">
        <v>0</v>
      </c>
      <c r="AL543" s="13" t="n">
        <v>0</v>
      </c>
      <c r="AM543" s="13" t="n">
        <v>0</v>
      </c>
      <c r="AN543" s="13" t="n">
        <v>0</v>
      </c>
      <c r="AO543" s="13" t="n">
        <v>0</v>
      </c>
      <c r="AP543" s="13" t="n">
        <v>0</v>
      </c>
      <c r="AQ543" s="13" t="n">
        <v>0</v>
      </c>
      <c r="AR543" s="13" t="n">
        <v>0</v>
      </c>
      <c r="AS543" s="13" t="n">
        <v>0</v>
      </c>
      <c r="AT543" s="13" t="n">
        <v>0</v>
      </c>
    </row>
    <row r="544" customFormat="false" ht="15" hidden="false" customHeight="true" outlineLevel="0" collapsed="false">
      <c r="A544" s="12" t="s">
        <v>1684</v>
      </c>
      <c r="B544" s="12" t="s">
        <v>1685</v>
      </c>
      <c r="C544" s="12" t="n">
        <v>1</v>
      </c>
      <c r="D544" s="12" t="s">
        <v>1686</v>
      </c>
      <c r="E544" s="13" t="n">
        <v>0</v>
      </c>
      <c r="F544" s="13" t="n">
        <v>0</v>
      </c>
      <c r="G544" s="13" t="n">
        <v>0</v>
      </c>
      <c r="H544" s="13" t="n">
        <v>0</v>
      </c>
      <c r="I544" s="13" t="n">
        <v>0</v>
      </c>
      <c r="J544" s="13" t="n">
        <v>0</v>
      </c>
      <c r="K544" s="13" t="n">
        <v>0</v>
      </c>
      <c r="L544" s="13" t="n">
        <v>0</v>
      </c>
      <c r="M544" s="13" t="n">
        <v>0</v>
      </c>
      <c r="N544" s="13" t="n">
        <v>0</v>
      </c>
      <c r="O544" s="13" t="n">
        <v>0</v>
      </c>
      <c r="P544" s="13" t="n">
        <v>0</v>
      </c>
      <c r="Q544" s="13" t="n">
        <v>0</v>
      </c>
      <c r="R544" s="13" t="n">
        <v>0</v>
      </c>
      <c r="S544" s="13" t="n">
        <v>0</v>
      </c>
      <c r="T544" s="13" t="n">
        <v>0</v>
      </c>
      <c r="U544" s="13" t="n">
        <v>0</v>
      </c>
      <c r="V544" s="13" t="n">
        <v>0</v>
      </c>
      <c r="W544" s="13" t="n">
        <v>0</v>
      </c>
      <c r="X544" s="13" t="n">
        <v>0</v>
      </c>
      <c r="Y544" s="13" t="n">
        <v>0</v>
      </c>
      <c r="Z544" s="13" t="n">
        <v>0</v>
      </c>
      <c r="AA544" s="13" t="n">
        <v>0</v>
      </c>
      <c r="AB544" s="13" t="n">
        <v>0</v>
      </c>
      <c r="AC544" s="13" t="n">
        <v>0</v>
      </c>
      <c r="AD544" s="13" t="n">
        <v>0</v>
      </c>
      <c r="AE544" s="13" t="n">
        <v>0</v>
      </c>
      <c r="AF544" s="13" t="n">
        <v>0</v>
      </c>
      <c r="AG544" s="13" t="n">
        <v>0</v>
      </c>
      <c r="AH544" s="13" t="n">
        <v>840.0048</v>
      </c>
      <c r="AI544" s="13" t="n">
        <v>900.00036</v>
      </c>
      <c r="AJ544" s="13" t="n">
        <v>959.9085</v>
      </c>
      <c r="AK544" s="13" t="n">
        <v>959.99385</v>
      </c>
      <c r="AL544" s="13" t="n">
        <v>959.951372</v>
      </c>
      <c r="AM544" s="13" t="n">
        <v>960.088322</v>
      </c>
      <c r="AN544" s="13" t="n">
        <v>959.948554</v>
      </c>
      <c r="AO544" s="13" t="n">
        <v>995.276746</v>
      </c>
      <c r="AP544" s="13" t="n">
        <v>995.32608</v>
      </c>
      <c r="AQ544" s="13" t="n">
        <v>933.069169</v>
      </c>
      <c r="AR544" s="13" t="n">
        <v>995.367124</v>
      </c>
      <c r="AS544" s="13" t="n">
        <v>933.165927</v>
      </c>
      <c r="AT544" s="13" t="n">
        <v>933.185312</v>
      </c>
    </row>
    <row r="545" customFormat="false" ht="15" hidden="false" customHeight="true" outlineLevel="0" collapsed="false">
      <c r="A545" s="12" t="s">
        <v>1687</v>
      </c>
      <c r="B545" s="12" t="s">
        <v>1688</v>
      </c>
      <c r="C545" s="12" t="n">
        <v>1</v>
      </c>
      <c r="D545" s="12" t="s">
        <v>1689</v>
      </c>
      <c r="E545" s="13" t="n">
        <v>0</v>
      </c>
      <c r="F545" s="13" t="n">
        <v>0</v>
      </c>
      <c r="G545" s="13" t="n">
        <v>0</v>
      </c>
      <c r="H545" s="13" t="n">
        <v>0</v>
      </c>
      <c r="I545" s="13" t="n">
        <v>0</v>
      </c>
      <c r="J545" s="13" t="n">
        <v>0</v>
      </c>
      <c r="K545" s="13" t="n">
        <v>0</v>
      </c>
      <c r="L545" s="13" t="n">
        <v>0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n">
        <v>0</v>
      </c>
      <c r="T545" s="13" t="n">
        <v>0</v>
      </c>
      <c r="U545" s="13" t="n">
        <v>1845.075746</v>
      </c>
      <c r="V545" s="13" t="n">
        <v>2475.026424</v>
      </c>
      <c r="W545" s="13" t="n">
        <v>2520.05376</v>
      </c>
      <c r="X545" s="13" t="n">
        <v>2609.998276</v>
      </c>
      <c r="Y545" s="13" t="n">
        <v>2519.9872</v>
      </c>
      <c r="Z545" s="13" t="n">
        <v>2384.920208</v>
      </c>
      <c r="AA545" s="13" t="n">
        <v>2565.00312</v>
      </c>
      <c r="AB545" s="13" t="n">
        <v>2790.056952</v>
      </c>
      <c r="AC545" s="13" t="n">
        <v>2907.1944</v>
      </c>
      <c r="AD545" s="13" t="n">
        <v>2907.2533</v>
      </c>
      <c r="AE545" s="13" t="n">
        <v>3000.97224</v>
      </c>
      <c r="AF545" s="13" t="n">
        <v>3798.1284</v>
      </c>
      <c r="AG545" s="13" t="n">
        <v>3798.03938</v>
      </c>
      <c r="AH545" s="13" t="n">
        <v>3516.7647</v>
      </c>
      <c r="AI545" s="13" t="n">
        <v>2672.74543</v>
      </c>
      <c r="AJ545" s="13" t="n">
        <v>2578.89204</v>
      </c>
      <c r="AK545" s="13" t="n">
        <v>2531.9769</v>
      </c>
      <c r="AL545" s="13" t="n">
        <v>0</v>
      </c>
      <c r="AM545" s="13" t="n">
        <v>0</v>
      </c>
      <c r="AN545" s="13" t="n">
        <v>0</v>
      </c>
      <c r="AO545" s="13" t="n">
        <v>0</v>
      </c>
      <c r="AP545" s="13" t="n">
        <v>0</v>
      </c>
      <c r="AQ545" s="13" t="n">
        <v>0</v>
      </c>
      <c r="AR545" s="13" t="n">
        <v>0</v>
      </c>
      <c r="AS545" s="13" t="n">
        <v>0</v>
      </c>
      <c r="AT545" s="13" t="n">
        <v>0</v>
      </c>
    </row>
    <row r="546" customFormat="false" ht="15" hidden="false" customHeight="true" outlineLevel="0" collapsed="false">
      <c r="A546" s="12" t="s">
        <v>1690</v>
      </c>
      <c r="B546" s="12" t="s">
        <v>1691</v>
      </c>
      <c r="C546" s="12" t="n">
        <v>1</v>
      </c>
      <c r="D546" s="12" t="s">
        <v>1692</v>
      </c>
      <c r="E546" s="13" t="n">
        <v>0</v>
      </c>
      <c r="F546" s="13" t="n">
        <v>0</v>
      </c>
      <c r="G546" s="13" t="n">
        <v>0</v>
      </c>
      <c r="H546" s="13" t="n">
        <v>0</v>
      </c>
      <c r="I546" s="13" t="n">
        <v>0</v>
      </c>
      <c r="J546" s="13" t="n">
        <v>0</v>
      </c>
      <c r="K546" s="13" t="n">
        <v>0</v>
      </c>
      <c r="L546" s="13" t="n">
        <v>0</v>
      </c>
      <c r="M546" s="13" t="n">
        <v>0</v>
      </c>
      <c r="N546" s="13" t="n">
        <v>0</v>
      </c>
      <c r="O546" s="13" t="n">
        <v>0</v>
      </c>
      <c r="P546" s="13" t="n">
        <v>0</v>
      </c>
      <c r="Q546" s="13" t="n">
        <v>0</v>
      </c>
      <c r="R546" s="13" t="n">
        <v>0</v>
      </c>
      <c r="S546" s="13" t="n">
        <v>0</v>
      </c>
      <c r="T546" s="13" t="n">
        <v>0</v>
      </c>
      <c r="U546" s="13" t="n">
        <v>0</v>
      </c>
      <c r="V546" s="13" t="n">
        <v>0</v>
      </c>
      <c r="W546" s="13" t="n">
        <v>3720.07936</v>
      </c>
      <c r="X546" s="13" t="n">
        <v>3759.928378</v>
      </c>
      <c r="Y546" s="13" t="n">
        <v>4080.016776</v>
      </c>
      <c r="Z546" s="13" t="n">
        <v>4000.058656</v>
      </c>
      <c r="AA546" s="13" t="n">
        <v>3999.95991</v>
      </c>
      <c r="AB546" s="13" t="n">
        <v>3960.06778</v>
      </c>
      <c r="AC546" s="13" t="n">
        <v>4126.2804</v>
      </c>
      <c r="AD546" s="13" t="n">
        <v>4126.3247</v>
      </c>
      <c r="AE546" s="13" t="n">
        <v>4126.2858</v>
      </c>
      <c r="AF546" s="13" t="n">
        <v>4084.5838</v>
      </c>
      <c r="AG546" s="13" t="n">
        <v>4042.931</v>
      </c>
      <c r="AH546" s="13" t="n">
        <v>4001.3538</v>
      </c>
      <c r="AI546" s="13" t="n">
        <v>3959.58805</v>
      </c>
      <c r="AJ546" s="13" t="n">
        <v>3876.16644</v>
      </c>
      <c r="AK546" s="13" t="n">
        <v>3834.4719</v>
      </c>
      <c r="AL546" s="13" t="n">
        <v>3751.214427</v>
      </c>
      <c r="AM546" s="13" t="n">
        <v>3626.103544</v>
      </c>
      <c r="AN546" s="13" t="n">
        <v>3667.873868</v>
      </c>
      <c r="AO546" s="13" t="n">
        <v>3760.08762</v>
      </c>
      <c r="AP546" s="13" t="n">
        <v>4236.52056</v>
      </c>
      <c r="AQ546" s="13" t="n">
        <v>4193.288534</v>
      </c>
      <c r="AR546" s="13" t="n">
        <v>3977.258272</v>
      </c>
      <c r="AS546" s="13" t="n">
        <v>3977.249769</v>
      </c>
      <c r="AT546" s="13" t="n">
        <v>3977.2386</v>
      </c>
    </row>
    <row r="547" customFormat="false" ht="15" hidden="false" customHeight="true" outlineLevel="0" collapsed="false">
      <c r="A547" s="12" t="s">
        <v>1693</v>
      </c>
      <c r="B547" s="12" t="s">
        <v>1694</v>
      </c>
      <c r="C547" s="12" t="n">
        <v>1</v>
      </c>
      <c r="D547" s="12" t="s">
        <v>1695</v>
      </c>
      <c r="E547" s="13" t="n">
        <v>0</v>
      </c>
      <c r="F547" s="13" t="n">
        <v>0</v>
      </c>
      <c r="G547" s="13" t="n">
        <v>0</v>
      </c>
      <c r="H547" s="13" t="n">
        <v>0</v>
      </c>
      <c r="I547" s="13" t="n">
        <v>0</v>
      </c>
      <c r="J547" s="13" t="n">
        <v>0</v>
      </c>
      <c r="K547" s="13" t="n">
        <v>0</v>
      </c>
      <c r="L547" s="13" t="n">
        <v>0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0</v>
      </c>
      <c r="V547" s="13" t="n">
        <v>0</v>
      </c>
      <c r="W547" s="13" t="n">
        <v>0</v>
      </c>
      <c r="X547" s="13" t="n">
        <v>0</v>
      </c>
      <c r="Y547" s="13" t="n">
        <v>0</v>
      </c>
      <c r="Z547" s="13" t="n">
        <v>0</v>
      </c>
      <c r="AA547" s="13" t="n">
        <v>0</v>
      </c>
      <c r="AB547" s="13" t="n">
        <v>0</v>
      </c>
      <c r="AC547" s="13" t="n">
        <v>0</v>
      </c>
      <c r="AD547" s="13" t="n">
        <v>0</v>
      </c>
      <c r="AE547" s="13" t="n">
        <v>0</v>
      </c>
      <c r="AF547" s="13" t="n">
        <v>0</v>
      </c>
      <c r="AG547" s="13" t="n">
        <v>0</v>
      </c>
      <c r="AH547" s="13" t="n">
        <v>0</v>
      </c>
      <c r="AI547" s="13" t="n">
        <v>0</v>
      </c>
      <c r="AJ547" s="13" t="n">
        <v>0</v>
      </c>
      <c r="AK547" s="13" t="n">
        <v>0</v>
      </c>
      <c r="AL547" s="13" t="n">
        <v>0</v>
      </c>
      <c r="AM547" s="13" t="n">
        <v>0</v>
      </c>
      <c r="AN547" s="13" t="n">
        <v>1066.050024</v>
      </c>
      <c r="AO547" s="13" t="n">
        <v>1186.298162</v>
      </c>
      <c r="AP547" s="13" t="n">
        <v>1186.17744</v>
      </c>
      <c r="AQ547" s="13" t="n">
        <v>1213.1891</v>
      </c>
      <c r="AR547" s="13" t="n">
        <v>1213.246216</v>
      </c>
      <c r="AS547" s="13" t="n">
        <v>1267.07004</v>
      </c>
      <c r="AT547" s="13" t="n">
        <v>1213.210912</v>
      </c>
    </row>
    <row r="548" customFormat="false" ht="15" hidden="false" customHeight="true" outlineLevel="0" collapsed="false">
      <c r="A548" s="12" t="s">
        <v>1696</v>
      </c>
      <c r="B548" s="12" t="s">
        <v>1697</v>
      </c>
      <c r="C548" s="12" t="n">
        <v>1</v>
      </c>
      <c r="D548" s="12" t="s">
        <v>1698</v>
      </c>
      <c r="E548" s="13" t="n">
        <v>4879.167948</v>
      </c>
      <c r="F548" s="13" t="n">
        <v>4558.139994</v>
      </c>
      <c r="G548" s="13" t="n">
        <v>0</v>
      </c>
      <c r="H548" s="13" t="n">
        <v>0</v>
      </c>
      <c r="I548" s="13" t="n">
        <v>0</v>
      </c>
      <c r="J548" s="13" t="n">
        <v>0</v>
      </c>
      <c r="K548" s="13" t="n">
        <v>0</v>
      </c>
      <c r="L548" s="13" t="n">
        <v>0</v>
      </c>
      <c r="M548" s="13" t="n">
        <v>0</v>
      </c>
      <c r="N548" s="13" t="n">
        <v>0</v>
      </c>
      <c r="O548" s="13" t="n">
        <v>0</v>
      </c>
      <c r="P548" s="13" t="n">
        <v>0</v>
      </c>
      <c r="Q548" s="13" t="n">
        <v>0</v>
      </c>
      <c r="R548" s="13" t="n">
        <v>0</v>
      </c>
      <c r="S548" s="13" t="n">
        <v>0</v>
      </c>
      <c r="T548" s="13" t="n">
        <v>0</v>
      </c>
      <c r="U548" s="13" t="n">
        <v>0</v>
      </c>
      <c r="V548" s="13" t="n">
        <v>0</v>
      </c>
      <c r="W548" s="13" t="n">
        <v>0</v>
      </c>
      <c r="X548" s="13" t="n">
        <v>0</v>
      </c>
      <c r="Y548" s="13" t="n">
        <v>0</v>
      </c>
      <c r="Z548" s="13" t="n">
        <v>0</v>
      </c>
      <c r="AA548" s="13" t="n">
        <v>0</v>
      </c>
      <c r="AB548" s="13" t="n">
        <v>0</v>
      </c>
      <c r="AC548" s="13" t="n">
        <v>0</v>
      </c>
      <c r="AD548" s="13" t="n">
        <v>0</v>
      </c>
      <c r="AE548" s="13" t="n">
        <v>0</v>
      </c>
      <c r="AF548" s="13" t="n">
        <v>0</v>
      </c>
      <c r="AG548" s="13" t="n">
        <v>0</v>
      </c>
      <c r="AH548" s="13" t="n">
        <v>0</v>
      </c>
      <c r="AI548" s="13" t="n">
        <v>0</v>
      </c>
      <c r="AJ548" s="13" t="n">
        <v>0</v>
      </c>
      <c r="AK548" s="13" t="n">
        <v>0</v>
      </c>
      <c r="AL548" s="13" t="n">
        <v>0</v>
      </c>
      <c r="AM548" s="13" t="n">
        <v>0</v>
      </c>
      <c r="AN548" s="13" t="n">
        <v>0</v>
      </c>
      <c r="AO548" s="13" t="n">
        <v>0</v>
      </c>
      <c r="AP548" s="13" t="n">
        <v>0</v>
      </c>
      <c r="AQ548" s="13" t="n">
        <v>0</v>
      </c>
      <c r="AR548" s="13" t="n">
        <v>0</v>
      </c>
      <c r="AS548" s="13" t="n">
        <v>0</v>
      </c>
      <c r="AT548" s="13" t="n">
        <v>0</v>
      </c>
    </row>
    <row r="549" customFormat="false" ht="15" hidden="false" customHeight="true" outlineLevel="0" collapsed="false">
      <c r="A549" s="12" t="s">
        <v>1699</v>
      </c>
      <c r="B549" s="12" t="s">
        <v>1700</v>
      </c>
      <c r="C549" s="12" t="n">
        <v>1</v>
      </c>
      <c r="D549" s="12" t="s">
        <v>1701</v>
      </c>
      <c r="E549" s="13" t="n">
        <v>0</v>
      </c>
      <c r="F549" s="13" t="n">
        <v>0</v>
      </c>
      <c r="G549" s="13" t="n">
        <v>0</v>
      </c>
      <c r="H549" s="13" t="n">
        <v>0</v>
      </c>
      <c r="I549" s="13" t="n">
        <v>0</v>
      </c>
      <c r="J549" s="13" t="n">
        <v>0</v>
      </c>
      <c r="K549" s="13" t="n">
        <v>0</v>
      </c>
      <c r="L549" s="13" t="n">
        <v>0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2268.03336</v>
      </c>
      <c r="T549" s="13" t="n">
        <v>1876.0448</v>
      </c>
      <c r="U549" s="13" t="n">
        <v>2100.083458</v>
      </c>
      <c r="V549" s="13" t="n">
        <v>2225.939352</v>
      </c>
      <c r="W549" s="13" t="n">
        <v>2226.047488</v>
      </c>
      <c r="X549" s="13" t="n">
        <v>0</v>
      </c>
      <c r="Y549" s="13" t="n">
        <v>1988.033652</v>
      </c>
      <c r="Z549" s="13" t="n">
        <v>0</v>
      </c>
      <c r="AA549" s="13" t="n">
        <v>2310.09471</v>
      </c>
      <c r="AB549" s="13" t="n">
        <v>2100.029812</v>
      </c>
      <c r="AC549" s="13" t="n">
        <v>2225.9952</v>
      </c>
      <c r="AD549" s="13" t="n">
        <v>2380.0429</v>
      </c>
      <c r="AE549" s="13" t="n">
        <v>2548.02996</v>
      </c>
      <c r="AF549" s="13" t="n">
        <v>2239.952</v>
      </c>
      <c r="AG549" s="13" t="n">
        <v>3880.05588</v>
      </c>
      <c r="AH549" s="13" t="n">
        <v>2422.00125</v>
      </c>
      <c r="AI549" s="13" t="n">
        <v>2393.98592</v>
      </c>
      <c r="AJ549" s="13" t="n">
        <v>4437.9459</v>
      </c>
      <c r="AK549" s="13" t="n">
        <v>2183.97225</v>
      </c>
      <c r="AL549" s="13" t="n">
        <v>4200.063524</v>
      </c>
      <c r="AM549" s="13" t="n">
        <v>2365.918834</v>
      </c>
      <c r="AN549" s="13" t="n">
        <v>2407.96387</v>
      </c>
      <c r="AO549" s="13" t="n">
        <v>2310.014398</v>
      </c>
      <c r="AP549" s="13" t="n">
        <v>2477.9616</v>
      </c>
      <c r="AQ549" s="13" t="n">
        <v>2422.032448</v>
      </c>
      <c r="AR549" s="13" t="n">
        <v>2491.92633</v>
      </c>
      <c r="AS549" s="13" t="n">
        <v>2338.021179</v>
      </c>
      <c r="AT549" s="13" t="n">
        <v>2310.036184</v>
      </c>
    </row>
    <row r="550" customFormat="false" ht="15" hidden="false" customHeight="true" outlineLevel="0" collapsed="false">
      <c r="A550" s="12" t="s">
        <v>1702</v>
      </c>
      <c r="B550" s="12" t="s">
        <v>1703</v>
      </c>
      <c r="C550" s="12" t="n">
        <v>1</v>
      </c>
      <c r="D550" s="12" t="s">
        <v>1704</v>
      </c>
      <c r="E550" s="13" t="n">
        <v>0</v>
      </c>
      <c r="F550" s="13" t="n">
        <v>0</v>
      </c>
      <c r="G550" s="13" t="n">
        <v>0</v>
      </c>
      <c r="H550" s="13" t="n">
        <v>0</v>
      </c>
      <c r="I550" s="13" t="n">
        <v>0</v>
      </c>
      <c r="J550" s="13" t="n">
        <v>0</v>
      </c>
      <c r="K550" s="13" t="n">
        <v>0</v>
      </c>
      <c r="L550" s="13" t="n">
        <v>0</v>
      </c>
      <c r="M550" s="13" t="n">
        <v>0</v>
      </c>
      <c r="N550" s="13" t="n">
        <v>0</v>
      </c>
      <c r="O550" s="13" t="n">
        <v>0</v>
      </c>
      <c r="P550" s="13" t="n">
        <v>0</v>
      </c>
      <c r="Q550" s="13" t="n">
        <v>0</v>
      </c>
      <c r="R550" s="13" t="n">
        <v>0</v>
      </c>
      <c r="S550" s="13" t="n">
        <v>0</v>
      </c>
      <c r="T550" s="13" t="n">
        <v>0</v>
      </c>
      <c r="U550" s="13" t="n">
        <v>4344.965178</v>
      </c>
      <c r="V550" s="13" t="n">
        <v>4289.93526</v>
      </c>
      <c r="W550" s="13" t="n">
        <v>4675.037232</v>
      </c>
      <c r="X550" s="13" t="n">
        <v>4840.057584</v>
      </c>
      <c r="Y550" s="13" t="n">
        <v>4730.094724</v>
      </c>
      <c r="Z550" s="13" t="n">
        <v>4399.984336</v>
      </c>
      <c r="AA550" s="13" t="n">
        <v>4729.98984</v>
      </c>
      <c r="AB550" s="13" t="n">
        <v>4839.902972</v>
      </c>
      <c r="AC550" s="13" t="n">
        <v>5044.4724</v>
      </c>
      <c r="AD550" s="13" t="n">
        <v>4761.1123</v>
      </c>
      <c r="AE550" s="13" t="n">
        <v>4704.35364</v>
      </c>
      <c r="AF550" s="13" t="n">
        <v>4874.441</v>
      </c>
      <c r="AG550" s="13" t="n">
        <v>5498.0002</v>
      </c>
      <c r="AH550" s="13" t="n">
        <v>5157.8712</v>
      </c>
      <c r="AI550" s="13" t="n">
        <v>5214.47577</v>
      </c>
      <c r="AJ550" s="13" t="n">
        <v>3189.69207</v>
      </c>
      <c r="AK550" s="13" t="n">
        <v>5157.8802</v>
      </c>
      <c r="AL550" s="13" t="n">
        <v>5214.532472</v>
      </c>
      <c r="AM550" s="13" t="n">
        <v>5554.718106</v>
      </c>
      <c r="AN550" s="13" t="n">
        <v>5667.976494</v>
      </c>
      <c r="AO550" s="13" t="n">
        <v>5524.449688</v>
      </c>
      <c r="AP550" s="13" t="n">
        <v>5524.33584</v>
      </c>
      <c r="AQ550" s="13" t="n">
        <v>5818.237636</v>
      </c>
      <c r="AR550" s="13" t="n">
        <v>6347.088106</v>
      </c>
      <c r="AS550" s="13" t="n">
        <v>7757.688249</v>
      </c>
      <c r="AT550" s="13" t="n">
        <v>7757.5842</v>
      </c>
    </row>
    <row r="551" customFormat="false" ht="15" hidden="false" customHeight="true" outlineLevel="0" collapsed="false">
      <c r="A551" s="12" t="s">
        <v>1705</v>
      </c>
      <c r="B551" s="12" t="s">
        <v>1706</v>
      </c>
      <c r="C551" s="12" t="n">
        <v>1</v>
      </c>
      <c r="D551" s="12" t="s">
        <v>1707</v>
      </c>
      <c r="E551" s="13" t="n">
        <v>0</v>
      </c>
      <c r="F551" s="13" t="n">
        <v>0</v>
      </c>
      <c r="G551" s="13" t="n">
        <v>0</v>
      </c>
      <c r="H551" s="13" t="n">
        <v>0</v>
      </c>
      <c r="I551" s="13" t="n">
        <v>0</v>
      </c>
      <c r="J551" s="13" t="n">
        <v>0</v>
      </c>
      <c r="K551" s="13" t="n">
        <v>0</v>
      </c>
      <c r="L551" s="13" t="n">
        <v>0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0</v>
      </c>
      <c r="V551" s="13" t="n">
        <v>0</v>
      </c>
      <c r="W551" s="13" t="n">
        <v>0</v>
      </c>
      <c r="X551" s="13" t="n">
        <v>0</v>
      </c>
      <c r="Y551" s="13" t="n">
        <v>0</v>
      </c>
      <c r="Z551" s="13" t="n">
        <v>0</v>
      </c>
      <c r="AA551" s="13" t="n">
        <v>0</v>
      </c>
      <c r="AB551" s="13" t="n">
        <v>0</v>
      </c>
      <c r="AC551" s="13" t="n">
        <v>0</v>
      </c>
      <c r="AD551" s="13" t="n">
        <v>0</v>
      </c>
      <c r="AE551" s="13" t="n">
        <v>0</v>
      </c>
      <c r="AF551" s="13" t="n">
        <v>0</v>
      </c>
      <c r="AG551" s="13" t="n">
        <v>0</v>
      </c>
      <c r="AH551" s="13" t="n">
        <v>0</v>
      </c>
      <c r="AI551" s="13" t="n">
        <v>0</v>
      </c>
      <c r="AJ551" s="13" t="n">
        <v>0</v>
      </c>
      <c r="AK551" s="13" t="n">
        <v>0</v>
      </c>
      <c r="AL551" s="13" t="n">
        <v>0</v>
      </c>
      <c r="AM551" s="13" t="n">
        <v>0</v>
      </c>
      <c r="AN551" s="13" t="n">
        <v>0</v>
      </c>
      <c r="AO551" s="13" t="n">
        <v>0</v>
      </c>
      <c r="AP551" s="13" t="n">
        <v>0</v>
      </c>
      <c r="AQ551" s="13" t="n">
        <v>0</v>
      </c>
      <c r="AR551" s="13" t="n">
        <v>0</v>
      </c>
      <c r="AS551" s="13" t="n">
        <v>0</v>
      </c>
      <c r="AT551" s="13" t="n">
        <v>4249.913528</v>
      </c>
    </row>
    <row r="552" customFormat="false" ht="15" hidden="false" customHeight="true" outlineLevel="0" collapsed="false">
      <c r="A552" s="12" t="s">
        <v>1708</v>
      </c>
      <c r="B552" s="12" t="s">
        <v>1709</v>
      </c>
      <c r="C552" s="12" t="n">
        <v>1</v>
      </c>
      <c r="D552" s="12" t="s">
        <v>1710</v>
      </c>
      <c r="E552" s="13" t="n">
        <v>0</v>
      </c>
      <c r="F552" s="13" t="n">
        <v>0</v>
      </c>
      <c r="G552" s="13" t="n">
        <v>0</v>
      </c>
      <c r="H552" s="13" t="n">
        <v>0</v>
      </c>
      <c r="I552" s="13" t="n">
        <v>0</v>
      </c>
      <c r="J552" s="13" t="n">
        <v>0</v>
      </c>
      <c r="K552" s="13" t="n">
        <v>0</v>
      </c>
      <c r="L552" s="13" t="n">
        <v>0</v>
      </c>
      <c r="M552" s="13" t="n">
        <v>0</v>
      </c>
      <c r="N552" s="13" t="n">
        <v>0</v>
      </c>
      <c r="O552" s="13" t="n">
        <v>0</v>
      </c>
      <c r="P552" s="13" t="n">
        <v>0</v>
      </c>
      <c r="Q552" s="13" t="n">
        <v>0</v>
      </c>
      <c r="R552" s="13" t="n">
        <v>0</v>
      </c>
      <c r="S552" s="13" t="n">
        <v>0</v>
      </c>
      <c r="T552" s="13" t="n">
        <v>0</v>
      </c>
      <c r="U552" s="13" t="n">
        <v>0</v>
      </c>
      <c r="V552" s="13" t="n">
        <v>0</v>
      </c>
      <c r="W552" s="13" t="n">
        <v>0</v>
      </c>
      <c r="X552" s="13" t="n">
        <v>0</v>
      </c>
      <c r="Y552" s="13" t="n">
        <v>0</v>
      </c>
      <c r="Z552" s="13" t="n">
        <v>0</v>
      </c>
      <c r="AA552" s="13" t="n">
        <v>0</v>
      </c>
      <c r="AB552" s="13" t="n">
        <v>0</v>
      </c>
      <c r="AC552" s="13" t="n">
        <v>0</v>
      </c>
      <c r="AD552" s="13" t="n">
        <v>0</v>
      </c>
      <c r="AE552" s="13" t="n">
        <v>0</v>
      </c>
      <c r="AF552" s="13" t="n">
        <v>0</v>
      </c>
      <c r="AG552" s="13" t="n">
        <v>0</v>
      </c>
      <c r="AH552" s="13" t="n">
        <v>0</v>
      </c>
      <c r="AI552" s="13" t="n">
        <v>0</v>
      </c>
      <c r="AJ552" s="13" t="n">
        <v>0</v>
      </c>
      <c r="AK552" s="13" t="n">
        <v>0</v>
      </c>
      <c r="AL552" s="13" t="n">
        <v>0</v>
      </c>
      <c r="AM552" s="13" t="n">
        <v>0</v>
      </c>
      <c r="AN552" s="13" t="n">
        <v>0</v>
      </c>
      <c r="AO552" s="13" t="n">
        <v>299.97948</v>
      </c>
      <c r="AP552" s="13" t="n">
        <v>300.08184</v>
      </c>
      <c r="AQ552" s="13" t="n">
        <v>300.037961</v>
      </c>
      <c r="AR552" s="13" t="n">
        <v>299.97846</v>
      </c>
      <c r="AS552" s="13" t="n">
        <v>299.977101</v>
      </c>
      <c r="AT552" s="13" t="n">
        <v>525.048</v>
      </c>
    </row>
    <row r="553" customFormat="false" ht="15" hidden="false" customHeight="true" outlineLevel="0" collapsed="false">
      <c r="A553" s="12" t="s">
        <v>1711</v>
      </c>
      <c r="B553" s="12" t="s">
        <v>1712</v>
      </c>
      <c r="C553" s="12" t="n">
        <v>1</v>
      </c>
      <c r="D553" s="12" t="s">
        <v>1713</v>
      </c>
      <c r="E553" s="13" t="n">
        <v>0</v>
      </c>
      <c r="F553" s="13" t="n">
        <v>0</v>
      </c>
      <c r="G553" s="13" t="n">
        <v>0</v>
      </c>
      <c r="H553" s="13" t="n">
        <v>0</v>
      </c>
      <c r="I553" s="13" t="n">
        <v>0</v>
      </c>
      <c r="J553" s="13" t="n">
        <v>0</v>
      </c>
      <c r="K553" s="13" t="n">
        <v>0</v>
      </c>
      <c r="L553" s="13" t="n">
        <v>0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3" t="n">
        <v>0</v>
      </c>
      <c r="W553" s="13" t="n">
        <v>0</v>
      </c>
      <c r="X553" s="13" t="n">
        <v>0</v>
      </c>
      <c r="Y553" s="13" t="n">
        <v>0</v>
      </c>
      <c r="Z553" s="13" t="n">
        <v>0</v>
      </c>
      <c r="AA553" s="13" t="n">
        <v>0</v>
      </c>
      <c r="AB553" s="13" t="n">
        <v>0</v>
      </c>
      <c r="AC553" s="13" t="n">
        <v>0</v>
      </c>
      <c r="AD553" s="13" t="n">
        <v>0</v>
      </c>
      <c r="AE553" s="13" t="n">
        <v>0</v>
      </c>
      <c r="AF553" s="13" t="n">
        <v>0</v>
      </c>
      <c r="AG553" s="13" t="n">
        <v>0</v>
      </c>
      <c r="AH553" s="13" t="n">
        <v>0</v>
      </c>
      <c r="AI553" s="13" t="n">
        <v>0</v>
      </c>
      <c r="AJ553" s="13" t="n">
        <v>0</v>
      </c>
      <c r="AK553" s="13" t="n">
        <v>909.912</v>
      </c>
      <c r="AL553" s="13" t="n">
        <v>1560.01307</v>
      </c>
      <c r="AM553" s="13" t="n">
        <v>3120.011897</v>
      </c>
      <c r="AN553" s="13" t="n">
        <v>3185.022263</v>
      </c>
      <c r="AO553" s="13" t="n">
        <v>0</v>
      </c>
      <c r="AP553" s="13" t="n">
        <v>3184.93992</v>
      </c>
      <c r="AQ553" s="13" t="n">
        <v>2535.022</v>
      </c>
      <c r="AR553" s="13" t="n">
        <v>3055.04379</v>
      </c>
      <c r="AS553" s="13" t="n">
        <v>65.084472</v>
      </c>
      <c r="AT553" s="13" t="n">
        <v>64.930936</v>
      </c>
    </row>
    <row r="554" customFormat="false" ht="15" hidden="false" customHeight="true" outlineLevel="0" collapsed="false">
      <c r="A554" s="12" t="s">
        <v>1714</v>
      </c>
      <c r="B554" s="12" t="s">
        <v>1715</v>
      </c>
      <c r="C554" s="12" t="n">
        <v>1</v>
      </c>
      <c r="D554" s="12" t="s">
        <v>1716</v>
      </c>
      <c r="E554" s="13" t="n">
        <v>0</v>
      </c>
      <c r="F554" s="13" t="n">
        <v>0</v>
      </c>
      <c r="G554" s="13" t="n">
        <v>0</v>
      </c>
      <c r="H554" s="13" t="n">
        <v>0</v>
      </c>
      <c r="I554" s="13" t="n">
        <v>0</v>
      </c>
      <c r="J554" s="13" t="n">
        <v>0</v>
      </c>
      <c r="K554" s="13" t="n">
        <v>0</v>
      </c>
      <c r="L554" s="13" t="n">
        <v>0</v>
      </c>
      <c r="M554" s="13" t="n">
        <v>0</v>
      </c>
      <c r="N554" s="13" t="n">
        <v>0</v>
      </c>
      <c r="O554" s="13" t="n">
        <v>0</v>
      </c>
      <c r="P554" s="13" t="n">
        <v>0</v>
      </c>
      <c r="Q554" s="13" t="n">
        <v>0</v>
      </c>
      <c r="R554" s="13" t="n">
        <v>1449.938526</v>
      </c>
      <c r="S554" s="13" t="n">
        <v>1799.93721</v>
      </c>
      <c r="T554" s="13" t="n">
        <v>1700.01664</v>
      </c>
      <c r="U554" s="13" t="n">
        <v>1799.974648</v>
      </c>
      <c r="V554" s="13" t="n">
        <v>1799.98572</v>
      </c>
      <c r="W554" s="13" t="n">
        <v>1800.0384</v>
      </c>
      <c r="X554" s="13" t="n">
        <v>1849.922042</v>
      </c>
      <c r="Y554" s="13" t="n">
        <v>1149.941034</v>
      </c>
      <c r="Z554" s="13" t="n">
        <v>0</v>
      </c>
      <c r="AA554" s="13" t="n">
        <v>0</v>
      </c>
      <c r="AB554" s="13" t="n">
        <v>0</v>
      </c>
      <c r="AC554" s="13" t="n">
        <v>0</v>
      </c>
      <c r="AD554" s="13" t="n">
        <v>0</v>
      </c>
      <c r="AE554" s="13" t="n">
        <v>0</v>
      </c>
      <c r="AF554" s="13" t="n">
        <v>0</v>
      </c>
      <c r="AG554" s="13" t="n">
        <v>0</v>
      </c>
      <c r="AH554" s="13" t="n">
        <v>0</v>
      </c>
      <c r="AI554" s="13" t="n">
        <v>0</v>
      </c>
      <c r="AJ554" s="13" t="n">
        <v>0</v>
      </c>
      <c r="AK554" s="13" t="n">
        <v>0</v>
      </c>
      <c r="AL554" s="13" t="n">
        <v>0</v>
      </c>
      <c r="AM554" s="13" t="n">
        <v>0</v>
      </c>
      <c r="AN554" s="13" t="n">
        <v>0</v>
      </c>
      <c r="AO554" s="13" t="n">
        <v>0</v>
      </c>
      <c r="AP554" s="13" t="n">
        <v>0</v>
      </c>
      <c r="AQ554" s="13" t="n">
        <v>0</v>
      </c>
      <c r="AR554" s="13" t="n">
        <v>0</v>
      </c>
      <c r="AS554" s="13" t="n">
        <v>0</v>
      </c>
      <c r="AT554" s="13" t="n">
        <v>0</v>
      </c>
    </row>
    <row r="555" customFormat="false" ht="15" hidden="false" customHeight="true" outlineLevel="0" collapsed="false">
      <c r="A555" s="12" t="s">
        <v>1717</v>
      </c>
      <c r="B555" s="12" t="s">
        <v>1718</v>
      </c>
      <c r="C555" s="12" t="n">
        <v>1</v>
      </c>
      <c r="D555" s="12" t="s">
        <v>1719</v>
      </c>
      <c r="E555" s="13" t="n">
        <v>0</v>
      </c>
      <c r="F555" s="13" t="n">
        <v>0</v>
      </c>
      <c r="G555" s="13" t="n">
        <v>0</v>
      </c>
      <c r="H555" s="13" t="n">
        <v>0</v>
      </c>
      <c r="I555" s="13" t="n">
        <v>0</v>
      </c>
      <c r="J555" s="13" t="n">
        <v>0</v>
      </c>
      <c r="K555" s="13" t="n">
        <v>0</v>
      </c>
      <c r="L555" s="13" t="n">
        <v>0</v>
      </c>
      <c r="M555" s="13" t="n">
        <v>0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0</v>
      </c>
      <c r="W555" s="13" t="n">
        <v>0</v>
      </c>
      <c r="X555" s="13" t="n">
        <v>0</v>
      </c>
      <c r="Y555" s="13" t="n">
        <v>0</v>
      </c>
      <c r="Z555" s="13" t="n">
        <v>0</v>
      </c>
      <c r="AA555" s="13" t="n">
        <v>0</v>
      </c>
      <c r="AB555" s="13" t="n">
        <v>0</v>
      </c>
      <c r="AC555" s="13" t="n">
        <v>0</v>
      </c>
      <c r="AD555" s="13" t="n">
        <v>0</v>
      </c>
      <c r="AE555" s="13" t="n">
        <v>0</v>
      </c>
      <c r="AF555" s="13" t="n">
        <v>0</v>
      </c>
      <c r="AG555" s="13" t="n">
        <v>0</v>
      </c>
      <c r="AH555" s="13" t="n">
        <v>0</v>
      </c>
      <c r="AI555" s="13" t="n">
        <v>0</v>
      </c>
      <c r="AJ555" s="13" t="n">
        <v>0</v>
      </c>
      <c r="AK555" s="13" t="n">
        <v>0</v>
      </c>
      <c r="AL555" s="13" t="n">
        <v>0</v>
      </c>
      <c r="AM555" s="13" t="n">
        <v>0</v>
      </c>
      <c r="AN555" s="13" t="n">
        <v>0</v>
      </c>
      <c r="AO555" s="13" t="n">
        <v>0</v>
      </c>
      <c r="AP555" s="13" t="n">
        <v>0</v>
      </c>
      <c r="AQ555" s="13" t="n">
        <v>0</v>
      </c>
      <c r="AR555" s="13" t="n">
        <v>0</v>
      </c>
      <c r="AS555" s="13" t="n">
        <v>0</v>
      </c>
      <c r="AT555" s="13" t="n">
        <v>4260.064456</v>
      </c>
    </row>
    <row r="556" customFormat="false" ht="15" hidden="false" customHeight="true" outlineLevel="0" collapsed="false">
      <c r="A556" s="12" t="s">
        <v>1720</v>
      </c>
      <c r="B556" s="12" t="s">
        <v>1721</v>
      </c>
      <c r="C556" s="12" t="n">
        <v>1</v>
      </c>
      <c r="D556" s="12" t="s">
        <v>1722</v>
      </c>
      <c r="E556" s="13" t="n">
        <v>200.01978</v>
      </c>
      <c r="F556" s="13" t="n">
        <v>200.036262</v>
      </c>
      <c r="G556" s="13" t="n">
        <v>200.008315</v>
      </c>
      <c r="H556" s="13" t="n">
        <v>200.049183</v>
      </c>
      <c r="I556" s="13" t="n">
        <v>200.073076</v>
      </c>
      <c r="J556" s="13" t="n">
        <v>199.974985</v>
      </c>
      <c r="K556" s="13" t="n">
        <v>199.927032</v>
      </c>
      <c r="L556" s="13" t="n">
        <v>159.925255</v>
      </c>
      <c r="M556" s="13" t="n">
        <v>160.04862</v>
      </c>
      <c r="N556" s="13" t="n">
        <v>160.080708</v>
      </c>
      <c r="O556" s="13" t="n">
        <v>160.03347</v>
      </c>
      <c r="P556" s="13" t="n">
        <v>199.974306</v>
      </c>
      <c r="Q556" s="13" t="n">
        <v>209.980539</v>
      </c>
      <c r="R556" s="13" t="n">
        <v>168.036969</v>
      </c>
      <c r="S556" s="13" t="n">
        <v>210.06435</v>
      </c>
      <c r="T556" s="13" t="n">
        <v>168.02688</v>
      </c>
      <c r="U556" s="13" t="n">
        <v>168.027023</v>
      </c>
      <c r="V556" s="13" t="n">
        <v>168.023232</v>
      </c>
      <c r="W556" s="13" t="n">
        <v>126.002688</v>
      </c>
      <c r="X556" s="13" t="n">
        <v>167.958406</v>
      </c>
      <c r="Y556" s="13" t="n">
        <v>167.933522</v>
      </c>
      <c r="Z556" s="13" t="n">
        <v>167.988832</v>
      </c>
      <c r="AA556" s="13" t="n">
        <v>167.96607</v>
      </c>
      <c r="AB556" s="13" t="n">
        <v>167.95382</v>
      </c>
      <c r="AC556" s="13" t="n">
        <v>175.1596</v>
      </c>
      <c r="AD556" s="13" t="n">
        <v>131.392</v>
      </c>
      <c r="AE556" s="13" t="n">
        <v>131.24916</v>
      </c>
      <c r="AF556" s="13" t="n">
        <v>131.3818</v>
      </c>
      <c r="AG556" s="13" t="n">
        <v>131.2264</v>
      </c>
      <c r="AH556" s="13" t="n">
        <v>131.25075</v>
      </c>
      <c r="AI556" s="13" t="n">
        <v>131.39103</v>
      </c>
      <c r="AJ556" s="13" t="n">
        <v>131.21856</v>
      </c>
      <c r="AK556" s="13" t="n">
        <v>131.3502</v>
      </c>
      <c r="AL556" s="13" t="n">
        <v>131.321053</v>
      </c>
      <c r="AM556" s="13" t="n">
        <v>0</v>
      </c>
      <c r="AN556" s="13" t="n">
        <v>131.27809</v>
      </c>
      <c r="AO556" s="13" t="n">
        <v>136.19758</v>
      </c>
      <c r="AP556" s="13" t="n">
        <v>136.14984</v>
      </c>
      <c r="AQ556" s="13" t="n">
        <v>136.166896</v>
      </c>
      <c r="AR556" s="13" t="n">
        <v>136.130576</v>
      </c>
      <c r="AS556" s="13" t="n">
        <v>136.227339</v>
      </c>
      <c r="AT556" s="13" t="n">
        <v>136.162448</v>
      </c>
    </row>
    <row r="557" customFormat="false" ht="15" hidden="false" customHeight="true" outlineLevel="0" collapsed="false">
      <c r="A557" s="12" t="s">
        <v>1723</v>
      </c>
      <c r="B557" s="12" t="s">
        <v>1724</v>
      </c>
      <c r="C557" s="12" t="n">
        <v>1</v>
      </c>
      <c r="D557" s="12" t="s">
        <v>1725</v>
      </c>
      <c r="E557" s="13" t="n">
        <v>0</v>
      </c>
      <c r="F557" s="13" t="n">
        <v>0</v>
      </c>
      <c r="G557" s="13" t="n">
        <v>0</v>
      </c>
      <c r="H557" s="13" t="n">
        <v>0</v>
      </c>
      <c r="I557" s="13" t="n">
        <v>0</v>
      </c>
      <c r="J557" s="13" t="n">
        <v>0</v>
      </c>
      <c r="K557" s="13" t="n">
        <v>0</v>
      </c>
      <c r="L557" s="13" t="n">
        <v>0</v>
      </c>
      <c r="M557" s="13" t="n">
        <v>0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0</v>
      </c>
      <c r="X557" s="13" t="n">
        <v>0</v>
      </c>
      <c r="Y557" s="13" t="n">
        <v>0</v>
      </c>
      <c r="Z557" s="13" t="n">
        <v>0</v>
      </c>
      <c r="AA557" s="13" t="n">
        <v>0</v>
      </c>
      <c r="AB557" s="13" t="n">
        <v>0</v>
      </c>
      <c r="AC557" s="13" t="n">
        <v>0</v>
      </c>
      <c r="AD557" s="13" t="n">
        <v>0</v>
      </c>
      <c r="AE557" s="13" t="n">
        <v>0</v>
      </c>
      <c r="AF557" s="13" t="n">
        <v>0</v>
      </c>
      <c r="AG557" s="13" t="n">
        <v>0</v>
      </c>
      <c r="AH557" s="13" t="n">
        <v>2520.0144</v>
      </c>
      <c r="AI557" s="13" t="n">
        <v>2519.92582</v>
      </c>
      <c r="AJ557" s="13" t="n">
        <v>5445.01107</v>
      </c>
      <c r="AK557" s="13" t="n">
        <v>5400.0342</v>
      </c>
      <c r="AL557" s="13" t="n">
        <v>5400.002739</v>
      </c>
      <c r="AM557" s="13" t="n">
        <v>5400.084087</v>
      </c>
      <c r="AN557" s="13" t="n">
        <v>5309.928991</v>
      </c>
      <c r="AO557" s="13" t="n">
        <v>5832.532062</v>
      </c>
      <c r="AP557" s="13" t="n">
        <v>5785.76424</v>
      </c>
      <c r="AQ557" s="13" t="n">
        <v>5832.542403</v>
      </c>
      <c r="AR557" s="13" t="n">
        <v>5925.89028</v>
      </c>
      <c r="AS557" s="13" t="n">
        <v>5739.204132</v>
      </c>
      <c r="AT557" s="13" t="n">
        <v>5645.841144</v>
      </c>
    </row>
    <row r="558" customFormat="false" ht="15" hidden="false" customHeight="true" outlineLevel="0" collapsed="false">
      <c r="A558" s="12" t="s">
        <v>1726</v>
      </c>
      <c r="B558" s="12" t="s">
        <v>1727</v>
      </c>
      <c r="C558" s="12" t="n">
        <v>1</v>
      </c>
      <c r="D558" s="12" t="s">
        <v>1728</v>
      </c>
      <c r="E558" s="13" t="n">
        <v>0</v>
      </c>
      <c r="F558" s="13" t="n">
        <v>0</v>
      </c>
      <c r="G558" s="13" t="n">
        <v>0</v>
      </c>
      <c r="H558" s="13" t="n">
        <v>0</v>
      </c>
      <c r="I558" s="13" t="n">
        <v>0</v>
      </c>
      <c r="J558" s="13" t="n">
        <v>1124.92344</v>
      </c>
      <c r="K558" s="13" t="n">
        <v>0</v>
      </c>
      <c r="L558" s="13" t="n">
        <v>750.057819</v>
      </c>
      <c r="M558" s="13" t="n">
        <v>750.007575</v>
      </c>
      <c r="N558" s="13" t="n">
        <v>749.994378</v>
      </c>
      <c r="O558" s="13" t="n">
        <v>749.920282</v>
      </c>
      <c r="P558" s="13" t="n">
        <v>749.988239</v>
      </c>
      <c r="Q558" s="13" t="n">
        <v>787.555791</v>
      </c>
      <c r="R558" s="13" t="n">
        <v>787.534401</v>
      </c>
      <c r="S558" s="13" t="n">
        <v>787.493205</v>
      </c>
      <c r="T558" s="13" t="n">
        <v>787.53024</v>
      </c>
      <c r="U558" s="13" t="n">
        <v>787.573685</v>
      </c>
      <c r="V558" s="13" t="n">
        <v>787.424664</v>
      </c>
      <c r="W558" s="13" t="n">
        <v>787.5168</v>
      </c>
      <c r="X558" s="13" t="n">
        <v>787.441358</v>
      </c>
      <c r="Y558" s="13" t="n">
        <v>787.496</v>
      </c>
      <c r="Z558" s="13" t="n">
        <v>787.422592</v>
      </c>
      <c r="AA558" s="13" t="n">
        <v>787.58331</v>
      </c>
      <c r="AB558" s="13" t="n">
        <v>787.561768</v>
      </c>
      <c r="AC558" s="13" t="n">
        <v>820.5824</v>
      </c>
      <c r="AD558" s="13" t="n">
        <v>820.5841</v>
      </c>
      <c r="AE558" s="13" t="n">
        <v>820.5624</v>
      </c>
      <c r="AF558" s="13" t="n">
        <v>820.5978</v>
      </c>
      <c r="AG558" s="13" t="n">
        <v>820.74394</v>
      </c>
      <c r="AH558" s="13" t="n">
        <v>820.7421</v>
      </c>
      <c r="AI558" s="13" t="n">
        <v>820.67702</v>
      </c>
      <c r="AJ558" s="13" t="n">
        <v>820.67517</v>
      </c>
      <c r="AK558" s="13" t="n">
        <v>820.57185</v>
      </c>
      <c r="AL558" s="13" t="n">
        <v>820.710536</v>
      </c>
      <c r="AM558" s="13" t="n">
        <v>820.679242</v>
      </c>
      <c r="AN558" s="13" t="n">
        <v>820.577979</v>
      </c>
      <c r="AO558" s="13" t="n">
        <v>850.976272</v>
      </c>
      <c r="AP558" s="13" t="n">
        <v>850.89336</v>
      </c>
      <c r="AQ558" s="13" t="n">
        <v>850.862027</v>
      </c>
      <c r="AR558" s="13" t="n">
        <v>850.991526</v>
      </c>
      <c r="AS558" s="13" t="n">
        <v>850.944852</v>
      </c>
      <c r="AT558" s="13" t="n">
        <v>850.927792</v>
      </c>
    </row>
    <row r="559" customFormat="false" ht="15" hidden="false" customHeight="true" outlineLevel="0" collapsed="false">
      <c r="A559" s="12" t="s">
        <v>1729</v>
      </c>
      <c r="B559" s="12" t="s">
        <v>1730</v>
      </c>
      <c r="C559" s="12" t="n">
        <v>1</v>
      </c>
      <c r="D559" s="12" t="s">
        <v>1731</v>
      </c>
      <c r="E559" s="13" t="n">
        <v>0</v>
      </c>
      <c r="F559" s="13" t="n">
        <v>0</v>
      </c>
      <c r="G559" s="13" t="n">
        <v>0</v>
      </c>
      <c r="H559" s="13" t="n">
        <v>0</v>
      </c>
      <c r="I559" s="13" t="n">
        <v>0</v>
      </c>
      <c r="J559" s="13" t="n">
        <v>0</v>
      </c>
      <c r="K559" s="13" t="n">
        <v>0</v>
      </c>
      <c r="L559" s="13" t="n">
        <v>0</v>
      </c>
      <c r="M559" s="13" t="n">
        <v>0</v>
      </c>
      <c r="N559" s="13" t="n">
        <v>0</v>
      </c>
      <c r="O559" s="13" t="n">
        <v>0</v>
      </c>
      <c r="P559" s="13" t="n">
        <v>10205.964475</v>
      </c>
      <c r="Q559" s="13" t="n">
        <v>9772.078788</v>
      </c>
      <c r="R559" s="13" t="n">
        <v>9674.006256</v>
      </c>
      <c r="S559" s="13" t="n">
        <v>9548.003625</v>
      </c>
      <c r="T559" s="13" t="n">
        <v>10359.9552</v>
      </c>
      <c r="U559" s="13" t="n">
        <v>10415.979896</v>
      </c>
      <c r="V559" s="13" t="n">
        <v>10555.985856</v>
      </c>
      <c r="W559" s="13" t="n">
        <v>10416.034704</v>
      </c>
      <c r="X559" s="13" t="n">
        <v>10051.923918</v>
      </c>
      <c r="Y559" s="13" t="n">
        <v>10136.05789</v>
      </c>
      <c r="Z559" s="13" t="n">
        <v>10681.924704</v>
      </c>
      <c r="AA559" s="13" t="n">
        <v>10682.0706</v>
      </c>
      <c r="AB559" s="13" t="n">
        <v>10542.036338</v>
      </c>
      <c r="AC559" s="13" t="n">
        <v>10416.1024</v>
      </c>
      <c r="AD559" s="13" t="n">
        <v>10527.9893</v>
      </c>
      <c r="AE559" s="13" t="n">
        <v>10654.0434</v>
      </c>
      <c r="AF559" s="13" t="n">
        <v>10807.9642</v>
      </c>
      <c r="AG559" s="13" t="n">
        <v>10780.05578</v>
      </c>
      <c r="AH559" s="13" t="n">
        <v>10934.0373</v>
      </c>
      <c r="AI559" s="13" t="n">
        <v>10863.91412</v>
      </c>
      <c r="AJ559" s="13" t="n">
        <v>10878.09318</v>
      </c>
      <c r="AK559" s="13" t="n">
        <v>10738.0623</v>
      </c>
      <c r="AL559" s="13" t="n">
        <v>10457.981361</v>
      </c>
      <c r="AM559" s="13" t="n">
        <v>10626.090257</v>
      </c>
      <c r="AN559" s="13" t="n">
        <v>10556.017267</v>
      </c>
      <c r="AO559" s="13" t="n">
        <v>10512.556754</v>
      </c>
      <c r="AP559" s="13" t="n">
        <v>9939.97368</v>
      </c>
      <c r="AQ559" s="13" t="n">
        <v>13208.913204</v>
      </c>
      <c r="AR559" s="13" t="n">
        <v>6826.527364</v>
      </c>
      <c r="AS559" s="13" t="n">
        <v>13708.416915</v>
      </c>
      <c r="AT559" s="13" t="n">
        <v>14004.430288</v>
      </c>
    </row>
    <row r="560" customFormat="false" ht="15" hidden="false" customHeight="true" outlineLevel="0" collapsed="false">
      <c r="A560" s="12" t="s">
        <v>1732</v>
      </c>
      <c r="B560" s="12" t="s">
        <v>1733</v>
      </c>
      <c r="C560" s="12" t="n">
        <v>1</v>
      </c>
      <c r="D560" s="12" t="s">
        <v>1734</v>
      </c>
      <c r="E560" s="13" t="n">
        <v>0</v>
      </c>
      <c r="F560" s="13" t="n">
        <v>0</v>
      </c>
      <c r="G560" s="13" t="n">
        <v>0</v>
      </c>
      <c r="H560" s="13" t="n">
        <v>0</v>
      </c>
      <c r="I560" s="13" t="n">
        <v>0</v>
      </c>
      <c r="J560" s="13" t="n">
        <v>0</v>
      </c>
      <c r="K560" s="13" t="n">
        <v>0</v>
      </c>
      <c r="L560" s="13" t="n">
        <v>0</v>
      </c>
      <c r="M560" s="13" t="n">
        <v>0</v>
      </c>
      <c r="N560" s="13" t="n">
        <v>0</v>
      </c>
      <c r="O560" s="13" t="n">
        <v>0</v>
      </c>
      <c r="P560" s="13" t="n">
        <v>0</v>
      </c>
      <c r="Q560" s="13" t="n">
        <v>0</v>
      </c>
      <c r="R560" s="13" t="n">
        <v>0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  <c r="X560" s="13" t="n">
        <v>0</v>
      </c>
      <c r="Y560" s="13" t="n">
        <v>0</v>
      </c>
      <c r="Z560" s="13" t="n">
        <v>0</v>
      </c>
      <c r="AA560" s="13" t="n">
        <v>0</v>
      </c>
      <c r="AB560" s="13" t="n">
        <v>0</v>
      </c>
      <c r="AC560" s="13" t="n">
        <v>0</v>
      </c>
      <c r="AD560" s="13" t="n">
        <v>0</v>
      </c>
      <c r="AE560" s="13" t="n">
        <v>0</v>
      </c>
      <c r="AF560" s="13" t="n">
        <v>0</v>
      </c>
      <c r="AG560" s="13" t="n">
        <v>0</v>
      </c>
      <c r="AH560" s="13" t="n">
        <v>0</v>
      </c>
      <c r="AI560" s="13" t="n">
        <v>0</v>
      </c>
      <c r="AJ560" s="13" t="n">
        <v>780.04215</v>
      </c>
      <c r="AK560" s="13" t="n">
        <v>909.912</v>
      </c>
      <c r="AL560" s="13" t="n">
        <v>910.038321</v>
      </c>
      <c r="AM560" s="13" t="n">
        <v>910.011113</v>
      </c>
      <c r="AN560" s="13" t="n">
        <v>975.054526</v>
      </c>
      <c r="AO560" s="13" t="n">
        <v>1010.965328</v>
      </c>
      <c r="AP560" s="13" t="n">
        <v>1078.32744</v>
      </c>
      <c r="AQ560" s="13" t="n">
        <v>1348.088485</v>
      </c>
      <c r="AR560" s="13" t="n">
        <v>1280.6098</v>
      </c>
      <c r="AS560" s="13" t="n">
        <v>1280.571606</v>
      </c>
      <c r="AT560" s="13" t="n">
        <v>1280.592072</v>
      </c>
    </row>
    <row r="561" customFormat="false" ht="15" hidden="false" customHeight="true" outlineLevel="0" collapsed="false">
      <c r="A561" s="12" t="s">
        <v>1735</v>
      </c>
      <c r="B561" s="12" t="s">
        <v>1736</v>
      </c>
      <c r="C561" s="12" t="n">
        <v>1</v>
      </c>
      <c r="D561" s="12" t="s">
        <v>1737</v>
      </c>
      <c r="E561" s="13" t="n">
        <v>0</v>
      </c>
      <c r="F561" s="13" t="n">
        <v>0</v>
      </c>
      <c r="G561" s="13" t="n">
        <v>0</v>
      </c>
      <c r="H561" s="13" t="n">
        <v>0</v>
      </c>
      <c r="I561" s="13" t="n">
        <v>0</v>
      </c>
      <c r="J561" s="13" t="n">
        <v>0</v>
      </c>
      <c r="K561" s="13" t="n">
        <v>0</v>
      </c>
      <c r="L561" s="13" t="n">
        <v>0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  <c r="X561" s="13" t="n">
        <v>0</v>
      </c>
      <c r="Y561" s="13" t="n">
        <v>0</v>
      </c>
      <c r="Z561" s="13" t="n">
        <v>0</v>
      </c>
      <c r="AA561" s="13" t="n">
        <v>0</v>
      </c>
      <c r="AB561" s="13" t="n">
        <v>0</v>
      </c>
      <c r="AC561" s="13" t="n">
        <v>0</v>
      </c>
      <c r="AD561" s="13" t="n">
        <v>0</v>
      </c>
      <c r="AE561" s="13" t="n">
        <v>0</v>
      </c>
      <c r="AF561" s="13" t="n">
        <v>0</v>
      </c>
      <c r="AG561" s="13" t="n">
        <v>3899.93282</v>
      </c>
      <c r="AH561" s="13" t="n">
        <v>0</v>
      </c>
      <c r="AI561" s="13" t="n">
        <v>3900.00156</v>
      </c>
      <c r="AJ561" s="13" t="n">
        <v>3900.02436</v>
      </c>
      <c r="AK561" s="13" t="n">
        <v>3999.9438</v>
      </c>
      <c r="AL561" s="13" t="n">
        <v>3700.012109</v>
      </c>
      <c r="AM561" s="13" t="n">
        <v>3899.969013</v>
      </c>
      <c r="AN561" s="13" t="n">
        <v>3800.051123</v>
      </c>
      <c r="AO561" s="13" t="n">
        <v>3991.623506</v>
      </c>
      <c r="AP561" s="13" t="n">
        <v>3887.94936</v>
      </c>
      <c r="AQ561" s="13" t="n">
        <v>3991.754285</v>
      </c>
      <c r="AR561" s="13" t="n">
        <v>3369.582608</v>
      </c>
      <c r="AS561" s="13" t="n">
        <v>3525.120405</v>
      </c>
      <c r="AT561" s="13" t="n">
        <v>3628.781744</v>
      </c>
    </row>
    <row r="562" customFormat="false" ht="15" hidden="false" customHeight="true" outlineLevel="0" collapsed="false">
      <c r="A562" s="12" t="s">
        <v>1738</v>
      </c>
      <c r="B562" s="12" t="s">
        <v>1739</v>
      </c>
      <c r="C562" s="12" t="n">
        <v>1</v>
      </c>
      <c r="D562" s="12" t="s">
        <v>1740</v>
      </c>
      <c r="E562" s="13" t="n">
        <v>0</v>
      </c>
      <c r="F562" s="13" t="n">
        <v>0</v>
      </c>
      <c r="G562" s="13" t="n">
        <v>0</v>
      </c>
      <c r="H562" s="13" t="n">
        <v>0</v>
      </c>
      <c r="I562" s="13" t="n">
        <v>0</v>
      </c>
      <c r="J562" s="13" t="n">
        <v>0</v>
      </c>
      <c r="K562" s="13" t="n">
        <v>0</v>
      </c>
      <c r="L562" s="13" t="n">
        <v>0</v>
      </c>
      <c r="M562" s="13" t="n">
        <v>0</v>
      </c>
      <c r="N562" s="13" t="n">
        <v>0</v>
      </c>
      <c r="O562" s="13" t="n">
        <v>0</v>
      </c>
      <c r="P562" s="13" t="n">
        <v>0</v>
      </c>
      <c r="Q562" s="13" t="n">
        <v>0</v>
      </c>
      <c r="R562" s="13" t="n">
        <v>0</v>
      </c>
      <c r="S562" s="13" t="n">
        <v>0</v>
      </c>
      <c r="T562" s="13" t="n">
        <v>0</v>
      </c>
      <c r="U562" s="13" t="n">
        <v>0</v>
      </c>
      <c r="V562" s="13" t="n">
        <v>0</v>
      </c>
      <c r="W562" s="13" t="n">
        <v>0</v>
      </c>
      <c r="X562" s="13" t="n">
        <v>0</v>
      </c>
      <c r="Y562" s="13" t="n">
        <v>0</v>
      </c>
      <c r="Z562" s="13" t="n">
        <v>0</v>
      </c>
      <c r="AA562" s="13" t="n">
        <v>0</v>
      </c>
      <c r="AB562" s="13" t="n">
        <v>0</v>
      </c>
      <c r="AC562" s="13" t="n">
        <v>0</v>
      </c>
      <c r="AD562" s="13" t="n">
        <v>0</v>
      </c>
      <c r="AE562" s="13" t="n">
        <v>0</v>
      </c>
      <c r="AF562" s="13" t="n">
        <v>0</v>
      </c>
      <c r="AG562" s="13" t="n">
        <v>0</v>
      </c>
      <c r="AH562" s="13" t="n">
        <v>0</v>
      </c>
      <c r="AI562" s="13" t="n">
        <v>0</v>
      </c>
      <c r="AJ562" s="13" t="n">
        <v>0</v>
      </c>
      <c r="AK562" s="13" t="n">
        <v>0</v>
      </c>
      <c r="AL562" s="13" t="n">
        <v>43061.5178</v>
      </c>
      <c r="AM562" s="13" t="n">
        <v>42886.6354</v>
      </c>
      <c r="AN562" s="13" t="n">
        <v>42044.9554</v>
      </c>
      <c r="AO562" s="13" t="n">
        <v>40307.5876</v>
      </c>
      <c r="AP562" s="13" t="n">
        <v>40344.528</v>
      </c>
      <c r="AQ562" s="13" t="n">
        <v>42334.8674</v>
      </c>
      <c r="AR562" s="13" t="n">
        <v>41014.5988</v>
      </c>
      <c r="AS562" s="13" t="n">
        <v>40470.0786</v>
      </c>
      <c r="AT562" s="13" t="n">
        <v>40918.7408</v>
      </c>
    </row>
    <row r="563" customFormat="false" ht="15" hidden="false" customHeight="true" outlineLevel="0" collapsed="false">
      <c r="A563" s="12" t="s">
        <v>1741</v>
      </c>
      <c r="B563" s="12" t="s">
        <v>1742</v>
      </c>
      <c r="C563" s="12" t="n">
        <v>1</v>
      </c>
      <c r="D563" s="12" t="s">
        <v>1743</v>
      </c>
      <c r="E563" s="13" t="n">
        <v>0</v>
      </c>
      <c r="F563" s="13" t="n">
        <v>0</v>
      </c>
      <c r="G563" s="13" t="n">
        <v>0</v>
      </c>
      <c r="H563" s="13" t="n">
        <v>0</v>
      </c>
      <c r="I563" s="13" t="n">
        <v>0</v>
      </c>
      <c r="J563" s="13" t="n">
        <v>0</v>
      </c>
      <c r="K563" s="13" t="n">
        <v>0</v>
      </c>
      <c r="L563" s="13" t="n">
        <v>0</v>
      </c>
      <c r="M563" s="13" t="n">
        <v>0</v>
      </c>
      <c r="N563" s="13" t="n">
        <v>0</v>
      </c>
      <c r="O563" s="13" t="n">
        <v>0</v>
      </c>
      <c r="P563" s="13" t="n">
        <v>4672.496094</v>
      </c>
      <c r="Q563" s="13" t="n">
        <v>5162.465124</v>
      </c>
      <c r="R563" s="13" t="n">
        <v>4900.081095</v>
      </c>
      <c r="S563" s="13" t="n">
        <v>4955.037585</v>
      </c>
      <c r="T563" s="13" t="n">
        <v>4830.04928</v>
      </c>
      <c r="U563" s="13" t="n">
        <v>5565.068566</v>
      </c>
      <c r="V563" s="13" t="n">
        <v>6362.59026</v>
      </c>
      <c r="W563" s="13" t="n">
        <v>6607.453456</v>
      </c>
      <c r="X563" s="13" t="n">
        <v>6470.067144</v>
      </c>
      <c r="Y563" s="13" t="n">
        <v>6392.49878</v>
      </c>
      <c r="Z563" s="13" t="n">
        <v>6474.9872</v>
      </c>
      <c r="AA563" s="13" t="n">
        <v>12675.00945</v>
      </c>
      <c r="AB563" s="13" t="n">
        <v>11437.452788</v>
      </c>
      <c r="AC563" s="13" t="n">
        <v>12657.4008</v>
      </c>
      <c r="AD563" s="13" t="n">
        <v>9556.3044</v>
      </c>
      <c r="AE563" s="13" t="n">
        <v>8853.29676</v>
      </c>
      <c r="AF563" s="13" t="n">
        <v>9236.4734</v>
      </c>
      <c r="AG563" s="13" t="n">
        <v>9937.31212</v>
      </c>
      <c r="AH563" s="13" t="n">
        <v>9192.0849</v>
      </c>
      <c r="AI563" s="13" t="n">
        <v>0</v>
      </c>
      <c r="AJ563" s="13" t="n">
        <v>6110.42337</v>
      </c>
      <c r="AK563" s="13" t="n">
        <v>5307.75885</v>
      </c>
      <c r="AL563" s="13" t="n">
        <v>4924.815759</v>
      </c>
      <c r="AM563" s="13" t="n">
        <v>4924.809184</v>
      </c>
      <c r="AN563" s="13" t="n">
        <v>4870.057473</v>
      </c>
      <c r="AO563" s="13" t="n">
        <v>9264.366274</v>
      </c>
      <c r="AP563" s="13" t="n">
        <v>8878.212</v>
      </c>
      <c r="AQ563" s="13" t="n">
        <v>9269.851162</v>
      </c>
      <c r="AR563" s="13" t="n">
        <v>9194.252086</v>
      </c>
      <c r="AS563" s="13" t="n">
        <v>9291.500766</v>
      </c>
      <c r="AT563" s="13" t="n">
        <v>0</v>
      </c>
    </row>
    <row r="564" customFormat="false" ht="15" hidden="false" customHeight="true" outlineLevel="0" collapsed="false">
      <c r="A564" s="12" t="s">
        <v>1744</v>
      </c>
      <c r="B564" s="12" t="s">
        <v>1745</v>
      </c>
      <c r="C564" s="12" t="n">
        <v>1</v>
      </c>
      <c r="D564" s="12" t="s">
        <v>1746</v>
      </c>
      <c r="E564" s="13" t="n">
        <v>0</v>
      </c>
      <c r="F564" s="13" t="n">
        <v>0</v>
      </c>
      <c r="G564" s="13" t="n">
        <v>0</v>
      </c>
      <c r="H564" s="13" t="n">
        <v>0</v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0</v>
      </c>
      <c r="N564" s="13" t="n">
        <v>0</v>
      </c>
      <c r="O564" s="13" t="n">
        <v>0</v>
      </c>
      <c r="P564" s="13" t="n">
        <v>0</v>
      </c>
      <c r="Q564" s="13" t="n">
        <v>0</v>
      </c>
      <c r="R564" s="13" t="n">
        <v>0</v>
      </c>
      <c r="S564" s="13" t="n">
        <v>0</v>
      </c>
      <c r="T564" s="13" t="n">
        <v>0</v>
      </c>
      <c r="U564" s="13" t="n">
        <v>0</v>
      </c>
      <c r="V564" s="13" t="n">
        <v>764.947872</v>
      </c>
      <c r="W564" s="13" t="n">
        <v>810.01728</v>
      </c>
      <c r="X564" s="13" t="n">
        <v>720.020038</v>
      </c>
      <c r="Y564" s="13" t="n">
        <v>765.052364</v>
      </c>
      <c r="Z564" s="13" t="n">
        <v>764.970624</v>
      </c>
      <c r="AA564" s="13" t="n">
        <v>720.02952</v>
      </c>
      <c r="AB564" s="13" t="n">
        <v>719.975532</v>
      </c>
      <c r="AC564" s="13" t="n">
        <v>750.2704</v>
      </c>
      <c r="AD564" s="13" t="n">
        <v>797.1799</v>
      </c>
      <c r="AE564" s="13" t="n">
        <v>750.141</v>
      </c>
      <c r="AF564" s="13" t="n">
        <v>750.3056</v>
      </c>
      <c r="AG564" s="13" t="n">
        <v>937.8828</v>
      </c>
      <c r="AH564" s="13" t="n">
        <v>890.9943</v>
      </c>
      <c r="AI564" s="13" t="n">
        <v>937.78233</v>
      </c>
      <c r="AJ564" s="13" t="n">
        <v>890.9442</v>
      </c>
      <c r="AK564" s="13" t="n">
        <v>844.05345</v>
      </c>
      <c r="AL564" s="13" t="n">
        <v>797.135368</v>
      </c>
      <c r="AM564" s="13" t="n">
        <v>797.199818</v>
      </c>
      <c r="AN564" s="13" t="n">
        <v>703.326863</v>
      </c>
      <c r="AO564" s="13" t="n">
        <v>729.26046</v>
      </c>
      <c r="AP564" s="13" t="n">
        <v>729.23856</v>
      </c>
      <c r="AQ564" s="13" t="n">
        <v>729.362044</v>
      </c>
      <c r="AR564" s="13" t="n">
        <v>777.838884</v>
      </c>
      <c r="AS564" s="13" t="n">
        <v>777.897918</v>
      </c>
      <c r="AT564" s="13" t="n">
        <v>826.600568</v>
      </c>
    </row>
    <row r="565" customFormat="false" ht="15" hidden="false" customHeight="true" outlineLevel="0" collapsed="false">
      <c r="A565" s="12" t="s">
        <v>1747</v>
      </c>
      <c r="B565" s="12" t="s">
        <v>1748</v>
      </c>
      <c r="C565" s="12" t="n">
        <v>1</v>
      </c>
      <c r="D565" s="12" t="s">
        <v>1749</v>
      </c>
      <c r="E565" s="13" t="n">
        <v>0</v>
      </c>
      <c r="F565" s="13" t="n">
        <v>0</v>
      </c>
      <c r="G565" s="13" t="n">
        <v>0</v>
      </c>
      <c r="H565" s="13" t="n">
        <v>0</v>
      </c>
      <c r="I565" s="13" t="n">
        <v>0</v>
      </c>
      <c r="J565" s="13" t="n">
        <v>0</v>
      </c>
      <c r="K565" s="13" t="n">
        <v>0</v>
      </c>
      <c r="L565" s="13" t="n">
        <v>0</v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  <c r="V565" s="13" t="n">
        <v>0</v>
      </c>
      <c r="W565" s="13" t="n">
        <v>0</v>
      </c>
      <c r="X565" s="13" t="n">
        <v>0</v>
      </c>
      <c r="Y565" s="13" t="n">
        <v>0</v>
      </c>
      <c r="Z565" s="13" t="n">
        <v>0</v>
      </c>
      <c r="AA565" s="13" t="n">
        <v>0</v>
      </c>
      <c r="AB565" s="13" t="n">
        <v>0</v>
      </c>
      <c r="AC565" s="13" t="n">
        <v>0</v>
      </c>
      <c r="AD565" s="13" t="n">
        <v>0</v>
      </c>
      <c r="AE565" s="13" t="n">
        <v>0</v>
      </c>
      <c r="AF565" s="13" t="n">
        <v>0</v>
      </c>
      <c r="AG565" s="13" t="n">
        <v>0</v>
      </c>
      <c r="AH565" s="13" t="n">
        <v>0</v>
      </c>
      <c r="AI565" s="13" t="n">
        <v>0</v>
      </c>
      <c r="AJ565" s="13" t="n">
        <v>0</v>
      </c>
      <c r="AK565" s="13" t="n">
        <v>0</v>
      </c>
      <c r="AL565" s="13" t="n">
        <v>0</v>
      </c>
      <c r="AM565" s="13" t="n">
        <v>0</v>
      </c>
      <c r="AN565" s="13" t="n">
        <v>0</v>
      </c>
      <c r="AO565" s="13" t="n">
        <v>0</v>
      </c>
      <c r="AP565" s="13" t="n">
        <v>0</v>
      </c>
      <c r="AQ565" s="13" t="n">
        <v>0</v>
      </c>
      <c r="AR565" s="13" t="n">
        <v>0</v>
      </c>
      <c r="AS565" s="13" t="n">
        <v>0</v>
      </c>
      <c r="AT565" s="13" t="n">
        <v>0</v>
      </c>
    </row>
    <row r="566" customFormat="false" ht="15" hidden="false" customHeight="true" outlineLevel="0" collapsed="false">
      <c r="A566" s="12" t="s">
        <v>1750</v>
      </c>
      <c r="B566" s="12" t="s">
        <v>1751</v>
      </c>
      <c r="C566" s="12" t="n">
        <v>1</v>
      </c>
      <c r="D566" s="12" t="s">
        <v>1752</v>
      </c>
      <c r="E566" s="13" t="n">
        <v>0</v>
      </c>
      <c r="F566" s="13" t="n">
        <v>0</v>
      </c>
      <c r="G566" s="13" t="n">
        <v>0</v>
      </c>
      <c r="H566" s="13" t="n">
        <v>0</v>
      </c>
      <c r="I566" s="13" t="n">
        <v>0</v>
      </c>
      <c r="J566" s="13" t="n">
        <v>0</v>
      </c>
      <c r="K566" s="13" t="n">
        <v>0</v>
      </c>
      <c r="L566" s="13" t="n">
        <v>0</v>
      </c>
      <c r="M566" s="13" t="n">
        <v>0</v>
      </c>
      <c r="N566" s="13" t="n">
        <v>0</v>
      </c>
      <c r="O566" s="13" t="n">
        <v>0</v>
      </c>
      <c r="P566" s="13" t="n">
        <v>0</v>
      </c>
      <c r="Q566" s="13" t="n">
        <v>0</v>
      </c>
      <c r="R566" s="13" t="n">
        <v>0</v>
      </c>
      <c r="S566" s="13" t="n">
        <v>0</v>
      </c>
      <c r="T566" s="13" t="n">
        <v>0</v>
      </c>
      <c r="U566" s="13" t="n">
        <v>0</v>
      </c>
      <c r="V566" s="13" t="n">
        <v>0</v>
      </c>
      <c r="W566" s="13" t="n">
        <v>0</v>
      </c>
      <c r="X566" s="13" t="n">
        <v>0</v>
      </c>
      <c r="Y566" s="13" t="n">
        <v>0</v>
      </c>
      <c r="Z566" s="13" t="n">
        <v>0</v>
      </c>
      <c r="AA566" s="13" t="n">
        <v>0</v>
      </c>
      <c r="AB566" s="13" t="n">
        <v>0</v>
      </c>
      <c r="AC566" s="13" t="n">
        <v>0</v>
      </c>
      <c r="AD566" s="13" t="n">
        <v>0</v>
      </c>
      <c r="AE566" s="13" t="n">
        <v>0</v>
      </c>
      <c r="AF566" s="13" t="n">
        <v>0</v>
      </c>
      <c r="AG566" s="13" t="n">
        <v>0</v>
      </c>
      <c r="AH566" s="13" t="n">
        <v>0</v>
      </c>
      <c r="AI566" s="13" t="n">
        <v>0</v>
      </c>
      <c r="AJ566" s="13" t="n">
        <v>0</v>
      </c>
      <c r="AK566" s="13" t="n">
        <v>0</v>
      </c>
      <c r="AL566" s="13" t="n">
        <v>0</v>
      </c>
      <c r="AM566" s="13" t="n">
        <v>0</v>
      </c>
      <c r="AN566" s="13" t="n">
        <v>0</v>
      </c>
      <c r="AO566" s="13" t="n">
        <v>0</v>
      </c>
      <c r="AP566" s="13" t="n">
        <v>0</v>
      </c>
      <c r="AQ566" s="13" t="n">
        <v>0</v>
      </c>
      <c r="AR566" s="13" t="n">
        <v>0</v>
      </c>
      <c r="AS566" s="13" t="n">
        <v>0</v>
      </c>
      <c r="AT566" s="13" t="n">
        <v>2255.08116</v>
      </c>
    </row>
    <row r="567" customFormat="false" ht="15" hidden="false" customHeight="true" outlineLevel="0" collapsed="false">
      <c r="A567" s="12" t="s">
        <v>1753</v>
      </c>
      <c r="B567" s="12" t="s">
        <v>1754</v>
      </c>
      <c r="C567" s="12" t="n">
        <v>1</v>
      </c>
      <c r="D567" s="12" t="s">
        <v>1755</v>
      </c>
      <c r="E567" s="13" t="n">
        <v>0</v>
      </c>
      <c r="F567" s="13" t="n">
        <v>0</v>
      </c>
      <c r="G567" s="13" t="n">
        <v>0</v>
      </c>
      <c r="H567" s="13" t="n">
        <v>0</v>
      </c>
      <c r="I567" s="13" t="n">
        <v>0</v>
      </c>
      <c r="J567" s="13" t="n">
        <v>0</v>
      </c>
      <c r="K567" s="13" t="n">
        <v>0</v>
      </c>
      <c r="L567" s="13" t="n">
        <v>0</v>
      </c>
      <c r="M567" s="13" t="n">
        <v>0</v>
      </c>
      <c r="N567" s="13" t="n">
        <v>0</v>
      </c>
      <c r="O567" s="13" t="n">
        <v>0</v>
      </c>
      <c r="P567" s="13" t="n">
        <v>9315.046797</v>
      </c>
      <c r="Q567" s="13" t="n">
        <v>37008.082764</v>
      </c>
      <c r="R567" s="13" t="n">
        <v>35975.980008</v>
      </c>
      <c r="S567" s="13" t="n">
        <v>35615.99703</v>
      </c>
      <c r="T567" s="13" t="n">
        <v>35400.04608</v>
      </c>
      <c r="U567" s="13" t="n">
        <v>36696.016684</v>
      </c>
      <c r="V567" s="13" t="n">
        <v>36384.030696</v>
      </c>
      <c r="W567" s="13" t="n">
        <v>34703.990336</v>
      </c>
      <c r="X567" s="13" t="n">
        <v>34727.92874</v>
      </c>
      <c r="Y567" s="13" t="n">
        <v>35471.969824</v>
      </c>
      <c r="Z567" s="13" t="n">
        <v>39096.092992</v>
      </c>
      <c r="AA567" s="13" t="n">
        <v>38616.07299</v>
      </c>
      <c r="AB567" s="13" t="n">
        <v>36887.920076</v>
      </c>
      <c r="AC567" s="13" t="n">
        <v>37343.944</v>
      </c>
      <c r="AD567" s="13" t="n">
        <v>34176.0857</v>
      </c>
      <c r="AE567" s="13" t="n">
        <v>34296.03828</v>
      </c>
      <c r="AF567" s="13" t="n">
        <v>33192.016</v>
      </c>
      <c r="AG567" s="13" t="n">
        <v>38663.92896</v>
      </c>
      <c r="AH567" s="13" t="n">
        <v>30005.9988</v>
      </c>
      <c r="AI567" s="13" t="n">
        <v>29537.98174</v>
      </c>
      <c r="AJ567" s="13" t="n">
        <v>27630.08082</v>
      </c>
      <c r="AK567" s="13" t="n">
        <v>21581.97525</v>
      </c>
      <c r="AL567" s="13" t="n">
        <v>20375.94403</v>
      </c>
      <c r="AM567" s="13" t="n">
        <v>19079.966928</v>
      </c>
      <c r="AN567" s="13" t="n">
        <v>18251.970502</v>
      </c>
      <c r="AO567" s="13" t="n">
        <v>30892.197174</v>
      </c>
      <c r="AP567" s="13" t="n">
        <v>8648.53464</v>
      </c>
      <c r="AQ567" s="13" t="n">
        <v>9364.190195</v>
      </c>
      <c r="AR567" s="13" t="n">
        <v>7595.770374</v>
      </c>
      <c r="AS567" s="13" t="n">
        <v>8964.347436</v>
      </c>
      <c r="AT567" s="13" t="n">
        <v>9534.521648</v>
      </c>
    </row>
    <row r="568" customFormat="false" ht="15" hidden="false" customHeight="true" outlineLevel="0" collapsed="false">
      <c r="A568" s="12" t="s">
        <v>1756</v>
      </c>
      <c r="B568" s="12" t="s">
        <v>1757</v>
      </c>
      <c r="C568" s="12" t="n">
        <v>1</v>
      </c>
      <c r="D568" s="12" t="s">
        <v>1758</v>
      </c>
      <c r="E568" s="13" t="n">
        <v>0</v>
      </c>
      <c r="F568" s="13" t="n">
        <v>0</v>
      </c>
      <c r="G568" s="13" t="n">
        <v>0</v>
      </c>
      <c r="H568" s="13" t="n">
        <v>0</v>
      </c>
      <c r="I568" s="13" t="n">
        <v>0</v>
      </c>
      <c r="J568" s="13" t="n">
        <v>0</v>
      </c>
      <c r="K568" s="13" t="n">
        <v>0</v>
      </c>
      <c r="L568" s="13" t="n">
        <v>0</v>
      </c>
      <c r="M568" s="13" t="n">
        <v>0</v>
      </c>
      <c r="N568" s="13" t="n">
        <v>0</v>
      </c>
      <c r="O568" s="13" t="n">
        <v>0</v>
      </c>
      <c r="P568" s="13" t="n">
        <v>0</v>
      </c>
      <c r="Q568" s="13" t="n">
        <v>0</v>
      </c>
      <c r="R568" s="13" t="n">
        <v>0</v>
      </c>
      <c r="S568" s="13" t="n">
        <v>0</v>
      </c>
      <c r="T568" s="13" t="n">
        <v>0</v>
      </c>
      <c r="U568" s="13" t="n">
        <v>0</v>
      </c>
      <c r="V568" s="13" t="n">
        <v>0</v>
      </c>
      <c r="W568" s="13" t="n">
        <v>0</v>
      </c>
      <c r="X568" s="13" t="n">
        <v>0</v>
      </c>
      <c r="Y568" s="13" t="n">
        <v>0</v>
      </c>
      <c r="Z568" s="13" t="n">
        <v>0</v>
      </c>
      <c r="AA568" s="13" t="n">
        <v>0</v>
      </c>
      <c r="AB568" s="13" t="n">
        <v>0</v>
      </c>
      <c r="AC568" s="13" t="n">
        <v>4989.6704</v>
      </c>
      <c r="AD568" s="13" t="n">
        <v>5108.4799</v>
      </c>
      <c r="AE568" s="13" t="n">
        <v>5623.30188</v>
      </c>
      <c r="AF568" s="13" t="n">
        <v>5979.5362</v>
      </c>
      <c r="AG568" s="13" t="n">
        <v>6375.67324</v>
      </c>
      <c r="AH568" s="13" t="n">
        <v>5662.8561</v>
      </c>
      <c r="AI568" s="13" t="n">
        <v>5306.3931</v>
      </c>
      <c r="AJ568" s="13" t="n">
        <v>5662.71459</v>
      </c>
      <c r="AK568" s="13" t="n">
        <v>5345.91645</v>
      </c>
      <c r="AL568" s="13" t="n">
        <v>5068.845301</v>
      </c>
      <c r="AM568" s="13" t="n">
        <v>4870.879882</v>
      </c>
      <c r="AN568" s="13" t="n">
        <v>4593.654152</v>
      </c>
      <c r="AO568" s="13" t="n">
        <v>4968.280836</v>
      </c>
      <c r="AP568" s="13" t="n">
        <v>4393.3776</v>
      </c>
      <c r="AQ568" s="13" t="n">
        <v>5584.110247</v>
      </c>
      <c r="AR568" s="13" t="n">
        <v>0</v>
      </c>
      <c r="AS568" s="13" t="n">
        <v>5009.254083</v>
      </c>
      <c r="AT568" s="13" t="n">
        <v>4064.921616</v>
      </c>
    </row>
    <row r="569" customFormat="false" ht="15" hidden="false" customHeight="true" outlineLevel="0" collapsed="false">
      <c r="A569" s="12" t="s">
        <v>1759</v>
      </c>
      <c r="B569" s="12" t="s">
        <v>1760</v>
      </c>
      <c r="C569" s="12" t="n">
        <v>1</v>
      </c>
      <c r="D569" s="12" t="s">
        <v>1761</v>
      </c>
      <c r="E569" s="13" t="n">
        <v>0</v>
      </c>
      <c r="F569" s="13" t="n">
        <v>0</v>
      </c>
      <c r="G569" s="13" t="n">
        <v>0</v>
      </c>
      <c r="H569" s="13" t="n">
        <v>0</v>
      </c>
      <c r="I569" s="13" t="n">
        <v>0</v>
      </c>
      <c r="J569" s="13" t="n">
        <v>0</v>
      </c>
      <c r="K569" s="13" t="n">
        <v>0</v>
      </c>
      <c r="L569" s="13" t="n">
        <v>0</v>
      </c>
      <c r="M569" s="13" t="n">
        <v>0</v>
      </c>
      <c r="N569" s="13" t="n">
        <v>0</v>
      </c>
      <c r="O569" s="13" t="n">
        <v>0</v>
      </c>
      <c r="P569" s="13" t="n">
        <v>325.000543</v>
      </c>
      <c r="Q569" s="13" t="n">
        <v>325.014849</v>
      </c>
      <c r="R569" s="13" t="n">
        <v>324.962643</v>
      </c>
      <c r="S569" s="13" t="n">
        <v>325.020825</v>
      </c>
      <c r="T569" s="13" t="n">
        <v>390.01984</v>
      </c>
      <c r="U569" s="13" t="n">
        <v>325.033101</v>
      </c>
      <c r="V569" s="13" t="n">
        <v>324.992304</v>
      </c>
      <c r="W569" s="13" t="n">
        <v>324.944432</v>
      </c>
      <c r="X569" s="13" t="n">
        <v>325.010422</v>
      </c>
      <c r="Y569" s="13" t="n">
        <v>325.038974</v>
      </c>
      <c r="Z569" s="13" t="n">
        <v>324.952144</v>
      </c>
      <c r="AA569" s="13" t="n">
        <v>324.91128</v>
      </c>
      <c r="AB569" s="13" t="n">
        <v>324.980524</v>
      </c>
      <c r="AC569" s="13" t="n">
        <v>338.7384</v>
      </c>
      <c r="AD569" s="13" t="n">
        <v>338.745</v>
      </c>
      <c r="AE569" s="13" t="n">
        <v>338.63508</v>
      </c>
      <c r="AF569" s="13" t="n">
        <v>338.734</v>
      </c>
      <c r="AG569" s="13" t="n">
        <v>338.6799</v>
      </c>
      <c r="AH569" s="13" t="n">
        <v>338.60805</v>
      </c>
      <c r="AI569" s="13" t="n">
        <v>270.86477</v>
      </c>
      <c r="AJ569" s="13" t="n">
        <v>271.01106</v>
      </c>
      <c r="AK569" s="13" t="n">
        <v>270.95565</v>
      </c>
      <c r="AL569" s="13" t="n">
        <v>270.930251</v>
      </c>
      <c r="AM569" s="13" t="n">
        <v>270.930541</v>
      </c>
      <c r="AN569" s="13" t="n">
        <v>271.008331</v>
      </c>
      <c r="AO569" s="13" t="n">
        <v>0</v>
      </c>
      <c r="AP569" s="13" t="n">
        <v>0</v>
      </c>
      <c r="AQ569" s="13" t="n">
        <v>0</v>
      </c>
      <c r="AR569" s="13" t="n">
        <v>0</v>
      </c>
      <c r="AS569" s="13" t="n">
        <v>0</v>
      </c>
      <c r="AT569" s="13" t="n">
        <v>0</v>
      </c>
    </row>
    <row r="570" customFormat="false" ht="15" hidden="false" customHeight="true" outlineLevel="0" collapsed="false">
      <c r="A570" s="12" t="s">
        <v>1762</v>
      </c>
      <c r="B570" s="12" t="s">
        <v>1763</v>
      </c>
      <c r="C570" s="12" t="n">
        <v>1</v>
      </c>
      <c r="D570" s="12" t="s">
        <v>1764</v>
      </c>
      <c r="E570" s="13" t="n">
        <v>0</v>
      </c>
      <c r="F570" s="13" t="n">
        <v>0</v>
      </c>
      <c r="G570" s="13" t="n">
        <v>0</v>
      </c>
      <c r="H570" s="13" t="n">
        <v>0</v>
      </c>
      <c r="I570" s="13" t="n">
        <v>0</v>
      </c>
      <c r="J570" s="13" t="n">
        <v>0</v>
      </c>
      <c r="K570" s="13" t="n">
        <v>0</v>
      </c>
      <c r="L570" s="13" t="n">
        <v>0</v>
      </c>
      <c r="M570" s="13" t="n">
        <v>0</v>
      </c>
      <c r="N570" s="13" t="n">
        <v>0</v>
      </c>
      <c r="O570" s="13" t="n">
        <v>0</v>
      </c>
      <c r="P570" s="13" t="n">
        <v>0</v>
      </c>
      <c r="Q570" s="13" t="n">
        <v>11969.920881</v>
      </c>
      <c r="R570" s="13" t="n">
        <v>11875.581153</v>
      </c>
      <c r="S570" s="13" t="n">
        <v>12474.018075</v>
      </c>
      <c r="T570" s="13" t="n">
        <v>12725.95072</v>
      </c>
      <c r="U570" s="13" t="n">
        <v>16558.54598</v>
      </c>
      <c r="V570" s="13" t="n">
        <v>16060.589064</v>
      </c>
      <c r="W570" s="13" t="n">
        <v>16682.980896</v>
      </c>
      <c r="X570" s="13" t="n">
        <v>16683.009038</v>
      </c>
      <c r="Y570" s="13" t="n">
        <v>14566.510386</v>
      </c>
      <c r="Z570" s="13" t="n">
        <v>15105.96472</v>
      </c>
      <c r="AA570" s="13" t="n">
        <v>15230.42034</v>
      </c>
      <c r="AB570" s="13" t="n">
        <v>15396.508798</v>
      </c>
      <c r="AC570" s="13" t="n">
        <v>15604.094</v>
      </c>
      <c r="AD570" s="13" t="n">
        <v>16392.5891</v>
      </c>
      <c r="AE570" s="13" t="n">
        <v>15603.9534</v>
      </c>
      <c r="AF570" s="13" t="n">
        <v>15147.4796</v>
      </c>
      <c r="AG570" s="13" t="n">
        <v>15022.91406</v>
      </c>
      <c r="AH570" s="13" t="n">
        <v>15023.0175</v>
      </c>
      <c r="AI570" s="13" t="n">
        <v>15022.93834</v>
      </c>
      <c r="AJ570" s="13" t="n">
        <v>15023.034</v>
      </c>
      <c r="AK570" s="13" t="n">
        <v>15023.0874</v>
      </c>
      <c r="AL570" s="13" t="n">
        <v>15023.091627</v>
      </c>
      <c r="AM570" s="13" t="n">
        <v>0</v>
      </c>
      <c r="AN570" s="13" t="n">
        <v>0</v>
      </c>
      <c r="AO570" s="13" t="n">
        <v>0</v>
      </c>
      <c r="AP570" s="13" t="n">
        <v>0</v>
      </c>
      <c r="AQ570" s="13" t="n">
        <v>0</v>
      </c>
      <c r="AR570" s="13" t="n">
        <v>0</v>
      </c>
      <c r="AS570" s="13" t="n">
        <v>0</v>
      </c>
      <c r="AT570" s="13" t="n">
        <v>0</v>
      </c>
    </row>
    <row r="571" customFormat="false" ht="15" hidden="false" customHeight="true" outlineLevel="0" collapsed="false">
      <c r="A571" s="12" t="s">
        <v>1765</v>
      </c>
      <c r="B571" s="12" t="s">
        <v>1766</v>
      </c>
      <c r="C571" s="12" t="n">
        <v>1</v>
      </c>
      <c r="D571" s="12" t="s">
        <v>1767</v>
      </c>
      <c r="E571" s="13" t="n">
        <v>0</v>
      </c>
      <c r="F571" s="13" t="n">
        <v>0</v>
      </c>
      <c r="G571" s="13" t="n">
        <v>0</v>
      </c>
      <c r="H571" s="13" t="n">
        <v>0</v>
      </c>
      <c r="I571" s="13" t="n">
        <v>0</v>
      </c>
      <c r="J571" s="13" t="n">
        <v>0</v>
      </c>
      <c r="K571" s="13" t="n">
        <v>0</v>
      </c>
      <c r="L571" s="13" t="n">
        <v>0</v>
      </c>
      <c r="M571" s="13" t="n">
        <v>8720.005815</v>
      </c>
      <c r="N571" s="13" t="n">
        <v>10575.08334</v>
      </c>
      <c r="O571" s="13" t="n">
        <v>9810.051711</v>
      </c>
      <c r="P571" s="13" t="n">
        <v>10844.968666</v>
      </c>
      <c r="Q571" s="13" t="n">
        <v>13023.429129</v>
      </c>
      <c r="R571" s="13" t="n">
        <v>13023.463398</v>
      </c>
      <c r="S571" s="13" t="n">
        <v>13448.74974</v>
      </c>
      <c r="T571" s="13" t="n">
        <v>14251.98208</v>
      </c>
      <c r="U571" s="13" t="n">
        <v>14818.9322</v>
      </c>
      <c r="V571" s="13" t="n">
        <v>15008.048796</v>
      </c>
      <c r="W571" s="13" t="n">
        <v>15102.50968</v>
      </c>
      <c r="X571" s="13" t="n">
        <v>16094.658872</v>
      </c>
      <c r="Y571" s="13" t="n">
        <v>14204.655974</v>
      </c>
      <c r="Z571" s="13" t="n">
        <v>12946.566512</v>
      </c>
      <c r="AA571" s="13" t="n">
        <v>14582.84277</v>
      </c>
      <c r="AB571" s="13" t="n">
        <v>14724.491164</v>
      </c>
      <c r="AC571" s="13" t="n">
        <v>15747.1996</v>
      </c>
      <c r="AD571" s="13" t="n">
        <v>13615.2907</v>
      </c>
      <c r="AE571" s="13" t="n">
        <v>14103.26316</v>
      </c>
      <c r="AF571" s="13" t="n">
        <v>13885.3528</v>
      </c>
      <c r="AG571" s="13" t="n">
        <v>13908.0686</v>
      </c>
      <c r="AH571" s="13" t="n">
        <v>16374.8058</v>
      </c>
      <c r="AI571" s="13" t="n">
        <v>18739.10524</v>
      </c>
      <c r="AJ571" s="13" t="n">
        <v>19422.39717</v>
      </c>
      <c r="AK571" s="13" t="n">
        <v>18348.85245</v>
      </c>
      <c r="AL571" s="13" t="n">
        <v>19959.142427</v>
      </c>
      <c r="AM571" s="13" t="n">
        <v>19227.263627</v>
      </c>
      <c r="AN571" s="13" t="n">
        <v>19422.323666</v>
      </c>
      <c r="AO571" s="13" t="n">
        <v>20134.82958</v>
      </c>
      <c r="AP571" s="13" t="n">
        <v>20134.81848</v>
      </c>
      <c r="AQ571" s="13" t="n">
        <v>20944.170691</v>
      </c>
      <c r="AR571" s="13" t="n">
        <v>21146.551744</v>
      </c>
      <c r="AS571" s="13" t="n">
        <v>21652.530633</v>
      </c>
      <c r="AT571" s="13" t="n">
        <v>21854.947984</v>
      </c>
    </row>
    <row r="572" customFormat="false" ht="15" hidden="false" customHeight="true" outlineLevel="0" collapsed="false">
      <c r="A572" s="12" t="s">
        <v>1768</v>
      </c>
      <c r="B572" s="12" t="s">
        <v>1769</v>
      </c>
      <c r="C572" s="12" t="n">
        <v>1</v>
      </c>
      <c r="D572" s="12" t="s">
        <v>1770</v>
      </c>
      <c r="E572" s="13" t="n">
        <v>3916.255824</v>
      </c>
      <c r="F572" s="13" t="n">
        <v>3659.35701</v>
      </c>
      <c r="G572" s="13" t="n">
        <v>3787.849781</v>
      </c>
      <c r="H572" s="13" t="n">
        <v>7383.059523</v>
      </c>
      <c r="I572" s="13" t="n">
        <v>7254.593178</v>
      </c>
      <c r="J572" s="13" t="n">
        <v>7190.375145</v>
      </c>
      <c r="K572" s="13" t="n">
        <v>7190.364024</v>
      </c>
      <c r="L572" s="13" t="n">
        <v>7254.577981</v>
      </c>
      <c r="M572" s="13" t="n">
        <v>7711.59375</v>
      </c>
      <c r="N572" s="13" t="n">
        <v>7126.120998</v>
      </c>
      <c r="O572" s="13" t="n">
        <v>7497.309951</v>
      </c>
      <c r="P572" s="13" t="n">
        <v>7980.023744</v>
      </c>
      <c r="Q572" s="13" t="n">
        <v>8259.978537</v>
      </c>
      <c r="R572" s="13" t="n">
        <v>9099.979662</v>
      </c>
      <c r="S572" s="13" t="n">
        <v>8749.9245</v>
      </c>
      <c r="T572" s="13" t="n">
        <v>11969.91488</v>
      </c>
      <c r="U572" s="13" t="n">
        <v>9979.720027</v>
      </c>
      <c r="V572" s="13" t="n">
        <v>10149.929712</v>
      </c>
      <c r="W572" s="13" t="n">
        <v>9309.948608</v>
      </c>
      <c r="X572" s="13" t="n">
        <v>9660.08707</v>
      </c>
      <c r="Y572" s="13" t="n">
        <v>9099.910028</v>
      </c>
      <c r="Z572" s="13" t="n">
        <v>10009.969376</v>
      </c>
      <c r="AA572" s="13" t="n">
        <v>9589.98501</v>
      </c>
      <c r="AB572" s="13" t="n">
        <v>9170.076218</v>
      </c>
      <c r="AC572" s="13" t="n">
        <v>9160.206</v>
      </c>
      <c r="AD572" s="13" t="n">
        <v>9160.2807</v>
      </c>
      <c r="AE572" s="13" t="n">
        <v>8362.59228</v>
      </c>
      <c r="AF572" s="13" t="n">
        <v>8094.9594</v>
      </c>
      <c r="AG572" s="13" t="n">
        <v>8161.89612</v>
      </c>
      <c r="AH572" s="13" t="n">
        <v>8161.7193</v>
      </c>
      <c r="AI572" s="13" t="n">
        <v>8028.01073</v>
      </c>
      <c r="AJ572" s="13" t="n">
        <v>7425.96399</v>
      </c>
      <c r="AK572" s="13" t="n">
        <v>7559.79105</v>
      </c>
      <c r="AL572" s="13" t="n">
        <v>7559.709145</v>
      </c>
      <c r="AM572" s="13" t="n">
        <v>7492.871184</v>
      </c>
      <c r="AN572" s="13" t="n">
        <v>7492.741945</v>
      </c>
      <c r="AO572" s="13" t="n">
        <v>0</v>
      </c>
      <c r="AP572" s="13" t="n">
        <v>0</v>
      </c>
      <c r="AQ572" s="13" t="n">
        <v>0</v>
      </c>
      <c r="AR572" s="13" t="n">
        <v>0</v>
      </c>
      <c r="AS572" s="13" t="n">
        <v>0</v>
      </c>
      <c r="AT572" s="13" t="n">
        <v>0</v>
      </c>
    </row>
    <row r="573" customFormat="false" ht="15" hidden="false" customHeight="true" outlineLevel="0" collapsed="false">
      <c r="A573" s="12" t="s">
        <v>1771</v>
      </c>
      <c r="B573" s="12" t="s">
        <v>1772</v>
      </c>
      <c r="C573" s="12" t="n">
        <v>1</v>
      </c>
      <c r="D573" s="12" t="s">
        <v>1773</v>
      </c>
      <c r="E573" s="13" t="n">
        <v>6041.91204</v>
      </c>
      <c r="F573" s="13" t="n">
        <v>6041.941632</v>
      </c>
      <c r="G573" s="13" t="n">
        <v>6326.959865</v>
      </c>
      <c r="H573" s="13" t="n">
        <v>6555.083193</v>
      </c>
      <c r="I573" s="13" t="n">
        <v>6669.043619</v>
      </c>
      <c r="J573" s="13" t="n">
        <v>6725.93367</v>
      </c>
      <c r="K573" s="13" t="n">
        <v>6783.00018</v>
      </c>
      <c r="L573" s="13" t="n">
        <v>6783.007805</v>
      </c>
      <c r="M573" s="13" t="n">
        <v>6725.91987</v>
      </c>
      <c r="N573" s="13" t="n">
        <v>6669.005658</v>
      </c>
      <c r="O573" s="13" t="n">
        <v>6555.005347</v>
      </c>
      <c r="P573" s="13" t="n">
        <v>6326.936651</v>
      </c>
      <c r="Q573" s="13" t="n">
        <v>6372.042309</v>
      </c>
      <c r="R573" s="13" t="n">
        <v>6372.071268</v>
      </c>
      <c r="S573" s="13" t="n">
        <v>4483.964145</v>
      </c>
      <c r="T573" s="13" t="n">
        <v>4483.95136</v>
      </c>
      <c r="U573" s="13" t="n">
        <v>4483.998638</v>
      </c>
      <c r="V573" s="13" t="n">
        <v>4424.980248</v>
      </c>
      <c r="W573" s="13" t="n">
        <v>5368.989536</v>
      </c>
      <c r="X573" s="13" t="n">
        <v>5368.91835</v>
      </c>
      <c r="Y573" s="13" t="n">
        <v>0</v>
      </c>
      <c r="Z573" s="13" t="n">
        <v>0</v>
      </c>
      <c r="AA573" s="13" t="n">
        <v>0</v>
      </c>
      <c r="AB573" s="13" t="n">
        <v>0</v>
      </c>
      <c r="AC573" s="13" t="n">
        <v>0</v>
      </c>
      <c r="AD573" s="13" t="n">
        <v>0</v>
      </c>
      <c r="AE573" s="13" t="n">
        <v>0</v>
      </c>
      <c r="AF573" s="13" t="n">
        <v>0</v>
      </c>
      <c r="AG573" s="13" t="n">
        <v>0</v>
      </c>
      <c r="AH573" s="13" t="n">
        <v>0</v>
      </c>
      <c r="AI573" s="13" t="n">
        <v>0</v>
      </c>
      <c r="AJ573" s="13" t="n">
        <v>0</v>
      </c>
      <c r="AK573" s="13" t="n">
        <v>0</v>
      </c>
      <c r="AL573" s="13" t="n">
        <v>0</v>
      </c>
      <c r="AM573" s="13" t="n">
        <v>0</v>
      </c>
      <c r="AN573" s="13" t="n">
        <v>0</v>
      </c>
      <c r="AO573" s="13" t="n">
        <v>0</v>
      </c>
      <c r="AP573" s="13" t="n">
        <v>0</v>
      </c>
      <c r="AQ573" s="13" t="n">
        <v>0</v>
      </c>
      <c r="AR573" s="13" t="n">
        <v>0</v>
      </c>
      <c r="AS573" s="13" t="n">
        <v>0</v>
      </c>
      <c r="AT573" s="13" t="n">
        <v>0</v>
      </c>
    </row>
    <row r="574" customFormat="false" ht="15" hidden="false" customHeight="true" outlineLevel="0" collapsed="false">
      <c r="A574" s="12" t="s">
        <v>1774</v>
      </c>
      <c r="B574" s="12" t="s">
        <v>1775</v>
      </c>
      <c r="C574" s="12" t="n">
        <v>1</v>
      </c>
      <c r="D574" s="12" t="s">
        <v>1776</v>
      </c>
      <c r="E574" s="13" t="n">
        <v>1476.577944</v>
      </c>
      <c r="F574" s="13" t="n">
        <v>1476.624624</v>
      </c>
      <c r="G574" s="13" t="n">
        <v>1476.622474</v>
      </c>
      <c r="H574" s="13" t="n">
        <v>1540.865754</v>
      </c>
      <c r="I574" s="13" t="n">
        <v>1540.845474</v>
      </c>
      <c r="J574" s="13" t="n">
        <v>1604.93183</v>
      </c>
      <c r="K574" s="13" t="n">
        <v>1604.923428</v>
      </c>
      <c r="L574" s="13" t="n">
        <v>1733.388811</v>
      </c>
      <c r="M574" s="13" t="n">
        <v>1669.22955</v>
      </c>
      <c r="N574" s="13" t="n">
        <v>1669.284042</v>
      </c>
      <c r="O574" s="13" t="n">
        <v>1540.795366</v>
      </c>
      <c r="P574" s="13" t="n">
        <v>1540.749581</v>
      </c>
      <c r="Q574" s="13" t="n">
        <v>1540.772982</v>
      </c>
      <c r="R574" s="13" t="n">
        <v>1540.880202</v>
      </c>
      <c r="S574" s="13" t="n">
        <v>1540.747575</v>
      </c>
      <c r="T574" s="13" t="n">
        <v>1540.84224</v>
      </c>
      <c r="U574" s="13" t="n">
        <v>1604.988698</v>
      </c>
      <c r="V574" s="13" t="n">
        <v>1476.65154</v>
      </c>
      <c r="W574" s="13" t="n">
        <v>1476.594</v>
      </c>
      <c r="X574" s="13" t="n">
        <v>1348.228102</v>
      </c>
      <c r="Y574" s="13" t="n">
        <v>1412.374076</v>
      </c>
      <c r="Z574" s="13" t="n">
        <v>1412.469344</v>
      </c>
      <c r="AA574" s="13" t="n">
        <v>1476.59115</v>
      </c>
      <c r="AB574" s="13" t="n">
        <v>1412.43092</v>
      </c>
      <c r="AC574" s="13" t="n">
        <v>1471.7956</v>
      </c>
      <c r="AD574" s="13" t="n">
        <v>1471.7957</v>
      </c>
      <c r="AE574" s="13" t="n">
        <v>1471.7052</v>
      </c>
      <c r="AF574" s="13" t="n">
        <v>1538.7922</v>
      </c>
      <c r="AG574" s="13" t="n">
        <v>1538.62954</v>
      </c>
      <c r="AH574" s="13" t="n">
        <v>1739.3085</v>
      </c>
      <c r="AI574" s="13" t="n">
        <v>1873.12105</v>
      </c>
      <c r="AJ574" s="13" t="n">
        <v>1806.30549</v>
      </c>
      <c r="AK574" s="13" t="n">
        <v>1806.2487</v>
      </c>
      <c r="AL574" s="13" t="n">
        <v>1806.263067</v>
      </c>
      <c r="AM574" s="13" t="n">
        <v>1806.264751</v>
      </c>
      <c r="AN574" s="13" t="n">
        <v>1806.242652</v>
      </c>
      <c r="AO574" s="13" t="n">
        <v>1942.280932</v>
      </c>
      <c r="AP574" s="13" t="n">
        <v>1872.96624</v>
      </c>
      <c r="AQ574" s="13" t="n">
        <v>1873.019112</v>
      </c>
      <c r="AR574" s="13" t="n">
        <v>1873.023402</v>
      </c>
      <c r="AS574" s="13" t="n">
        <v>1872.90954</v>
      </c>
      <c r="AT574" s="13" t="n">
        <v>1873.021232</v>
      </c>
    </row>
    <row r="575" customFormat="false" ht="15" hidden="false" customHeight="true" outlineLevel="0" collapsed="false">
      <c r="A575" s="12" t="s">
        <v>1777</v>
      </c>
      <c r="B575" s="12" t="s">
        <v>1778</v>
      </c>
      <c r="C575" s="12" t="n">
        <v>1</v>
      </c>
      <c r="D575" s="12" t="s">
        <v>1779</v>
      </c>
      <c r="E575" s="13" t="n">
        <v>763.080156</v>
      </c>
      <c r="F575" s="13" t="n">
        <v>802.537386</v>
      </c>
      <c r="G575" s="13" t="n">
        <v>802.567302</v>
      </c>
      <c r="H575" s="13" t="n">
        <v>0</v>
      </c>
      <c r="I575" s="13" t="n">
        <v>0</v>
      </c>
      <c r="J575" s="13" t="n">
        <v>0</v>
      </c>
      <c r="K575" s="13" t="n">
        <v>0</v>
      </c>
      <c r="L575" s="13" t="n">
        <v>0</v>
      </c>
      <c r="M575" s="13" t="n">
        <v>0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  <c r="V575" s="13" t="n">
        <v>0</v>
      </c>
      <c r="W575" s="13" t="n">
        <v>0</v>
      </c>
      <c r="X575" s="13" t="n">
        <v>0</v>
      </c>
      <c r="Y575" s="13" t="n">
        <v>0</v>
      </c>
      <c r="Z575" s="13" t="n">
        <v>0</v>
      </c>
      <c r="AA575" s="13" t="n">
        <v>0</v>
      </c>
      <c r="AB575" s="13" t="n">
        <v>0</v>
      </c>
      <c r="AC575" s="13" t="n">
        <v>0</v>
      </c>
      <c r="AD575" s="13" t="n">
        <v>0</v>
      </c>
      <c r="AE575" s="13" t="n">
        <v>0</v>
      </c>
      <c r="AF575" s="13" t="n">
        <v>0</v>
      </c>
      <c r="AG575" s="13" t="n">
        <v>0</v>
      </c>
      <c r="AH575" s="13" t="n">
        <v>0</v>
      </c>
      <c r="AI575" s="13" t="n">
        <v>0</v>
      </c>
      <c r="AJ575" s="13" t="n">
        <v>0</v>
      </c>
      <c r="AK575" s="13" t="n">
        <v>0</v>
      </c>
      <c r="AL575" s="13" t="n">
        <v>0</v>
      </c>
      <c r="AM575" s="13" t="n">
        <v>0</v>
      </c>
      <c r="AN575" s="13" t="n">
        <v>0</v>
      </c>
      <c r="AO575" s="13" t="n">
        <v>0</v>
      </c>
      <c r="AP575" s="13" t="n">
        <v>0</v>
      </c>
      <c r="AQ575" s="13" t="n">
        <v>0</v>
      </c>
      <c r="AR575" s="13" t="n">
        <v>0</v>
      </c>
      <c r="AS575" s="13" t="n">
        <v>0</v>
      </c>
      <c r="AT575" s="13" t="n">
        <v>0</v>
      </c>
    </row>
    <row r="576" customFormat="false" ht="15" hidden="false" customHeight="true" outlineLevel="0" collapsed="false">
      <c r="A576" s="12" t="s">
        <v>1780</v>
      </c>
      <c r="B576" s="12" t="s">
        <v>1781</v>
      </c>
      <c r="C576" s="12" t="n">
        <v>1</v>
      </c>
      <c r="D576" s="12" t="s">
        <v>1782</v>
      </c>
      <c r="E576" s="13" t="n">
        <v>0</v>
      </c>
      <c r="F576" s="13" t="n">
        <v>0</v>
      </c>
      <c r="G576" s="13" t="n">
        <v>0</v>
      </c>
      <c r="H576" s="13" t="n">
        <v>0</v>
      </c>
      <c r="I576" s="13" t="n">
        <v>0</v>
      </c>
      <c r="J576" s="13" t="n">
        <v>0</v>
      </c>
      <c r="K576" s="13" t="n">
        <v>0</v>
      </c>
      <c r="L576" s="13" t="n">
        <v>0</v>
      </c>
      <c r="M576" s="13" t="n">
        <v>0</v>
      </c>
      <c r="N576" s="13" t="n">
        <v>0</v>
      </c>
      <c r="O576" s="13" t="n">
        <v>0</v>
      </c>
      <c r="P576" s="13" t="n">
        <v>0</v>
      </c>
      <c r="Q576" s="13" t="n">
        <v>0</v>
      </c>
      <c r="R576" s="13" t="n">
        <v>0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0</v>
      </c>
      <c r="X576" s="13" t="n">
        <v>0</v>
      </c>
      <c r="Y576" s="13" t="n">
        <v>9819.484498</v>
      </c>
      <c r="Z576" s="13" t="n">
        <v>6808.358832</v>
      </c>
      <c r="AA576" s="13" t="n">
        <v>4786.11459</v>
      </c>
      <c r="AB576" s="13" t="n">
        <v>4875.921984</v>
      </c>
      <c r="AC576" s="13" t="n">
        <v>5222.734</v>
      </c>
      <c r="AD576" s="13" t="n">
        <v>5316.2435</v>
      </c>
      <c r="AE576" s="13" t="n">
        <v>5573.90484</v>
      </c>
      <c r="AF576" s="13" t="n">
        <v>5855.0074</v>
      </c>
      <c r="AG576" s="13" t="n">
        <v>5995.50264</v>
      </c>
      <c r="AH576" s="13" t="n">
        <v>6042.4446</v>
      </c>
      <c r="AI576" s="13" t="n">
        <v>6370.3033</v>
      </c>
      <c r="AJ576" s="13" t="n">
        <v>4830.29685</v>
      </c>
      <c r="AK576" s="13" t="n">
        <v>4935.72225</v>
      </c>
      <c r="AL576" s="13" t="n">
        <v>2652.390581</v>
      </c>
      <c r="AM576" s="13" t="n">
        <v>2230.728713</v>
      </c>
      <c r="AN576" s="13" t="n">
        <v>2248.272166</v>
      </c>
      <c r="AO576" s="13" t="n">
        <v>2403.801086</v>
      </c>
      <c r="AP576" s="13" t="n">
        <v>2312.64912</v>
      </c>
      <c r="AQ576" s="13" t="n">
        <v>2166.900591</v>
      </c>
      <c r="AR576" s="13" t="n">
        <v>1772.504304</v>
      </c>
      <c r="AS576" s="13" t="n">
        <v>1772.51328</v>
      </c>
      <c r="AT576" s="13" t="n">
        <v>1772.387032</v>
      </c>
    </row>
    <row r="577" customFormat="false" ht="15" hidden="false" customHeight="true" outlineLevel="0" collapsed="false">
      <c r="A577" s="12" t="s">
        <v>1783</v>
      </c>
      <c r="B577" s="12" t="s">
        <v>1784</v>
      </c>
      <c r="C577" s="12" t="n">
        <v>1</v>
      </c>
      <c r="D577" s="12" t="s">
        <v>1785</v>
      </c>
      <c r="E577" s="13" t="n">
        <v>0</v>
      </c>
      <c r="F577" s="13" t="n">
        <v>0</v>
      </c>
      <c r="G577" s="13" t="n">
        <v>0</v>
      </c>
      <c r="H577" s="13" t="n">
        <v>0</v>
      </c>
      <c r="I577" s="13" t="n">
        <v>0</v>
      </c>
      <c r="J577" s="13" t="n">
        <v>2649.967915</v>
      </c>
      <c r="K577" s="13" t="n">
        <v>2700.016236</v>
      </c>
      <c r="L577" s="13" t="n">
        <v>4424.989464</v>
      </c>
      <c r="M577" s="13" t="n">
        <v>4475.01582</v>
      </c>
      <c r="N577" s="13" t="n">
        <v>4724.910378</v>
      </c>
      <c r="O577" s="13" t="n">
        <v>6075.077016</v>
      </c>
      <c r="P577" s="13" t="n">
        <v>6349.945539</v>
      </c>
      <c r="Q577" s="13" t="n">
        <v>7612.524234</v>
      </c>
      <c r="R577" s="13" t="n">
        <v>8452.447578</v>
      </c>
      <c r="S577" s="13" t="n">
        <v>8321.19474</v>
      </c>
      <c r="T577" s="13" t="n">
        <v>8294.944</v>
      </c>
      <c r="U577" s="13" t="n">
        <v>8137.526682</v>
      </c>
      <c r="V577" s="13" t="n">
        <v>8058.666876</v>
      </c>
      <c r="W577" s="13" t="n">
        <v>8032.483856</v>
      </c>
      <c r="X577" s="13" t="n">
        <v>7612.461922</v>
      </c>
      <c r="Y577" s="13" t="n">
        <v>7507.593116</v>
      </c>
      <c r="Z577" s="13" t="n">
        <v>7612.419936</v>
      </c>
      <c r="AA577" s="13" t="n">
        <v>7428.67191</v>
      </c>
      <c r="AB577" s="13" t="n">
        <v>7297.492302</v>
      </c>
      <c r="AC577" s="13" t="n">
        <v>7469.2024</v>
      </c>
      <c r="AD577" s="13" t="n">
        <v>9740.2532</v>
      </c>
      <c r="AE577" s="13" t="n">
        <v>8804.92032</v>
      </c>
      <c r="AF577" s="13" t="n">
        <v>7189.776</v>
      </c>
      <c r="AG577" s="13" t="n">
        <v>2787.40312</v>
      </c>
      <c r="AH577" s="13" t="n">
        <v>2683.1808</v>
      </c>
      <c r="AI577" s="13" t="n">
        <v>2448.68519</v>
      </c>
      <c r="AJ577" s="13" t="n">
        <v>2422.69722</v>
      </c>
      <c r="AK577" s="13" t="n">
        <v>2500.7904</v>
      </c>
      <c r="AL577" s="13" t="n">
        <v>2422.716874</v>
      </c>
      <c r="AM577" s="13" t="n">
        <v>2422.599631</v>
      </c>
      <c r="AN577" s="13" t="n">
        <v>2318.407036</v>
      </c>
      <c r="AO577" s="13" t="n">
        <v>2457.935314</v>
      </c>
      <c r="AP577" s="13" t="n">
        <v>2349.92208</v>
      </c>
      <c r="AQ577" s="13" t="n">
        <v>2403.925148</v>
      </c>
      <c r="AR577" s="13" t="n">
        <v>2187.737646</v>
      </c>
      <c r="AS577" s="13" t="n">
        <v>2160.769851</v>
      </c>
      <c r="AT577" s="13" t="n">
        <v>2160.747536</v>
      </c>
    </row>
    <row r="578" customFormat="false" ht="15" hidden="false" customHeight="true" outlineLevel="0" collapsed="false">
      <c r="A578" s="12" t="s">
        <v>1786</v>
      </c>
      <c r="B578" s="12" t="s">
        <v>1787</v>
      </c>
      <c r="C578" s="12" t="n">
        <v>1</v>
      </c>
      <c r="D578" s="12" t="s">
        <v>1788</v>
      </c>
      <c r="E578" s="13" t="n">
        <v>0</v>
      </c>
      <c r="F578" s="13" t="n">
        <v>0</v>
      </c>
      <c r="G578" s="13" t="n">
        <v>0</v>
      </c>
      <c r="H578" s="13" t="n">
        <v>0</v>
      </c>
      <c r="I578" s="13" t="n">
        <v>0</v>
      </c>
      <c r="J578" s="13" t="n">
        <v>0</v>
      </c>
      <c r="K578" s="13" t="n">
        <v>0</v>
      </c>
      <c r="L578" s="13" t="n">
        <v>0</v>
      </c>
      <c r="M578" s="13" t="n">
        <v>0</v>
      </c>
      <c r="N578" s="13" t="n">
        <v>0</v>
      </c>
      <c r="O578" s="13" t="n">
        <v>0</v>
      </c>
      <c r="P578" s="13" t="n">
        <v>0</v>
      </c>
      <c r="Q578" s="13" t="n">
        <v>0</v>
      </c>
      <c r="R578" s="13" t="n">
        <v>0</v>
      </c>
      <c r="S578" s="13" t="n">
        <v>13930.07829</v>
      </c>
      <c r="T578" s="13" t="n">
        <v>19727.92192</v>
      </c>
      <c r="U578" s="13" t="n">
        <v>20461.995146</v>
      </c>
      <c r="V578" s="13" t="n">
        <v>16675.937304</v>
      </c>
      <c r="W578" s="13" t="n">
        <v>16809.921104</v>
      </c>
      <c r="X578" s="13" t="n">
        <v>15479.935072</v>
      </c>
      <c r="Y578" s="13" t="n">
        <v>14316.086658</v>
      </c>
      <c r="Z578" s="13" t="n">
        <v>13520.094016</v>
      </c>
      <c r="AA578" s="13" t="n">
        <v>0</v>
      </c>
      <c r="AB578" s="13" t="n">
        <v>0</v>
      </c>
      <c r="AC578" s="13" t="n">
        <v>0</v>
      </c>
      <c r="AD578" s="13" t="n">
        <v>0</v>
      </c>
      <c r="AE578" s="13" t="n">
        <v>0</v>
      </c>
      <c r="AF578" s="13" t="n">
        <v>0</v>
      </c>
      <c r="AG578" s="13" t="n">
        <v>0</v>
      </c>
      <c r="AH578" s="13" t="n">
        <v>0</v>
      </c>
      <c r="AI578" s="13" t="n">
        <v>0</v>
      </c>
      <c r="AJ578" s="13" t="n">
        <v>0</v>
      </c>
      <c r="AK578" s="13" t="n">
        <v>0</v>
      </c>
      <c r="AL578" s="13" t="n">
        <v>0</v>
      </c>
      <c r="AM578" s="13" t="n">
        <v>0</v>
      </c>
      <c r="AN578" s="13" t="n">
        <v>0</v>
      </c>
      <c r="AO578" s="13" t="n">
        <v>0</v>
      </c>
      <c r="AP578" s="13" t="n">
        <v>0</v>
      </c>
      <c r="AQ578" s="13" t="n">
        <v>0</v>
      </c>
      <c r="AR578" s="13" t="n">
        <v>0</v>
      </c>
      <c r="AS578" s="13" t="n">
        <v>0</v>
      </c>
      <c r="AT578" s="13" t="n">
        <v>0</v>
      </c>
    </row>
    <row r="579" customFormat="false" ht="15" hidden="false" customHeight="true" outlineLevel="0" collapsed="false">
      <c r="A579" s="12" t="s">
        <v>1789</v>
      </c>
      <c r="B579" s="12" t="s">
        <v>1790</v>
      </c>
      <c r="C579" s="12" t="n">
        <v>1</v>
      </c>
      <c r="D579" s="12" t="s">
        <v>1791</v>
      </c>
      <c r="E579" s="13" t="n">
        <v>0</v>
      </c>
      <c r="F579" s="13" t="n">
        <v>0</v>
      </c>
      <c r="G579" s="13" t="n">
        <v>0</v>
      </c>
      <c r="H579" s="13" t="n">
        <v>0</v>
      </c>
      <c r="I579" s="13" t="n">
        <v>0</v>
      </c>
      <c r="J579" s="13" t="n">
        <v>0</v>
      </c>
      <c r="K579" s="13" t="n">
        <v>0</v>
      </c>
      <c r="L579" s="13" t="n">
        <v>0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0</v>
      </c>
      <c r="X579" s="13" t="n">
        <v>0</v>
      </c>
      <c r="Y579" s="13" t="n">
        <v>0</v>
      </c>
      <c r="Z579" s="13" t="n">
        <v>0</v>
      </c>
      <c r="AA579" s="13" t="n">
        <v>0</v>
      </c>
      <c r="AB579" s="13" t="n">
        <v>0</v>
      </c>
      <c r="AC579" s="13" t="n">
        <v>0</v>
      </c>
      <c r="AD579" s="13" t="n">
        <v>0</v>
      </c>
      <c r="AE579" s="13" t="n">
        <v>0</v>
      </c>
      <c r="AF579" s="13" t="n">
        <v>0</v>
      </c>
      <c r="AG579" s="13" t="n">
        <v>0</v>
      </c>
      <c r="AH579" s="13" t="n">
        <v>0</v>
      </c>
      <c r="AI579" s="13" t="n">
        <v>0</v>
      </c>
      <c r="AJ579" s="13" t="n">
        <v>0</v>
      </c>
      <c r="AK579" s="13" t="n">
        <v>0</v>
      </c>
      <c r="AL579" s="13" t="n">
        <v>0</v>
      </c>
      <c r="AM579" s="13" t="n">
        <v>0</v>
      </c>
      <c r="AN579" s="13" t="n">
        <v>0</v>
      </c>
      <c r="AO579" s="13" t="n">
        <v>0</v>
      </c>
      <c r="AP579" s="13" t="n">
        <v>0</v>
      </c>
      <c r="AQ579" s="13" t="n">
        <v>0</v>
      </c>
      <c r="AR579" s="13" t="n">
        <v>0</v>
      </c>
      <c r="AS579" s="13" t="n">
        <v>0</v>
      </c>
      <c r="AT579" s="13" t="n">
        <v>0</v>
      </c>
    </row>
    <row r="580" customFormat="false" ht="15" hidden="false" customHeight="true" outlineLevel="0" collapsed="false">
      <c r="A580" s="12" t="s">
        <v>1792</v>
      </c>
      <c r="B580" s="12" t="s">
        <v>1793</v>
      </c>
      <c r="C580" s="12" t="n">
        <v>1</v>
      </c>
      <c r="D580" s="12" t="s">
        <v>1794</v>
      </c>
      <c r="E580" s="13" t="n">
        <v>0</v>
      </c>
      <c r="F580" s="13" t="n">
        <v>0</v>
      </c>
      <c r="G580" s="13" t="n">
        <v>0</v>
      </c>
      <c r="H580" s="13" t="n">
        <v>0</v>
      </c>
      <c r="I580" s="13" t="n">
        <v>0</v>
      </c>
      <c r="J580" s="13" t="n">
        <v>0</v>
      </c>
      <c r="K580" s="13" t="n">
        <v>0</v>
      </c>
      <c r="L580" s="13" t="n">
        <v>0</v>
      </c>
      <c r="M580" s="13" t="n">
        <v>0</v>
      </c>
      <c r="N580" s="13" t="n">
        <v>0</v>
      </c>
      <c r="O580" s="13" t="n">
        <v>0</v>
      </c>
      <c r="P580" s="13" t="n">
        <v>0</v>
      </c>
      <c r="Q580" s="13" t="n">
        <v>0</v>
      </c>
      <c r="R580" s="13" t="n">
        <v>0</v>
      </c>
      <c r="S580" s="13" t="n">
        <v>0</v>
      </c>
      <c r="T580" s="13" t="n">
        <v>0</v>
      </c>
      <c r="U580" s="13" t="n">
        <v>0</v>
      </c>
      <c r="V580" s="13" t="n">
        <v>0</v>
      </c>
      <c r="W580" s="13" t="n">
        <v>0</v>
      </c>
      <c r="X580" s="13" t="n">
        <v>0</v>
      </c>
      <c r="Y580" s="13" t="n">
        <v>0</v>
      </c>
      <c r="Z580" s="13" t="n">
        <v>0</v>
      </c>
      <c r="AA580" s="13" t="n">
        <v>0</v>
      </c>
      <c r="AB580" s="13" t="n">
        <v>0</v>
      </c>
      <c r="AC580" s="13" t="n">
        <v>0</v>
      </c>
      <c r="AD580" s="13" t="n">
        <v>0</v>
      </c>
      <c r="AE580" s="13" t="n">
        <v>0</v>
      </c>
      <c r="AF580" s="13" t="n">
        <v>0</v>
      </c>
      <c r="AG580" s="13" t="n">
        <v>0</v>
      </c>
      <c r="AH580" s="13" t="n">
        <v>0</v>
      </c>
      <c r="AI580" s="13" t="n">
        <v>0</v>
      </c>
      <c r="AJ580" s="13" t="n">
        <v>0</v>
      </c>
      <c r="AK580" s="13" t="n">
        <v>0</v>
      </c>
      <c r="AL580" s="13" t="n">
        <v>0</v>
      </c>
      <c r="AM580" s="13" t="n">
        <v>0</v>
      </c>
      <c r="AN580" s="13" t="n">
        <v>0</v>
      </c>
      <c r="AO580" s="13" t="n">
        <v>0</v>
      </c>
      <c r="AP580" s="13" t="n">
        <v>0</v>
      </c>
      <c r="AQ580" s="13" t="n">
        <v>0</v>
      </c>
      <c r="AR580" s="13" t="n">
        <v>0</v>
      </c>
      <c r="AS580" s="13" t="n">
        <v>13139.966367</v>
      </c>
      <c r="AT580" s="13" t="n">
        <v>13905.0212</v>
      </c>
    </row>
    <row r="581" customFormat="false" ht="15" hidden="false" customHeight="true" outlineLevel="0" collapsed="false">
      <c r="A581" s="12" t="s">
        <v>1795</v>
      </c>
      <c r="B581" s="12" t="s">
        <v>1796</v>
      </c>
      <c r="C581" s="12" t="n">
        <v>1</v>
      </c>
      <c r="D581" s="12" t="s">
        <v>1797</v>
      </c>
      <c r="E581" s="13" t="n">
        <v>0</v>
      </c>
      <c r="F581" s="13" t="n">
        <v>0</v>
      </c>
      <c r="G581" s="13" t="n">
        <v>0</v>
      </c>
      <c r="H581" s="13" t="n">
        <v>0</v>
      </c>
      <c r="I581" s="13" t="n">
        <v>0</v>
      </c>
      <c r="J581" s="13" t="n">
        <v>0</v>
      </c>
      <c r="K581" s="13" t="n">
        <v>0</v>
      </c>
      <c r="L581" s="13" t="n">
        <v>0</v>
      </c>
      <c r="M581" s="13" t="n">
        <v>4522.078575</v>
      </c>
      <c r="N581" s="13" t="n">
        <v>4522.008984</v>
      </c>
      <c r="O581" s="13" t="n">
        <v>4522.064041</v>
      </c>
      <c r="P581" s="13" t="n">
        <v>4521.923224</v>
      </c>
      <c r="Q581" s="13" t="n">
        <v>4748.169915</v>
      </c>
      <c r="R581" s="13" t="n">
        <v>4748.112768</v>
      </c>
      <c r="S581" s="13" t="n">
        <v>0</v>
      </c>
      <c r="T581" s="13" t="n">
        <v>0</v>
      </c>
      <c r="U581" s="13" t="n">
        <v>0</v>
      </c>
      <c r="V581" s="13" t="n">
        <v>0</v>
      </c>
      <c r="W581" s="13" t="n">
        <v>0</v>
      </c>
      <c r="X581" s="13" t="n">
        <v>0</v>
      </c>
      <c r="Y581" s="13" t="n">
        <v>0</v>
      </c>
      <c r="Z581" s="13" t="n">
        <v>0</v>
      </c>
      <c r="AA581" s="13" t="n">
        <v>0</v>
      </c>
      <c r="AB581" s="13" t="n">
        <v>0</v>
      </c>
      <c r="AC581" s="13" t="n">
        <v>0</v>
      </c>
      <c r="AD581" s="13" t="n">
        <v>0</v>
      </c>
      <c r="AE581" s="13" t="n">
        <v>0</v>
      </c>
      <c r="AF581" s="13" t="n">
        <v>0</v>
      </c>
      <c r="AG581" s="13" t="n">
        <v>0</v>
      </c>
      <c r="AH581" s="13" t="n">
        <v>0</v>
      </c>
      <c r="AI581" s="13" t="n">
        <v>0</v>
      </c>
      <c r="AJ581" s="13" t="n">
        <v>0</v>
      </c>
      <c r="AK581" s="13" t="n">
        <v>0</v>
      </c>
      <c r="AL581" s="13" t="n">
        <v>0</v>
      </c>
      <c r="AM581" s="13" t="n">
        <v>0</v>
      </c>
      <c r="AN581" s="13" t="n">
        <v>0</v>
      </c>
      <c r="AO581" s="13" t="n">
        <v>0</v>
      </c>
      <c r="AP581" s="13" t="n">
        <v>0</v>
      </c>
      <c r="AQ581" s="13" t="n">
        <v>0</v>
      </c>
      <c r="AR581" s="13" t="n">
        <v>0</v>
      </c>
      <c r="AS581" s="13" t="n">
        <v>0</v>
      </c>
      <c r="AT581" s="13" t="n">
        <v>0</v>
      </c>
    </row>
    <row r="582" customFormat="false" ht="15" hidden="false" customHeight="true" outlineLevel="0" collapsed="false">
      <c r="A582" s="12" t="s">
        <v>1798</v>
      </c>
      <c r="B582" s="12" t="s">
        <v>1799</v>
      </c>
      <c r="C582" s="12" t="n">
        <v>1</v>
      </c>
      <c r="D582" s="12" t="s">
        <v>1800</v>
      </c>
      <c r="E582" s="13" t="n">
        <v>1117.105776</v>
      </c>
      <c r="F582" s="13" t="n">
        <v>1303.272132</v>
      </c>
      <c r="G582" s="13" t="n">
        <v>1303.2216</v>
      </c>
      <c r="H582" s="13" t="n">
        <v>1365.349203</v>
      </c>
      <c r="I582" s="13" t="n">
        <v>1303.302882</v>
      </c>
      <c r="J582" s="13" t="n">
        <v>1365.269765</v>
      </c>
      <c r="K582" s="13" t="n">
        <v>1365.278004</v>
      </c>
      <c r="L582" s="13" t="n">
        <v>1365.309533</v>
      </c>
      <c r="M582" s="13" t="n">
        <v>1427.39397</v>
      </c>
      <c r="N582" s="13" t="n">
        <v>1427.3562</v>
      </c>
      <c r="O582" s="13" t="n">
        <v>1241.205827</v>
      </c>
      <c r="P582" s="13" t="n">
        <v>1179.20551</v>
      </c>
      <c r="Q582" s="13" t="n">
        <v>1241.168697</v>
      </c>
      <c r="R582" s="13" t="n">
        <v>1613.530977</v>
      </c>
      <c r="S582" s="13" t="n">
        <v>1675.55265</v>
      </c>
      <c r="T582" s="13" t="n">
        <v>1675.67232</v>
      </c>
      <c r="U582" s="13" t="n">
        <v>1799.805095</v>
      </c>
      <c r="V582" s="13" t="n">
        <v>1613.538888</v>
      </c>
      <c r="W582" s="13" t="n">
        <v>1861.727216</v>
      </c>
      <c r="X582" s="13" t="n">
        <v>1799.752648</v>
      </c>
      <c r="Y582" s="13" t="n">
        <v>1985.868038</v>
      </c>
      <c r="Z582" s="13" t="n">
        <v>1861.709168</v>
      </c>
      <c r="AA582" s="13" t="n">
        <v>1861.70898</v>
      </c>
      <c r="AB582" s="13" t="n">
        <v>1861.859154</v>
      </c>
      <c r="AC582" s="13" t="n">
        <v>2069.4476</v>
      </c>
      <c r="AD582" s="13" t="n">
        <v>2780.7885</v>
      </c>
      <c r="AE582" s="13" t="n">
        <v>2974.84488</v>
      </c>
      <c r="AF582" s="13" t="n">
        <v>2974.7894</v>
      </c>
      <c r="AG582" s="13" t="n">
        <v>3039.435</v>
      </c>
      <c r="AH582" s="13" t="n">
        <v>2845.40295</v>
      </c>
      <c r="AI582" s="13" t="n">
        <v>2910.15154</v>
      </c>
      <c r="AJ582" s="13" t="n">
        <v>3039.46173</v>
      </c>
      <c r="AK582" s="13" t="n">
        <v>2910.06735</v>
      </c>
      <c r="AL582" s="13" t="n">
        <v>3104.186574</v>
      </c>
      <c r="AM582" s="13" t="n">
        <v>3039.48481</v>
      </c>
      <c r="AN582" s="13" t="n">
        <v>3492.177027</v>
      </c>
      <c r="AO582" s="13" t="n">
        <v>3688.368388</v>
      </c>
      <c r="AP582" s="13" t="n">
        <v>4895.35464</v>
      </c>
      <c r="AQ582" s="13" t="n">
        <v>5364.830844</v>
      </c>
      <c r="AR582" s="13" t="n">
        <v>5498.903396</v>
      </c>
      <c r="AS582" s="13" t="n">
        <v>5498.945496</v>
      </c>
      <c r="AT582" s="13" t="n">
        <v>5566.033848</v>
      </c>
    </row>
    <row r="583" customFormat="false" ht="15" hidden="false" customHeight="true" outlineLevel="0" collapsed="false">
      <c r="A583" s="12" t="s">
        <v>1801</v>
      </c>
      <c r="B583" s="12" t="s">
        <v>1802</v>
      </c>
      <c r="C583" s="12" t="n">
        <v>1</v>
      </c>
      <c r="D583" s="12" t="s">
        <v>1803</v>
      </c>
      <c r="E583" s="13" t="n">
        <v>0</v>
      </c>
      <c r="F583" s="13" t="n">
        <v>0</v>
      </c>
      <c r="G583" s="13" t="n">
        <v>0</v>
      </c>
      <c r="H583" s="13" t="n">
        <v>0</v>
      </c>
      <c r="I583" s="13" t="n">
        <v>0</v>
      </c>
      <c r="J583" s="13" t="n">
        <v>0</v>
      </c>
      <c r="K583" s="13" t="n">
        <v>0</v>
      </c>
      <c r="L583" s="13" t="n">
        <v>0</v>
      </c>
      <c r="M583" s="13" t="n">
        <v>0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14746.51737</v>
      </c>
      <c r="T583" s="13" t="n">
        <v>31737.67296</v>
      </c>
      <c r="U583" s="13" t="n">
        <v>22971.209993</v>
      </c>
      <c r="V583" s="13" t="n">
        <v>22971.281424</v>
      </c>
      <c r="W583" s="13" t="n">
        <v>22971.302544</v>
      </c>
      <c r="X583" s="13" t="n">
        <v>22971.236916</v>
      </c>
      <c r="Y583" s="13" t="n">
        <v>22971.25832</v>
      </c>
      <c r="Z583" s="13" t="n">
        <v>22971.16976</v>
      </c>
      <c r="AA583" s="13" t="n">
        <v>22971.34995</v>
      </c>
      <c r="AB583" s="13" t="n">
        <v>22971.22608</v>
      </c>
      <c r="AC583" s="13" t="n">
        <v>22971.344</v>
      </c>
      <c r="AD583" s="13" t="n">
        <v>22971.2223</v>
      </c>
      <c r="AE583" s="13" t="n">
        <v>22971.25656</v>
      </c>
      <c r="AF583" s="13" t="n">
        <v>22971.256</v>
      </c>
      <c r="AG583" s="13" t="n">
        <v>0</v>
      </c>
      <c r="AH583" s="13" t="n">
        <v>0</v>
      </c>
      <c r="AI583" s="13" t="n">
        <v>0</v>
      </c>
      <c r="AJ583" s="13" t="n">
        <v>0</v>
      </c>
      <c r="AK583" s="13" t="n">
        <v>0</v>
      </c>
      <c r="AL583" s="13" t="n">
        <v>0</v>
      </c>
      <c r="AM583" s="13" t="n">
        <v>0</v>
      </c>
      <c r="AN583" s="13" t="n">
        <v>0</v>
      </c>
      <c r="AO583" s="13" t="n">
        <v>0</v>
      </c>
      <c r="AP583" s="13" t="n">
        <v>0</v>
      </c>
      <c r="AQ583" s="13" t="n">
        <v>0</v>
      </c>
      <c r="AR583" s="13" t="n">
        <v>0</v>
      </c>
      <c r="AS583" s="13" t="n">
        <v>23122.989648</v>
      </c>
      <c r="AT583" s="13" t="n">
        <v>23122.938904</v>
      </c>
    </row>
    <row r="584" customFormat="false" ht="15" hidden="false" customHeight="true" outlineLevel="0" collapsed="false">
      <c r="A584" s="12" t="s">
        <v>1804</v>
      </c>
      <c r="B584" s="12" t="s">
        <v>1805</v>
      </c>
      <c r="C584" s="12" t="n">
        <v>1</v>
      </c>
      <c r="D584" s="12" t="s">
        <v>1806</v>
      </c>
      <c r="E584" s="13" t="n">
        <v>0</v>
      </c>
      <c r="F584" s="13" t="n">
        <v>0</v>
      </c>
      <c r="G584" s="13" t="n">
        <v>0</v>
      </c>
      <c r="H584" s="13" t="n">
        <v>0</v>
      </c>
      <c r="I584" s="13" t="n">
        <v>0</v>
      </c>
      <c r="J584" s="13" t="n">
        <v>0</v>
      </c>
      <c r="K584" s="13" t="n">
        <v>0</v>
      </c>
      <c r="L584" s="13" t="n">
        <v>0</v>
      </c>
      <c r="M584" s="13" t="n">
        <v>0</v>
      </c>
      <c r="N584" s="13" t="n">
        <v>0</v>
      </c>
      <c r="O584" s="13" t="n">
        <v>0</v>
      </c>
      <c r="P584" s="13" t="n">
        <v>0</v>
      </c>
      <c r="Q584" s="13" t="n">
        <v>0</v>
      </c>
      <c r="R584" s="13" t="n">
        <v>0</v>
      </c>
      <c r="S584" s="13" t="n">
        <v>0</v>
      </c>
      <c r="T584" s="13" t="n">
        <v>0</v>
      </c>
      <c r="U584" s="13" t="n">
        <v>0</v>
      </c>
      <c r="V584" s="13" t="n">
        <v>0</v>
      </c>
      <c r="W584" s="13" t="n">
        <v>0</v>
      </c>
      <c r="X584" s="13" t="n">
        <v>0</v>
      </c>
      <c r="Y584" s="13" t="n">
        <v>0</v>
      </c>
      <c r="Z584" s="13" t="n">
        <v>0</v>
      </c>
      <c r="AA584" s="13" t="n">
        <v>0</v>
      </c>
      <c r="AB584" s="13" t="n">
        <v>0</v>
      </c>
      <c r="AC584" s="13" t="n">
        <v>0</v>
      </c>
      <c r="AD584" s="13" t="n">
        <v>0</v>
      </c>
      <c r="AE584" s="13" t="n">
        <v>0</v>
      </c>
      <c r="AF584" s="13" t="n">
        <v>0</v>
      </c>
      <c r="AG584" s="13" t="n">
        <v>0</v>
      </c>
      <c r="AH584" s="13" t="n">
        <v>0</v>
      </c>
      <c r="AI584" s="13" t="n">
        <v>0</v>
      </c>
      <c r="AJ584" s="13" t="n">
        <v>0</v>
      </c>
      <c r="AK584" s="13" t="n">
        <v>1079.97015</v>
      </c>
      <c r="AL584" s="13" t="n">
        <v>630.083201</v>
      </c>
      <c r="AM584" s="13" t="n">
        <v>719.974525</v>
      </c>
      <c r="AN584" s="13" t="n">
        <v>629.954999</v>
      </c>
      <c r="AO584" s="13" t="n">
        <v>606.510236</v>
      </c>
      <c r="AP584" s="13" t="n">
        <v>746.49456</v>
      </c>
      <c r="AQ584" s="13" t="n">
        <v>653.311384</v>
      </c>
      <c r="AR584" s="13" t="n">
        <v>653.286424</v>
      </c>
      <c r="AS584" s="13" t="n">
        <v>699.831171</v>
      </c>
      <c r="AT584" s="13" t="n">
        <v>699.888984</v>
      </c>
    </row>
    <row r="585" customFormat="false" ht="15" hidden="false" customHeight="true" outlineLevel="0" collapsed="false">
      <c r="A585" s="12" t="s">
        <v>1807</v>
      </c>
      <c r="B585" s="12" t="s">
        <v>1808</v>
      </c>
      <c r="C585" s="12" t="n">
        <v>1</v>
      </c>
      <c r="D585" s="12" t="s">
        <v>1809</v>
      </c>
      <c r="E585" s="13" t="n">
        <v>0</v>
      </c>
      <c r="F585" s="13" t="n">
        <v>0</v>
      </c>
      <c r="G585" s="13" t="n">
        <v>0</v>
      </c>
      <c r="H585" s="13" t="n">
        <v>0</v>
      </c>
      <c r="I585" s="13" t="n">
        <v>0</v>
      </c>
      <c r="J585" s="13" t="n">
        <v>0</v>
      </c>
      <c r="K585" s="13" t="n">
        <v>0</v>
      </c>
      <c r="L585" s="13" t="n">
        <v>0</v>
      </c>
      <c r="M585" s="13" t="n">
        <v>0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1014.944258</v>
      </c>
      <c r="V585" s="13" t="n">
        <v>1014.956124</v>
      </c>
      <c r="W585" s="13" t="n">
        <v>1085.085648</v>
      </c>
      <c r="X585" s="13" t="n">
        <v>1189.986298</v>
      </c>
      <c r="Y585" s="13" t="n">
        <v>980.038772</v>
      </c>
      <c r="Z585" s="13" t="n">
        <v>1119.992368</v>
      </c>
      <c r="AA585" s="13" t="n">
        <v>1120.04592</v>
      </c>
      <c r="AB585" s="13" t="n">
        <v>980.000422</v>
      </c>
      <c r="AC585" s="13" t="n">
        <v>1385.7668</v>
      </c>
      <c r="AD585" s="13" t="n">
        <v>2735.2119</v>
      </c>
      <c r="AE585" s="13" t="n">
        <v>5251.59936</v>
      </c>
      <c r="AF585" s="13" t="n">
        <v>6710.4576</v>
      </c>
      <c r="AG585" s="13" t="n">
        <v>6856.38642</v>
      </c>
      <c r="AH585" s="13" t="n">
        <v>6710.40705</v>
      </c>
      <c r="AI585" s="13" t="n">
        <v>6710.529</v>
      </c>
      <c r="AJ585" s="13" t="n">
        <v>6674.06673</v>
      </c>
      <c r="AK585" s="13" t="n">
        <v>6746.9241</v>
      </c>
      <c r="AL585" s="13" t="n">
        <v>6564.579202</v>
      </c>
      <c r="AM585" s="13" t="n">
        <v>6710.529439</v>
      </c>
      <c r="AN585" s="13" t="n">
        <v>6491.611634</v>
      </c>
      <c r="AO585" s="13" t="n">
        <v>6505.072264</v>
      </c>
      <c r="AP585" s="13" t="n">
        <v>5975.58024</v>
      </c>
      <c r="AQ585" s="13" t="n">
        <v>5937.745816</v>
      </c>
      <c r="AR585" s="13" t="n">
        <v>6089.03646</v>
      </c>
      <c r="AS585" s="13" t="n">
        <v>5559.529446</v>
      </c>
      <c r="AT585" s="13" t="n">
        <v>5521.7548</v>
      </c>
    </row>
    <row r="586" customFormat="false" ht="15" hidden="false" customHeight="true" outlineLevel="0" collapsed="false">
      <c r="A586" s="12" t="s">
        <v>1810</v>
      </c>
      <c r="B586" s="12" t="s">
        <v>1811</v>
      </c>
      <c r="C586" s="12" t="n">
        <v>1</v>
      </c>
      <c r="D586" s="12" t="s">
        <v>1812</v>
      </c>
      <c r="E586" s="13" t="n">
        <v>0</v>
      </c>
      <c r="F586" s="13" t="n">
        <v>0</v>
      </c>
      <c r="G586" s="13" t="n">
        <v>0</v>
      </c>
      <c r="H586" s="13" t="n">
        <v>0</v>
      </c>
      <c r="I586" s="13" t="n">
        <v>0</v>
      </c>
      <c r="J586" s="13" t="n">
        <v>0</v>
      </c>
      <c r="K586" s="13" t="n">
        <v>0</v>
      </c>
      <c r="L586" s="13" t="n">
        <v>0</v>
      </c>
      <c r="M586" s="13" t="n">
        <v>0</v>
      </c>
      <c r="N586" s="13" t="n">
        <v>0</v>
      </c>
      <c r="O586" s="13" t="n">
        <v>0</v>
      </c>
      <c r="P586" s="13" t="n">
        <v>0</v>
      </c>
      <c r="Q586" s="13" t="n">
        <v>0</v>
      </c>
      <c r="R586" s="13" t="n">
        <v>0</v>
      </c>
      <c r="S586" s="13" t="n">
        <v>7347.95172</v>
      </c>
      <c r="T586" s="13" t="n">
        <v>8073.97248</v>
      </c>
      <c r="U586" s="13" t="n">
        <v>11330.040119</v>
      </c>
      <c r="V586" s="13" t="n">
        <v>7963.969572</v>
      </c>
      <c r="W586" s="13" t="n">
        <v>7766.040672</v>
      </c>
      <c r="X586" s="13" t="n">
        <v>7457.98778</v>
      </c>
      <c r="Y586" s="13" t="n">
        <v>7392.028078</v>
      </c>
      <c r="Z586" s="13" t="n">
        <v>7325.95688</v>
      </c>
      <c r="AA586" s="13" t="n">
        <v>0</v>
      </c>
      <c r="AB586" s="13" t="n">
        <v>0</v>
      </c>
      <c r="AC586" s="13" t="n">
        <v>0</v>
      </c>
      <c r="AD586" s="13" t="n">
        <v>0</v>
      </c>
      <c r="AE586" s="13" t="n">
        <v>0</v>
      </c>
      <c r="AF586" s="13" t="n">
        <v>0</v>
      </c>
      <c r="AG586" s="13" t="n">
        <v>0</v>
      </c>
      <c r="AH586" s="13" t="n">
        <v>0</v>
      </c>
      <c r="AI586" s="13" t="n">
        <v>0</v>
      </c>
      <c r="AJ586" s="13" t="n">
        <v>0</v>
      </c>
      <c r="AK586" s="13" t="n">
        <v>0</v>
      </c>
      <c r="AL586" s="13" t="n">
        <v>0</v>
      </c>
      <c r="AM586" s="13" t="n">
        <v>0</v>
      </c>
      <c r="AN586" s="13" t="n">
        <v>0</v>
      </c>
      <c r="AO586" s="13" t="n">
        <v>0</v>
      </c>
      <c r="AP586" s="13" t="n">
        <v>0</v>
      </c>
      <c r="AQ586" s="13" t="n">
        <v>0</v>
      </c>
      <c r="AR586" s="13" t="n">
        <v>0</v>
      </c>
      <c r="AS586" s="13" t="n">
        <v>0</v>
      </c>
      <c r="AT586" s="13" t="n">
        <v>0</v>
      </c>
    </row>
    <row r="587" customFormat="false" ht="15" hidden="false" customHeight="true" outlineLevel="0" collapsed="false">
      <c r="A587" s="12" t="s">
        <v>1813</v>
      </c>
      <c r="B587" s="12" t="s">
        <v>1814</v>
      </c>
      <c r="C587" s="12" t="n">
        <v>1</v>
      </c>
      <c r="D587" s="12" t="s">
        <v>1815</v>
      </c>
      <c r="E587" s="13" t="n">
        <v>0</v>
      </c>
      <c r="F587" s="13" t="n">
        <v>0</v>
      </c>
      <c r="G587" s="13" t="n">
        <v>0</v>
      </c>
      <c r="H587" s="13" t="n">
        <v>0</v>
      </c>
      <c r="I587" s="13" t="n">
        <v>0</v>
      </c>
      <c r="J587" s="13" t="n">
        <v>0</v>
      </c>
      <c r="K587" s="13" t="n">
        <v>0</v>
      </c>
      <c r="L587" s="13" t="n">
        <v>0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  <c r="V587" s="13" t="n">
        <v>0</v>
      </c>
      <c r="W587" s="13" t="n">
        <v>0</v>
      </c>
      <c r="X587" s="13" t="n">
        <v>0</v>
      </c>
      <c r="Y587" s="13" t="n">
        <v>0</v>
      </c>
      <c r="Z587" s="13" t="n">
        <v>0</v>
      </c>
      <c r="AA587" s="13" t="n">
        <v>0</v>
      </c>
      <c r="AB587" s="13" t="n">
        <v>373.950192</v>
      </c>
      <c r="AC587" s="13" t="n">
        <v>351.9736</v>
      </c>
      <c r="AD587" s="13" t="n">
        <v>461.925</v>
      </c>
      <c r="AE587" s="13" t="n">
        <v>528.05844</v>
      </c>
      <c r="AF587" s="13" t="n">
        <v>571.9318</v>
      </c>
      <c r="AG587" s="13" t="n">
        <v>637.99188</v>
      </c>
      <c r="AH587" s="13" t="n">
        <v>681.93735</v>
      </c>
      <c r="AI587" s="13" t="n">
        <v>374.0603</v>
      </c>
      <c r="AJ587" s="13" t="n">
        <v>374.08473</v>
      </c>
      <c r="AK587" s="13" t="n">
        <v>352.04055</v>
      </c>
      <c r="AL587" s="13" t="n">
        <v>638.002984</v>
      </c>
      <c r="AM587" s="13" t="n">
        <v>637.979974</v>
      </c>
      <c r="AN587" s="13" t="n">
        <v>659.98711</v>
      </c>
      <c r="AO587" s="13" t="n">
        <v>729.950068</v>
      </c>
      <c r="AP587" s="13" t="n">
        <v>775.48464</v>
      </c>
      <c r="AQ587" s="13" t="n">
        <v>798.350857</v>
      </c>
      <c r="AR587" s="13" t="n">
        <v>775.558346</v>
      </c>
      <c r="AS587" s="13" t="n">
        <v>0</v>
      </c>
      <c r="AT587" s="13" t="n">
        <v>0</v>
      </c>
    </row>
    <row r="588" customFormat="false" ht="15" hidden="false" customHeight="true" outlineLevel="0" collapsed="false">
      <c r="A588" s="12" t="s">
        <v>1816</v>
      </c>
      <c r="B588" s="12" t="s">
        <v>1817</v>
      </c>
      <c r="C588" s="12" t="n">
        <v>1</v>
      </c>
      <c r="D588" s="12" t="s">
        <v>1818</v>
      </c>
      <c r="E588" s="13" t="n">
        <v>0</v>
      </c>
      <c r="F588" s="13" t="n">
        <v>0</v>
      </c>
      <c r="G588" s="13" t="n">
        <v>0</v>
      </c>
      <c r="H588" s="13" t="n">
        <v>0</v>
      </c>
      <c r="I588" s="13" t="n">
        <v>0</v>
      </c>
      <c r="J588" s="13" t="n">
        <v>0</v>
      </c>
      <c r="K588" s="13" t="n">
        <v>0</v>
      </c>
      <c r="L588" s="13" t="n">
        <v>0</v>
      </c>
      <c r="M588" s="13" t="n">
        <v>0</v>
      </c>
      <c r="N588" s="13" t="n">
        <v>0</v>
      </c>
      <c r="O588" s="13" t="n">
        <v>0</v>
      </c>
      <c r="P588" s="13" t="n">
        <v>0</v>
      </c>
      <c r="Q588" s="13" t="n">
        <v>0</v>
      </c>
      <c r="R588" s="13" t="n">
        <v>0</v>
      </c>
      <c r="S588" s="13" t="n">
        <v>0</v>
      </c>
      <c r="T588" s="13" t="n">
        <v>0</v>
      </c>
      <c r="U588" s="13" t="n">
        <v>0</v>
      </c>
      <c r="V588" s="13" t="n">
        <v>0</v>
      </c>
      <c r="W588" s="13" t="n">
        <v>0</v>
      </c>
      <c r="X588" s="13" t="n">
        <v>0</v>
      </c>
      <c r="Y588" s="13" t="n">
        <v>0</v>
      </c>
      <c r="Z588" s="13" t="n">
        <v>0</v>
      </c>
      <c r="AA588" s="13" t="n">
        <v>0</v>
      </c>
      <c r="AB588" s="13" t="n">
        <v>2384.944244</v>
      </c>
      <c r="AC588" s="13" t="n">
        <v>5220.0456</v>
      </c>
      <c r="AD588" s="13" t="n">
        <v>5489.9273</v>
      </c>
      <c r="AE588" s="13" t="n">
        <v>5175.05436</v>
      </c>
      <c r="AF588" s="13" t="n">
        <v>5354.9342</v>
      </c>
      <c r="AG588" s="13" t="n">
        <v>5129.98734</v>
      </c>
      <c r="AH588" s="13" t="n">
        <v>5084.9751</v>
      </c>
      <c r="AI588" s="13" t="n">
        <v>5309.96453</v>
      </c>
      <c r="AJ588" s="13" t="n">
        <v>5400.09108</v>
      </c>
      <c r="AK588" s="13" t="n">
        <v>5129.9958</v>
      </c>
      <c r="AL588" s="13" t="n">
        <v>5444.942903</v>
      </c>
      <c r="AM588" s="13" t="n">
        <v>5354.959569</v>
      </c>
      <c r="AN588" s="13" t="n">
        <v>5309.928991</v>
      </c>
      <c r="AO588" s="13" t="n">
        <v>5505.830272</v>
      </c>
      <c r="AP588" s="13" t="n">
        <v>5599.22688</v>
      </c>
      <c r="AQ588" s="13" t="n">
        <v>5412.634116</v>
      </c>
      <c r="AR588" s="13" t="n">
        <v>5459.25712</v>
      </c>
      <c r="AS588" s="13" t="n">
        <v>5272.53462</v>
      </c>
      <c r="AT588" s="13" t="n">
        <v>5412.544816</v>
      </c>
    </row>
    <row r="589" customFormat="false" ht="15" hidden="false" customHeight="true" outlineLevel="0" collapsed="false">
      <c r="A589" s="12" t="s">
        <v>1819</v>
      </c>
      <c r="B589" s="12" t="s">
        <v>1820</v>
      </c>
      <c r="C589" s="12" t="n">
        <v>1</v>
      </c>
      <c r="D589" s="12" t="s">
        <v>1821</v>
      </c>
      <c r="E589" s="13" t="n">
        <v>0</v>
      </c>
      <c r="F589" s="13" t="n">
        <v>0</v>
      </c>
      <c r="G589" s="13" t="n">
        <v>0</v>
      </c>
      <c r="H589" s="13" t="n">
        <v>0</v>
      </c>
      <c r="I589" s="13" t="n">
        <v>0</v>
      </c>
      <c r="J589" s="13" t="n">
        <v>0</v>
      </c>
      <c r="K589" s="13" t="n">
        <v>0</v>
      </c>
      <c r="L589" s="13" t="n">
        <v>0</v>
      </c>
      <c r="M589" s="13" t="n">
        <v>0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4625.05461</v>
      </c>
      <c r="T589" s="13" t="n">
        <v>5364.94336</v>
      </c>
      <c r="U589" s="13" t="n">
        <v>4698.991842</v>
      </c>
      <c r="V589" s="13" t="n">
        <v>4847.064924</v>
      </c>
      <c r="W589" s="13" t="n">
        <v>4921.04248</v>
      </c>
      <c r="X589" s="13" t="n">
        <v>4920.963168</v>
      </c>
      <c r="Y589" s="13" t="n">
        <v>4921.062504</v>
      </c>
      <c r="Z589" s="13" t="n">
        <v>11359.092096</v>
      </c>
      <c r="AA589" s="13" t="n">
        <v>5180.00829</v>
      </c>
      <c r="AB589" s="13" t="n">
        <v>4772.923798</v>
      </c>
      <c r="AC589" s="13" t="n">
        <v>5398.3072</v>
      </c>
      <c r="AD589" s="13" t="n">
        <v>5475.5563</v>
      </c>
      <c r="AE589" s="13" t="n">
        <v>5552.67636</v>
      </c>
      <c r="AF589" s="13" t="n">
        <v>5706.7868</v>
      </c>
      <c r="AG589" s="13" t="n">
        <v>5783.99656</v>
      </c>
      <c r="AH589" s="13" t="n">
        <v>5398.4661</v>
      </c>
      <c r="AI589" s="13" t="n">
        <v>5706.95717</v>
      </c>
      <c r="AJ589" s="13" t="n">
        <v>6015.36447</v>
      </c>
      <c r="AK589" s="13" t="n">
        <v>6940.83075</v>
      </c>
      <c r="AL589" s="13" t="n">
        <v>7056.526653</v>
      </c>
      <c r="AM589" s="13" t="n">
        <v>7249.27216</v>
      </c>
      <c r="AN589" s="13" t="n">
        <v>7596.325753</v>
      </c>
      <c r="AO589" s="13" t="n">
        <v>4797.602856</v>
      </c>
      <c r="AP589" s="13" t="n">
        <v>5317.26384</v>
      </c>
      <c r="AQ589" s="13" t="n">
        <v>6356.748738</v>
      </c>
      <c r="AR589" s="13" t="n">
        <v>6196.92345</v>
      </c>
      <c r="AS589" s="13" t="n">
        <v>6516.755856</v>
      </c>
      <c r="AT589" s="13" t="n">
        <v>7036.51828</v>
      </c>
    </row>
    <row r="590" customFormat="false" ht="15" hidden="false" customHeight="true" outlineLevel="0" collapsed="false">
      <c r="A590" s="12" t="s">
        <v>1822</v>
      </c>
      <c r="B590" s="12" t="s">
        <v>1823</v>
      </c>
      <c r="C590" s="12" t="n">
        <v>1</v>
      </c>
      <c r="D590" s="12" t="s">
        <v>1824</v>
      </c>
      <c r="E590" s="13" t="n">
        <v>0</v>
      </c>
      <c r="F590" s="13" t="n">
        <v>0</v>
      </c>
      <c r="G590" s="13" t="n">
        <v>0</v>
      </c>
      <c r="H590" s="13" t="n">
        <v>0</v>
      </c>
      <c r="I590" s="13" t="n">
        <v>0</v>
      </c>
      <c r="J590" s="13" t="n">
        <v>0</v>
      </c>
      <c r="K590" s="13" t="n">
        <v>0</v>
      </c>
      <c r="L590" s="13" t="n">
        <v>0</v>
      </c>
      <c r="M590" s="13" t="n">
        <v>0</v>
      </c>
      <c r="N590" s="13" t="n">
        <v>0</v>
      </c>
      <c r="O590" s="13" t="n">
        <v>0</v>
      </c>
      <c r="P590" s="13" t="n">
        <v>4199.967975</v>
      </c>
      <c r="Q590" s="13" t="n">
        <v>4199.954166</v>
      </c>
      <c r="R590" s="13" t="n">
        <v>4000.0662</v>
      </c>
      <c r="S590" s="13" t="n">
        <v>3999.989115</v>
      </c>
      <c r="T590" s="13" t="n">
        <v>3959.95264</v>
      </c>
      <c r="U590" s="13" t="n">
        <v>3880.050852</v>
      </c>
      <c r="V590" s="13" t="n">
        <v>3859.928436</v>
      </c>
      <c r="W590" s="13" t="n">
        <v>3820.018992</v>
      </c>
      <c r="X590" s="13" t="n">
        <v>3799.984574</v>
      </c>
      <c r="Y590" s="13" t="n">
        <v>3760.096526</v>
      </c>
      <c r="Z590" s="13" t="n">
        <v>3679.917648</v>
      </c>
      <c r="AA590" s="13" t="n">
        <v>3639.94515</v>
      </c>
      <c r="AB590" s="13" t="n">
        <v>3639.943752</v>
      </c>
      <c r="AC590" s="13" t="n">
        <v>3792.9188</v>
      </c>
      <c r="AD590" s="13" t="n">
        <v>3639.969</v>
      </c>
      <c r="AE590" s="13" t="n">
        <v>3751.11324</v>
      </c>
      <c r="AF590" s="13" t="n">
        <v>3688.6762</v>
      </c>
      <c r="AG590" s="13" t="n">
        <v>3646.93604</v>
      </c>
      <c r="AH590" s="13" t="n">
        <v>3626.10885</v>
      </c>
      <c r="AI590" s="13" t="n">
        <v>3563.72323</v>
      </c>
      <c r="AJ590" s="13" t="n">
        <v>3501.14976</v>
      </c>
      <c r="AK590" s="13" t="n">
        <v>3501.14325</v>
      </c>
      <c r="AL590" s="13" t="n">
        <v>3334.412824</v>
      </c>
      <c r="AM590" s="13" t="n">
        <v>3271.894421</v>
      </c>
      <c r="AN590" s="13" t="n">
        <v>3230.160346</v>
      </c>
      <c r="AO590" s="13" t="n">
        <v>3371.148708</v>
      </c>
      <c r="AP590" s="13" t="n">
        <v>3306.2496</v>
      </c>
      <c r="AQ590" s="13" t="n">
        <v>3263.116533</v>
      </c>
      <c r="AR590" s="13" t="n">
        <v>3198.366832</v>
      </c>
      <c r="AS590" s="13" t="n">
        <v>3176.676144</v>
      </c>
      <c r="AT590" s="13" t="n">
        <v>5199.025296</v>
      </c>
    </row>
    <row r="591" customFormat="false" ht="15" hidden="false" customHeight="true" outlineLevel="0" collapsed="false">
      <c r="A591" s="12" t="s">
        <v>1825</v>
      </c>
      <c r="B591" s="12" t="s">
        <v>1826</v>
      </c>
      <c r="C591" s="12" t="n">
        <v>1</v>
      </c>
      <c r="D591" s="12" t="s">
        <v>1827</v>
      </c>
      <c r="E591" s="13" t="n">
        <v>0</v>
      </c>
      <c r="F591" s="13" t="n">
        <v>0</v>
      </c>
      <c r="G591" s="13" t="n">
        <v>0</v>
      </c>
      <c r="H591" s="13" t="n">
        <v>0</v>
      </c>
      <c r="I591" s="13" t="n">
        <v>0</v>
      </c>
      <c r="J591" s="13" t="n">
        <v>0</v>
      </c>
      <c r="K591" s="13" t="n">
        <v>0</v>
      </c>
      <c r="L591" s="13" t="n">
        <v>0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  <c r="V591" s="13" t="n">
        <v>0</v>
      </c>
      <c r="W591" s="13" t="n">
        <v>0</v>
      </c>
      <c r="X591" s="13" t="n">
        <v>0</v>
      </c>
      <c r="Y591" s="13" t="n">
        <v>0</v>
      </c>
      <c r="Z591" s="13" t="n">
        <v>0</v>
      </c>
      <c r="AA591" s="13" t="n">
        <v>0</v>
      </c>
      <c r="AB591" s="13" t="n">
        <v>0</v>
      </c>
      <c r="AC591" s="13" t="n">
        <v>0</v>
      </c>
      <c r="AD591" s="13" t="n">
        <v>0</v>
      </c>
      <c r="AE591" s="13" t="n">
        <v>0</v>
      </c>
      <c r="AF591" s="13" t="n">
        <v>0</v>
      </c>
      <c r="AG591" s="13" t="n">
        <v>0</v>
      </c>
      <c r="AH591" s="13" t="n">
        <v>0</v>
      </c>
      <c r="AI591" s="13" t="n">
        <v>0</v>
      </c>
      <c r="AJ591" s="13" t="n">
        <v>0</v>
      </c>
      <c r="AK591" s="13" t="n">
        <v>0</v>
      </c>
      <c r="AL591" s="13" t="n">
        <v>0</v>
      </c>
      <c r="AM591" s="13" t="n">
        <v>0</v>
      </c>
      <c r="AN591" s="13" t="n">
        <v>279.999981</v>
      </c>
      <c r="AO591" s="13" t="n">
        <v>349.97606</v>
      </c>
      <c r="AP591" s="13" t="n">
        <v>363.92904</v>
      </c>
      <c r="AQ591" s="13" t="n">
        <v>363.95673</v>
      </c>
      <c r="AR591" s="13" t="n">
        <v>349.97487</v>
      </c>
      <c r="AS591" s="13" t="n">
        <v>350.002134</v>
      </c>
      <c r="AT591" s="13" t="n">
        <v>350.032</v>
      </c>
    </row>
    <row r="592" customFormat="false" ht="15" hidden="false" customHeight="true" outlineLevel="0" collapsed="false">
      <c r="A592" s="12" t="s">
        <v>1828</v>
      </c>
      <c r="B592" s="12" t="s">
        <v>1829</v>
      </c>
      <c r="C592" s="12" t="n">
        <v>1</v>
      </c>
      <c r="D592" s="12" t="s">
        <v>1830</v>
      </c>
      <c r="E592" s="13" t="n">
        <v>0</v>
      </c>
      <c r="F592" s="13" t="n">
        <v>0</v>
      </c>
      <c r="G592" s="13" t="n">
        <v>0</v>
      </c>
      <c r="H592" s="13" t="n">
        <v>0</v>
      </c>
      <c r="I592" s="13" t="n">
        <v>0</v>
      </c>
      <c r="J592" s="13" t="n">
        <v>0</v>
      </c>
      <c r="K592" s="13" t="n">
        <v>0</v>
      </c>
      <c r="L592" s="13" t="n">
        <v>0</v>
      </c>
      <c r="M592" s="13" t="n">
        <v>0</v>
      </c>
      <c r="N592" s="13" t="n">
        <v>0</v>
      </c>
      <c r="O592" s="13" t="n">
        <v>0</v>
      </c>
      <c r="P592" s="13" t="n">
        <v>0</v>
      </c>
      <c r="Q592" s="13" t="n">
        <v>0</v>
      </c>
      <c r="R592" s="13" t="n">
        <v>0</v>
      </c>
      <c r="S592" s="13" t="n">
        <v>35179.98945</v>
      </c>
      <c r="T592" s="13" t="n">
        <v>29030.00576</v>
      </c>
      <c r="U592" s="13" t="n">
        <v>24101.95895</v>
      </c>
      <c r="V592" s="13" t="n">
        <v>29337.924876</v>
      </c>
      <c r="W592" s="13" t="n">
        <v>27885.969888</v>
      </c>
      <c r="X592" s="13" t="n">
        <v>30174.01517</v>
      </c>
      <c r="Y592" s="13" t="n">
        <v>32748.02116</v>
      </c>
      <c r="Z592" s="13" t="n">
        <v>36025.986832</v>
      </c>
      <c r="AA592" s="13" t="n">
        <v>0</v>
      </c>
      <c r="AB592" s="13" t="n">
        <v>0</v>
      </c>
      <c r="AC592" s="13" t="n">
        <v>0</v>
      </c>
      <c r="AD592" s="13" t="n">
        <v>0</v>
      </c>
      <c r="AE592" s="13" t="n">
        <v>0</v>
      </c>
      <c r="AF592" s="13" t="n">
        <v>0</v>
      </c>
      <c r="AG592" s="13" t="n">
        <v>0</v>
      </c>
      <c r="AH592" s="13" t="n">
        <v>0</v>
      </c>
      <c r="AI592" s="13" t="n">
        <v>0</v>
      </c>
      <c r="AJ592" s="13" t="n">
        <v>0</v>
      </c>
      <c r="AK592" s="13" t="n">
        <v>0</v>
      </c>
      <c r="AL592" s="13" t="n">
        <v>0</v>
      </c>
      <c r="AM592" s="13" t="n">
        <v>0</v>
      </c>
      <c r="AN592" s="13" t="n">
        <v>0</v>
      </c>
      <c r="AO592" s="13" t="n">
        <v>0</v>
      </c>
      <c r="AP592" s="13" t="n">
        <v>0</v>
      </c>
      <c r="AQ592" s="13" t="n">
        <v>0</v>
      </c>
      <c r="AR592" s="13" t="n">
        <v>0</v>
      </c>
      <c r="AS592" s="13" t="n">
        <v>0</v>
      </c>
      <c r="AT592" s="13" t="n">
        <v>0</v>
      </c>
    </row>
    <row r="593" customFormat="false" ht="15" hidden="false" customHeight="true" outlineLevel="0" collapsed="false">
      <c r="A593" s="12" t="s">
        <v>1831</v>
      </c>
      <c r="B593" s="12" t="s">
        <v>1832</v>
      </c>
      <c r="C593" s="12" t="n">
        <v>1</v>
      </c>
      <c r="D593" s="12" t="s">
        <v>1833</v>
      </c>
      <c r="E593" s="13" t="n">
        <v>0</v>
      </c>
      <c r="F593" s="13" t="n">
        <v>0</v>
      </c>
      <c r="G593" s="13" t="n">
        <v>0</v>
      </c>
      <c r="H593" s="13" t="n">
        <v>0</v>
      </c>
      <c r="I593" s="13" t="n">
        <v>0</v>
      </c>
      <c r="J593" s="13" t="n">
        <v>0</v>
      </c>
      <c r="K593" s="13" t="n">
        <v>0</v>
      </c>
      <c r="L593" s="13" t="n">
        <v>0</v>
      </c>
      <c r="M593" s="13" t="n">
        <v>0</v>
      </c>
      <c r="N593" s="13" t="n">
        <v>0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0</v>
      </c>
      <c r="W593" s="13" t="n">
        <v>0</v>
      </c>
      <c r="X593" s="13" t="n">
        <v>0</v>
      </c>
      <c r="Y593" s="13" t="n">
        <v>0</v>
      </c>
      <c r="Z593" s="13" t="n">
        <v>0</v>
      </c>
      <c r="AA593" s="13" t="n">
        <v>0</v>
      </c>
      <c r="AB593" s="13" t="n">
        <v>0</v>
      </c>
      <c r="AC593" s="13" t="n">
        <v>0</v>
      </c>
      <c r="AD593" s="13" t="n">
        <v>0</v>
      </c>
      <c r="AE593" s="13" t="n">
        <v>0</v>
      </c>
      <c r="AF593" s="13" t="n">
        <v>0</v>
      </c>
      <c r="AG593" s="13" t="n">
        <v>0</v>
      </c>
      <c r="AH593" s="13" t="n">
        <v>0</v>
      </c>
      <c r="AI593" s="13" t="n">
        <v>0</v>
      </c>
      <c r="AJ593" s="13" t="n">
        <v>0</v>
      </c>
      <c r="AK593" s="13" t="n">
        <v>0</v>
      </c>
      <c r="AL593" s="13" t="n">
        <v>0</v>
      </c>
      <c r="AM593" s="13" t="n">
        <v>0</v>
      </c>
      <c r="AN593" s="13" t="n">
        <v>0</v>
      </c>
      <c r="AO593" s="13" t="n">
        <v>107.923652</v>
      </c>
      <c r="AP593" s="13" t="n">
        <v>108.02256</v>
      </c>
      <c r="AQ593" s="13" t="n">
        <v>107.919508</v>
      </c>
      <c r="AR593" s="13" t="n">
        <v>108.062416</v>
      </c>
      <c r="AS593" s="13" t="n">
        <v>108.012528</v>
      </c>
      <c r="AT593" s="13" t="n">
        <v>107.984872</v>
      </c>
    </row>
    <row r="594" customFormat="false" ht="15" hidden="false" customHeight="true" outlineLevel="0" collapsed="false">
      <c r="A594" s="12" t="s">
        <v>1834</v>
      </c>
      <c r="B594" s="12" t="s">
        <v>1835</v>
      </c>
      <c r="C594" s="12" t="n">
        <v>1</v>
      </c>
      <c r="D594" s="12" t="s">
        <v>1836</v>
      </c>
      <c r="E594" s="13" t="n">
        <v>0</v>
      </c>
      <c r="F594" s="13" t="n">
        <v>0</v>
      </c>
      <c r="G594" s="13" t="n">
        <v>0</v>
      </c>
      <c r="H594" s="13" t="n">
        <v>0</v>
      </c>
      <c r="I594" s="13" t="n">
        <v>0</v>
      </c>
      <c r="J594" s="13" t="n">
        <v>0</v>
      </c>
      <c r="K594" s="13" t="n">
        <v>0</v>
      </c>
      <c r="L594" s="13" t="n">
        <v>0</v>
      </c>
      <c r="M594" s="13" t="n">
        <v>0</v>
      </c>
      <c r="N594" s="13" t="n">
        <v>0</v>
      </c>
      <c r="O594" s="13" t="n">
        <v>0</v>
      </c>
      <c r="P594" s="13" t="n">
        <v>0</v>
      </c>
      <c r="Q594" s="13" t="n">
        <v>0</v>
      </c>
      <c r="R594" s="13" t="n">
        <v>0</v>
      </c>
      <c r="S594" s="13" t="n">
        <v>0</v>
      </c>
      <c r="T594" s="13" t="n">
        <v>0</v>
      </c>
      <c r="U594" s="13" t="n">
        <v>0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0</v>
      </c>
      <c r="AA594" s="13" t="n">
        <v>0</v>
      </c>
      <c r="AB594" s="13" t="n">
        <v>0</v>
      </c>
      <c r="AC594" s="13" t="n">
        <v>0</v>
      </c>
      <c r="AD594" s="13" t="n">
        <v>0</v>
      </c>
      <c r="AE594" s="13" t="n">
        <v>0</v>
      </c>
      <c r="AF594" s="13" t="n">
        <v>0</v>
      </c>
      <c r="AG594" s="13" t="n">
        <v>0</v>
      </c>
      <c r="AH594" s="13" t="n">
        <v>0</v>
      </c>
      <c r="AI594" s="13" t="n">
        <v>0</v>
      </c>
      <c r="AJ594" s="13" t="n">
        <v>0</v>
      </c>
      <c r="AK594" s="13" t="n">
        <v>0</v>
      </c>
      <c r="AL594" s="13" t="n">
        <v>0</v>
      </c>
      <c r="AM594" s="13" t="n">
        <v>0</v>
      </c>
      <c r="AN594" s="13" t="n">
        <v>4904.945075</v>
      </c>
      <c r="AO594" s="13" t="n">
        <v>5399.975444</v>
      </c>
      <c r="AP594" s="13" t="n">
        <v>5399.92008</v>
      </c>
      <c r="AQ594" s="13" t="n">
        <v>5535.039464</v>
      </c>
      <c r="AR594" s="13" t="n">
        <v>5175.067</v>
      </c>
      <c r="AS594" s="13" t="n">
        <v>5309.923572</v>
      </c>
      <c r="AT594" s="13" t="n">
        <v>5354.964552</v>
      </c>
    </row>
    <row r="595" customFormat="false" ht="15" hidden="false" customHeight="true" outlineLevel="0" collapsed="false">
      <c r="A595" s="12" t="s">
        <v>1837</v>
      </c>
      <c r="B595" s="12" t="s">
        <v>1838</v>
      </c>
      <c r="C595" s="12" t="n">
        <v>1</v>
      </c>
      <c r="D595" s="12" t="s">
        <v>1839</v>
      </c>
      <c r="E595" s="13" t="n">
        <v>0</v>
      </c>
      <c r="F595" s="13" t="n">
        <v>0</v>
      </c>
      <c r="G595" s="13" t="n">
        <v>0</v>
      </c>
      <c r="H595" s="13" t="n">
        <v>0</v>
      </c>
      <c r="I595" s="13" t="n">
        <v>0</v>
      </c>
      <c r="J595" s="13" t="n">
        <v>0</v>
      </c>
      <c r="K595" s="13" t="n">
        <v>0</v>
      </c>
      <c r="L595" s="13" t="n">
        <v>0</v>
      </c>
      <c r="M595" s="13" t="n">
        <v>0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  <c r="V595" s="13" t="n">
        <v>0</v>
      </c>
      <c r="W595" s="13" t="n">
        <v>0</v>
      </c>
      <c r="X595" s="13" t="n">
        <v>0</v>
      </c>
      <c r="Y595" s="13" t="n">
        <v>0</v>
      </c>
      <c r="Z595" s="13" t="n">
        <v>0</v>
      </c>
      <c r="AA595" s="13" t="n">
        <v>0</v>
      </c>
      <c r="AB595" s="13" t="n">
        <v>0</v>
      </c>
      <c r="AC595" s="13" t="n">
        <v>0</v>
      </c>
      <c r="AD595" s="13" t="n">
        <v>0</v>
      </c>
      <c r="AE595" s="13" t="n">
        <v>0</v>
      </c>
      <c r="AF595" s="13" t="n">
        <v>0</v>
      </c>
      <c r="AG595" s="13" t="n">
        <v>0</v>
      </c>
      <c r="AH595" s="13" t="n">
        <v>0</v>
      </c>
      <c r="AI595" s="13" t="n">
        <v>10500.0042</v>
      </c>
      <c r="AJ595" s="13" t="n">
        <v>8200.04166</v>
      </c>
      <c r="AK595" s="13" t="n">
        <v>6664.92195</v>
      </c>
      <c r="AL595" s="13" t="n">
        <v>6710.082192</v>
      </c>
      <c r="AM595" s="13" t="n">
        <v>6820.03894</v>
      </c>
      <c r="AN595" s="13" t="n">
        <v>6375.07985</v>
      </c>
      <c r="AO595" s="13" t="n">
        <v>6875.046956</v>
      </c>
      <c r="AP595" s="13" t="n">
        <v>6975.04776</v>
      </c>
      <c r="AQ595" s="13" t="n">
        <v>6775.027368</v>
      </c>
      <c r="AR595" s="13" t="n">
        <v>6874.94494</v>
      </c>
      <c r="AS595" s="13" t="n">
        <v>7119.998901</v>
      </c>
      <c r="AT595" s="13" t="n">
        <v>7295.016912</v>
      </c>
    </row>
    <row r="596" customFormat="false" ht="15" hidden="false" customHeight="true" outlineLevel="0" collapsed="false">
      <c r="A596" s="12" t="s">
        <v>1840</v>
      </c>
      <c r="B596" s="12" t="s">
        <v>1841</v>
      </c>
      <c r="C596" s="12" t="n">
        <v>1</v>
      </c>
      <c r="D596" s="12" t="s">
        <v>1842</v>
      </c>
      <c r="E596" s="13" t="n">
        <v>0</v>
      </c>
      <c r="F596" s="13" t="n">
        <v>0</v>
      </c>
      <c r="G596" s="13" t="n">
        <v>0</v>
      </c>
      <c r="H596" s="13" t="n">
        <v>0</v>
      </c>
      <c r="I596" s="13" t="n">
        <v>0</v>
      </c>
      <c r="J596" s="13" t="n">
        <v>0</v>
      </c>
      <c r="K596" s="13" t="n">
        <v>0</v>
      </c>
      <c r="L596" s="13" t="n">
        <v>0</v>
      </c>
      <c r="M596" s="13" t="n">
        <v>0</v>
      </c>
      <c r="N596" s="13" t="n">
        <v>0</v>
      </c>
      <c r="O596" s="13" t="n">
        <v>0</v>
      </c>
      <c r="P596" s="13" t="n">
        <v>0</v>
      </c>
      <c r="Q596" s="13" t="n">
        <v>0</v>
      </c>
      <c r="R596" s="13" t="n">
        <v>0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0</v>
      </c>
      <c r="X596" s="13" t="n">
        <v>0</v>
      </c>
      <c r="Y596" s="13" t="n">
        <v>0</v>
      </c>
      <c r="Z596" s="13" t="n">
        <v>0</v>
      </c>
      <c r="AA596" s="13" t="n">
        <v>0</v>
      </c>
      <c r="AB596" s="13" t="n">
        <v>0</v>
      </c>
      <c r="AC596" s="13" t="n">
        <v>0</v>
      </c>
      <c r="AD596" s="13" t="n">
        <v>0</v>
      </c>
      <c r="AE596" s="13" t="n">
        <v>0</v>
      </c>
      <c r="AF596" s="13" t="n">
        <v>0</v>
      </c>
      <c r="AG596" s="13" t="n">
        <v>0</v>
      </c>
      <c r="AH596" s="13" t="n">
        <v>0</v>
      </c>
      <c r="AI596" s="13" t="n">
        <v>0</v>
      </c>
      <c r="AJ596" s="13" t="n">
        <v>0</v>
      </c>
      <c r="AK596" s="13" t="n">
        <v>0</v>
      </c>
      <c r="AL596" s="13" t="n">
        <v>0</v>
      </c>
      <c r="AM596" s="13" t="n">
        <v>0</v>
      </c>
      <c r="AN596" s="13" t="n">
        <v>0</v>
      </c>
      <c r="AO596" s="13" t="n">
        <v>0</v>
      </c>
      <c r="AP596" s="13" t="n">
        <v>0</v>
      </c>
      <c r="AQ596" s="13" t="n">
        <v>0</v>
      </c>
      <c r="AR596" s="13" t="n">
        <v>0</v>
      </c>
      <c r="AS596" s="13" t="n">
        <v>0</v>
      </c>
      <c r="AT596" s="13" t="n">
        <v>1117.127128</v>
      </c>
    </row>
    <row r="597" customFormat="false" ht="15" hidden="false" customHeight="true" outlineLevel="0" collapsed="false">
      <c r="A597" s="12" t="s">
        <v>1843</v>
      </c>
      <c r="B597" s="12" t="s">
        <v>1844</v>
      </c>
      <c r="C597" s="12" t="n">
        <v>1</v>
      </c>
      <c r="D597" s="12" t="s">
        <v>1845</v>
      </c>
      <c r="E597" s="13" t="n">
        <v>0</v>
      </c>
      <c r="F597" s="13" t="n">
        <v>0</v>
      </c>
      <c r="G597" s="13" t="n">
        <v>0</v>
      </c>
      <c r="H597" s="13" t="n">
        <v>0</v>
      </c>
      <c r="I597" s="13" t="n">
        <v>0</v>
      </c>
      <c r="J597" s="13" t="n">
        <v>0</v>
      </c>
      <c r="K597" s="13" t="n">
        <v>0</v>
      </c>
      <c r="L597" s="13" t="n">
        <v>0</v>
      </c>
      <c r="M597" s="13" t="n">
        <v>0</v>
      </c>
      <c r="N597" s="13" t="n">
        <v>0</v>
      </c>
      <c r="O597" s="13" t="n">
        <v>0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0</v>
      </c>
      <c r="V597" s="13" t="n">
        <v>0</v>
      </c>
      <c r="W597" s="13" t="n">
        <v>0</v>
      </c>
      <c r="X597" s="13" t="n">
        <v>0</v>
      </c>
      <c r="Y597" s="13" t="n">
        <v>0</v>
      </c>
      <c r="Z597" s="13" t="n">
        <v>0</v>
      </c>
      <c r="AA597" s="13" t="n">
        <v>0</v>
      </c>
      <c r="AB597" s="13" t="n">
        <v>0</v>
      </c>
      <c r="AC597" s="13" t="n">
        <v>0</v>
      </c>
      <c r="AD597" s="13" t="n">
        <v>0</v>
      </c>
      <c r="AE597" s="13" t="n">
        <v>0</v>
      </c>
      <c r="AF597" s="13" t="n">
        <v>0</v>
      </c>
      <c r="AG597" s="13" t="n">
        <v>0</v>
      </c>
      <c r="AH597" s="13" t="n">
        <v>0</v>
      </c>
      <c r="AI597" s="13" t="n">
        <v>0</v>
      </c>
      <c r="AJ597" s="13" t="n">
        <v>1610.03682</v>
      </c>
      <c r="AK597" s="13" t="n">
        <v>1645.1796</v>
      </c>
      <c r="AL597" s="13" t="n">
        <v>884.0688</v>
      </c>
      <c r="AM597" s="13" t="n">
        <v>743.637382</v>
      </c>
      <c r="AN597" s="13" t="n">
        <v>749.364111</v>
      </c>
      <c r="AO597" s="13" t="n">
        <v>801.324496</v>
      </c>
      <c r="AP597" s="13" t="n">
        <v>770.82552</v>
      </c>
      <c r="AQ597" s="13" t="n">
        <v>722.300197</v>
      </c>
      <c r="AR597" s="13" t="n">
        <v>995.54255</v>
      </c>
      <c r="AS597" s="13" t="n">
        <v>995.480847</v>
      </c>
      <c r="AT597" s="13" t="n">
        <v>995.491008</v>
      </c>
    </row>
    <row r="598" customFormat="false" ht="15" hidden="false" customHeight="true" outlineLevel="0" collapsed="false">
      <c r="A598" s="12" t="s">
        <v>1846</v>
      </c>
      <c r="B598" s="12" t="s">
        <v>1847</v>
      </c>
      <c r="C598" s="12" t="n">
        <v>1</v>
      </c>
      <c r="D598" s="12" t="s">
        <v>1848</v>
      </c>
      <c r="E598" s="13" t="n">
        <v>0</v>
      </c>
      <c r="F598" s="13" t="n">
        <v>0</v>
      </c>
      <c r="G598" s="13" t="n">
        <v>0</v>
      </c>
      <c r="H598" s="13" t="n">
        <v>0</v>
      </c>
      <c r="I598" s="13" t="n">
        <v>0</v>
      </c>
      <c r="J598" s="13" t="n">
        <v>0</v>
      </c>
      <c r="K598" s="13" t="n">
        <v>0</v>
      </c>
      <c r="L598" s="13" t="n">
        <v>0</v>
      </c>
      <c r="M598" s="13" t="n">
        <v>0</v>
      </c>
      <c r="N598" s="13" t="n">
        <v>0</v>
      </c>
      <c r="O598" s="13" t="n">
        <v>0</v>
      </c>
      <c r="P598" s="13" t="n">
        <v>0</v>
      </c>
      <c r="Q598" s="13" t="n">
        <v>0</v>
      </c>
      <c r="R598" s="13" t="n">
        <v>0</v>
      </c>
      <c r="S598" s="13" t="n">
        <v>0</v>
      </c>
      <c r="T598" s="13" t="n">
        <v>0</v>
      </c>
      <c r="U598" s="13" t="n">
        <v>0</v>
      </c>
      <c r="V598" s="13" t="n">
        <v>0</v>
      </c>
      <c r="W598" s="13" t="n">
        <v>0</v>
      </c>
      <c r="X598" s="13" t="n">
        <v>0</v>
      </c>
      <c r="Y598" s="13" t="n">
        <v>0</v>
      </c>
      <c r="Z598" s="13" t="n">
        <v>0</v>
      </c>
      <c r="AA598" s="13" t="n">
        <v>0</v>
      </c>
      <c r="AB598" s="13" t="n">
        <v>0</v>
      </c>
      <c r="AC598" s="13" t="n">
        <v>0</v>
      </c>
      <c r="AD598" s="13" t="n">
        <v>0</v>
      </c>
      <c r="AE598" s="13" t="n">
        <v>0</v>
      </c>
      <c r="AF598" s="13" t="n">
        <v>0</v>
      </c>
      <c r="AG598" s="13" t="n">
        <v>0</v>
      </c>
      <c r="AH598" s="13" t="n">
        <v>0</v>
      </c>
      <c r="AI598" s="13" t="n">
        <v>0</v>
      </c>
      <c r="AJ598" s="13" t="n">
        <v>0</v>
      </c>
      <c r="AK598" s="13" t="n">
        <v>0</v>
      </c>
      <c r="AL598" s="13" t="n">
        <v>0</v>
      </c>
      <c r="AM598" s="13" t="n">
        <v>0</v>
      </c>
      <c r="AN598" s="13" t="n">
        <v>0</v>
      </c>
      <c r="AO598" s="13" t="n">
        <v>0</v>
      </c>
      <c r="AP598" s="13" t="n">
        <v>0</v>
      </c>
      <c r="AQ598" s="13" t="n">
        <v>0</v>
      </c>
      <c r="AR598" s="13" t="n">
        <v>0</v>
      </c>
      <c r="AS598" s="13" t="n">
        <v>778.9365</v>
      </c>
      <c r="AT598" s="13" t="n">
        <v>778.996216</v>
      </c>
    </row>
    <row r="599" customFormat="false" ht="15" hidden="false" customHeight="true" outlineLevel="0" collapsed="false">
      <c r="A599" s="12" t="s">
        <v>1849</v>
      </c>
      <c r="B599" s="12" t="s">
        <v>1850</v>
      </c>
      <c r="C599" s="12" t="n">
        <v>1</v>
      </c>
      <c r="D599" s="12" t="s">
        <v>1851</v>
      </c>
      <c r="E599" s="13" t="n">
        <v>0</v>
      </c>
      <c r="F599" s="13" t="n">
        <v>0</v>
      </c>
      <c r="G599" s="13" t="n">
        <v>0</v>
      </c>
      <c r="H599" s="13" t="n">
        <v>0</v>
      </c>
      <c r="I599" s="13" t="n">
        <v>0</v>
      </c>
      <c r="J599" s="13" t="n">
        <v>0</v>
      </c>
      <c r="K599" s="13" t="n">
        <v>0</v>
      </c>
      <c r="L599" s="13" t="n">
        <v>0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  <c r="V599" s="13" t="n">
        <v>0</v>
      </c>
      <c r="W599" s="13" t="n">
        <v>0</v>
      </c>
      <c r="X599" s="13" t="n">
        <v>0</v>
      </c>
      <c r="Y599" s="13" t="n">
        <v>0</v>
      </c>
      <c r="Z599" s="13" t="n">
        <v>0</v>
      </c>
      <c r="AA599" s="13" t="n">
        <v>0</v>
      </c>
      <c r="AB599" s="13" t="n">
        <v>0</v>
      </c>
      <c r="AC599" s="13" t="n">
        <v>0</v>
      </c>
      <c r="AD599" s="13" t="n">
        <v>0</v>
      </c>
      <c r="AE599" s="13" t="n">
        <v>0</v>
      </c>
      <c r="AF599" s="13" t="n">
        <v>0</v>
      </c>
      <c r="AG599" s="13" t="n">
        <v>0</v>
      </c>
      <c r="AH599" s="13" t="n">
        <v>0</v>
      </c>
      <c r="AI599" s="13" t="n">
        <v>455.07537</v>
      </c>
      <c r="AJ599" s="13" t="n">
        <v>520.0281</v>
      </c>
      <c r="AK599" s="13" t="n">
        <v>454.956</v>
      </c>
      <c r="AL599" s="13" t="n">
        <v>649.974749</v>
      </c>
      <c r="AM599" s="13" t="n">
        <v>650.086552</v>
      </c>
      <c r="AN599" s="13" t="n">
        <v>649.916462</v>
      </c>
      <c r="AO599" s="13" t="n">
        <v>606.682638</v>
      </c>
      <c r="AP599" s="13" t="n">
        <v>674.01936</v>
      </c>
      <c r="AQ599" s="13" t="n">
        <v>0</v>
      </c>
      <c r="AR599" s="13" t="n">
        <v>0</v>
      </c>
      <c r="AS599" s="13" t="n">
        <v>0</v>
      </c>
      <c r="AT599" s="13" t="n">
        <v>0</v>
      </c>
    </row>
    <row r="600" customFormat="false" ht="15" hidden="false" customHeight="true" outlineLevel="0" collapsed="false">
      <c r="A600" s="12" t="s">
        <v>1852</v>
      </c>
      <c r="B600" s="12" t="s">
        <v>1853</v>
      </c>
      <c r="C600" s="12" t="n">
        <v>1</v>
      </c>
      <c r="D600" s="12" t="s">
        <v>1854</v>
      </c>
      <c r="E600" s="13" t="n">
        <v>0</v>
      </c>
      <c r="F600" s="13" t="n">
        <v>0</v>
      </c>
      <c r="G600" s="13" t="n">
        <v>0</v>
      </c>
      <c r="H600" s="13" t="n">
        <v>0</v>
      </c>
      <c r="I600" s="13" t="n">
        <v>0</v>
      </c>
      <c r="J600" s="13" t="n">
        <v>0</v>
      </c>
      <c r="K600" s="13" t="n">
        <v>0</v>
      </c>
      <c r="L600" s="13" t="n">
        <v>0</v>
      </c>
      <c r="M600" s="13" t="n">
        <v>0</v>
      </c>
      <c r="N600" s="13" t="n">
        <v>0</v>
      </c>
      <c r="O600" s="13" t="n">
        <v>0</v>
      </c>
      <c r="P600" s="13" t="n">
        <v>0</v>
      </c>
      <c r="Q600" s="13" t="n">
        <v>0</v>
      </c>
      <c r="R600" s="13" t="n">
        <v>0</v>
      </c>
      <c r="S600" s="13" t="n">
        <v>2730.009525</v>
      </c>
      <c r="T600" s="13" t="n">
        <v>3042.01856</v>
      </c>
      <c r="U600" s="13" t="n">
        <v>3224.050295</v>
      </c>
      <c r="V600" s="13" t="n">
        <v>0</v>
      </c>
      <c r="W600" s="13" t="n">
        <v>0</v>
      </c>
      <c r="X600" s="13" t="n">
        <v>0</v>
      </c>
      <c r="Y600" s="13" t="n">
        <v>0</v>
      </c>
      <c r="Z600" s="13" t="n">
        <v>0</v>
      </c>
      <c r="AA600" s="13" t="n">
        <v>0</v>
      </c>
      <c r="AB600" s="13" t="n">
        <v>0</v>
      </c>
      <c r="AC600" s="13" t="n">
        <v>0</v>
      </c>
      <c r="AD600" s="13" t="n">
        <v>0</v>
      </c>
      <c r="AE600" s="13" t="n">
        <v>0</v>
      </c>
      <c r="AF600" s="13" t="n">
        <v>0</v>
      </c>
      <c r="AG600" s="13" t="n">
        <v>0</v>
      </c>
      <c r="AH600" s="13" t="n">
        <v>0</v>
      </c>
      <c r="AI600" s="13" t="n">
        <v>0</v>
      </c>
      <c r="AJ600" s="13" t="n">
        <v>0</v>
      </c>
      <c r="AK600" s="13" t="n">
        <v>0</v>
      </c>
      <c r="AL600" s="13" t="n">
        <v>0</v>
      </c>
      <c r="AM600" s="13" t="n">
        <v>0</v>
      </c>
      <c r="AN600" s="13" t="n">
        <v>0</v>
      </c>
      <c r="AO600" s="13" t="n">
        <v>0</v>
      </c>
      <c r="AP600" s="13" t="n">
        <v>0</v>
      </c>
      <c r="AQ600" s="13" t="n">
        <v>0</v>
      </c>
      <c r="AR600" s="13" t="n">
        <v>0</v>
      </c>
      <c r="AS600" s="13" t="n">
        <v>0</v>
      </c>
      <c r="AT600" s="13" t="n">
        <v>0</v>
      </c>
    </row>
    <row r="601" customFormat="false" ht="15" hidden="false" customHeight="true" outlineLevel="0" collapsed="false">
      <c r="A601" s="12" t="s">
        <v>1855</v>
      </c>
      <c r="B601" s="12" t="s">
        <v>1856</v>
      </c>
      <c r="C601" s="12" t="n">
        <v>1</v>
      </c>
      <c r="D601" s="12" t="s">
        <v>1857</v>
      </c>
      <c r="E601" s="13" t="n">
        <v>0</v>
      </c>
      <c r="F601" s="13" t="n">
        <v>0</v>
      </c>
      <c r="G601" s="13" t="n">
        <v>0</v>
      </c>
      <c r="H601" s="13" t="n">
        <v>0</v>
      </c>
      <c r="I601" s="13" t="n">
        <v>0</v>
      </c>
      <c r="J601" s="13" t="n">
        <v>0</v>
      </c>
      <c r="K601" s="13" t="n">
        <v>0</v>
      </c>
      <c r="L601" s="13" t="n">
        <v>0</v>
      </c>
      <c r="M601" s="13" t="n">
        <v>0</v>
      </c>
      <c r="N601" s="13" t="n">
        <v>0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  <c r="V601" s="13" t="n">
        <v>0</v>
      </c>
      <c r="W601" s="13" t="n">
        <v>0</v>
      </c>
      <c r="X601" s="13" t="n">
        <v>0</v>
      </c>
      <c r="Y601" s="13" t="n">
        <v>0</v>
      </c>
      <c r="Z601" s="13" t="n">
        <v>0</v>
      </c>
      <c r="AA601" s="13" t="n">
        <v>0</v>
      </c>
      <c r="AB601" s="13" t="n">
        <v>0</v>
      </c>
      <c r="AC601" s="13" t="n">
        <v>0</v>
      </c>
      <c r="AD601" s="13" t="n">
        <v>0</v>
      </c>
      <c r="AE601" s="13" t="n">
        <v>0</v>
      </c>
      <c r="AF601" s="13" t="n">
        <v>0</v>
      </c>
      <c r="AG601" s="13" t="n">
        <v>0</v>
      </c>
      <c r="AH601" s="13" t="n">
        <v>0</v>
      </c>
      <c r="AI601" s="13" t="n">
        <v>0</v>
      </c>
      <c r="AJ601" s="13" t="n">
        <v>0</v>
      </c>
      <c r="AK601" s="13" t="n">
        <v>0</v>
      </c>
      <c r="AL601" s="13" t="n">
        <v>544.070674</v>
      </c>
      <c r="AM601" s="13" t="n">
        <v>544.062278</v>
      </c>
      <c r="AN601" s="13" t="n">
        <v>543.994825</v>
      </c>
      <c r="AO601" s="13" t="n">
        <v>544.100712</v>
      </c>
      <c r="AP601" s="13" t="n">
        <v>634.67568</v>
      </c>
      <c r="AQ601" s="13" t="n">
        <v>543.943292</v>
      </c>
      <c r="AR601" s="13" t="n">
        <v>634.691268</v>
      </c>
      <c r="AS601" s="13" t="n">
        <v>634.746699</v>
      </c>
      <c r="AT601" s="13" t="n">
        <v>634.608016</v>
      </c>
    </row>
    <row r="602" customFormat="false" ht="15" hidden="false" customHeight="true" outlineLevel="0" collapsed="false">
      <c r="A602" s="12" t="s">
        <v>1858</v>
      </c>
      <c r="B602" s="12" t="s">
        <v>1859</v>
      </c>
      <c r="C602" s="12" t="n">
        <v>1</v>
      </c>
      <c r="D602" s="12" t="s">
        <v>1860</v>
      </c>
      <c r="E602" s="13" t="n">
        <v>0</v>
      </c>
      <c r="F602" s="13" t="n">
        <v>0</v>
      </c>
      <c r="G602" s="13" t="n">
        <v>0</v>
      </c>
      <c r="H602" s="13" t="n">
        <v>0</v>
      </c>
      <c r="I602" s="13" t="n">
        <v>0</v>
      </c>
      <c r="J602" s="13" t="n">
        <v>0</v>
      </c>
      <c r="K602" s="13" t="n">
        <v>0</v>
      </c>
      <c r="L602" s="13" t="n">
        <v>0</v>
      </c>
      <c r="M602" s="13" t="n">
        <v>0</v>
      </c>
      <c r="N602" s="13" t="n">
        <v>0</v>
      </c>
      <c r="O602" s="13" t="n">
        <v>0</v>
      </c>
      <c r="P602" s="13" t="n">
        <v>0</v>
      </c>
      <c r="Q602" s="13" t="n">
        <v>0</v>
      </c>
      <c r="R602" s="13" t="n">
        <v>0</v>
      </c>
      <c r="S602" s="13" t="n">
        <v>0</v>
      </c>
      <c r="T602" s="13" t="n">
        <v>3510.00832</v>
      </c>
      <c r="U602" s="13" t="n">
        <v>3599.949296</v>
      </c>
      <c r="V602" s="13" t="n">
        <v>3104.929308</v>
      </c>
      <c r="W602" s="13" t="n">
        <v>3690.07872</v>
      </c>
      <c r="X602" s="13" t="n">
        <v>4050.038352</v>
      </c>
      <c r="Y602" s="13" t="n">
        <v>3869.952218</v>
      </c>
      <c r="Z602" s="13" t="n">
        <v>3060.08296</v>
      </c>
      <c r="AA602" s="13" t="n">
        <v>3419.93613</v>
      </c>
      <c r="AB602" s="13" t="n">
        <v>3645.002602</v>
      </c>
      <c r="AC602" s="13" t="n">
        <v>5174.9632</v>
      </c>
      <c r="AD602" s="13" t="n">
        <v>4590.0974</v>
      </c>
      <c r="AE602" s="13" t="n">
        <v>3825.00468</v>
      </c>
      <c r="AF602" s="13" t="n">
        <v>3420.0386</v>
      </c>
      <c r="AG602" s="13" t="n">
        <v>3330.06288</v>
      </c>
      <c r="AH602" s="13" t="n">
        <v>3644.99385</v>
      </c>
      <c r="AI602" s="13" t="n">
        <v>4590.03943</v>
      </c>
      <c r="AJ602" s="13" t="n">
        <v>4724.9865</v>
      </c>
      <c r="AK602" s="13" t="n">
        <v>4050.02565</v>
      </c>
      <c r="AL602" s="13" t="n">
        <v>3285.052316</v>
      </c>
      <c r="AM602" s="13" t="n">
        <v>3015.088221</v>
      </c>
      <c r="AN602" s="13" t="n">
        <v>2880.025495</v>
      </c>
      <c r="AO602" s="13" t="n">
        <v>3732.848104</v>
      </c>
      <c r="AP602" s="13" t="n">
        <v>3639.46296</v>
      </c>
      <c r="AQ602" s="13" t="n">
        <v>3499.416798</v>
      </c>
      <c r="AR602" s="13" t="n">
        <v>4152.684272</v>
      </c>
      <c r="AS602" s="13" t="n">
        <v>5319.27081</v>
      </c>
      <c r="AT602" s="13" t="n">
        <v>4945.95216</v>
      </c>
    </row>
    <row r="603" customFormat="false" ht="15" hidden="false" customHeight="true" outlineLevel="0" collapsed="false">
      <c r="A603" s="12" t="s">
        <v>1861</v>
      </c>
      <c r="B603" s="12" t="s">
        <v>1862</v>
      </c>
      <c r="C603" s="12" t="n">
        <v>1</v>
      </c>
      <c r="D603" s="12" t="s">
        <v>1863</v>
      </c>
      <c r="E603" s="13" t="n">
        <v>0</v>
      </c>
      <c r="F603" s="13" t="n">
        <v>0</v>
      </c>
      <c r="G603" s="13" t="n">
        <v>0</v>
      </c>
      <c r="H603" s="13" t="n">
        <v>0</v>
      </c>
      <c r="I603" s="13" t="n">
        <v>0</v>
      </c>
      <c r="J603" s="13" t="n">
        <v>0</v>
      </c>
      <c r="K603" s="13" t="n">
        <v>0</v>
      </c>
      <c r="L603" s="13" t="n">
        <v>0</v>
      </c>
      <c r="M603" s="13" t="n">
        <v>0</v>
      </c>
      <c r="N603" s="1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0</v>
      </c>
      <c r="T603" s="13" t="n">
        <v>0</v>
      </c>
      <c r="U603" s="13" t="n">
        <v>0</v>
      </c>
      <c r="V603" s="13" t="n">
        <v>0</v>
      </c>
      <c r="W603" s="13" t="n">
        <v>0</v>
      </c>
      <c r="X603" s="13" t="n">
        <v>0</v>
      </c>
      <c r="Y603" s="13" t="n">
        <v>0</v>
      </c>
      <c r="Z603" s="13" t="n">
        <v>0</v>
      </c>
      <c r="AA603" s="13" t="n">
        <v>0</v>
      </c>
      <c r="AB603" s="13" t="n">
        <v>3240.092248</v>
      </c>
      <c r="AC603" s="13" t="n">
        <v>3599.9744</v>
      </c>
      <c r="AD603" s="13" t="n">
        <v>3539.9879</v>
      </c>
      <c r="AE603" s="13" t="n">
        <v>3660.07572</v>
      </c>
      <c r="AF603" s="13" t="n">
        <v>4139.9952</v>
      </c>
      <c r="AG603" s="13" t="n">
        <v>4260.0335</v>
      </c>
      <c r="AH603" s="13" t="n">
        <v>4260.0783</v>
      </c>
      <c r="AI603" s="13" t="n">
        <v>4200.00168</v>
      </c>
      <c r="AJ603" s="13" t="n">
        <v>4439.99619</v>
      </c>
      <c r="AK603" s="13" t="n">
        <v>3839.9754</v>
      </c>
      <c r="AL603" s="13" t="n">
        <v>4019.934506</v>
      </c>
      <c r="AM603" s="13" t="n">
        <v>3899.969013</v>
      </c>
      <c r="AN603" s="13" t="n">
        <v>3900.038271</v>
      </c>
      <c r="AO603" s="13" t="n">
        <v>4167.990752</v>
      </c>
      <c r="AP603" s="13" t="n">
        <v>4105.89264</v>
      </c>
      <c r="AQ603" s="13" t="n">
        <v>4230.227426</v>
      </c>
      <c r="AR603" s="13" t="n">
        <v>4354.775024</v>
      </c>
      <c r="AS603" s="13" t="n">
        <v>4230.317583</v>
      </c>
      <c r="AT603" s="13" t="n">
        <v>4230.311736</v>
      </c>
    </row>
    <row r="604" customFormat="false" ht="15" hidden="false" customHeight="true" outlineLevel="0" collapsed="false">
      <c r="A604" s="12" t="s">
        <v>1864</v>
      </c>
      <c r="B604" s="12" t="s">
        <v>1865</v>
      </c>
      <c r="C604" s="12" t="n">
        <v>1</v>
      </c>
      <c r="D604" s="12" t="s">
        <v>1866</v>
      </c>
      <c r="E604" s="13" t="n">
        <v>0</v>
      </c>
      <c r="F604" s="13" t="n">
        <v>0</v>
      </c>
      <c r="G604" s="13" t="n">
        <v>0</v>
      </c>
      <c r="H604" s="13" t="n">
        <v>0</v>
      </c>
      <c r="I604" s="13" t="n">
        <v>0</v>
      </c>
      <c r="J604" s="13" t="n">
        <v>0</v>
      </c>
      <c r="K604" s="13" t="n">
        <v>0</v>
      </c>
      <c r="L604" s="13" t="n">
        <v>0</v>
      </c>
      <c r="M604" s="13" t="n">
        <v>0</v>
      </c>
      <c r="N604" s="13" t="n">
        <v>0</v>
      </c>
      <c r="O604" s="13" t="n">
        <v>0</v>
      </c>
      <c r="P604" s="13" t="n">
        <v>0</v>
      </c>
      <c r="Q604" s="13" t="n">
        <v>0</v>
      </c>
      <c r="R604" s="13" t="n">
        <v>0</v>
      </c>
      <c r="S604" s="13" t="n">
        <v>0</v>
      </c>
      <c r="T604" s="13" t="n">
        <v>0</v>
      </c>
      <c r="U604" s="13" t="n">
        <v>0</v>
      </c>
      <c r="V604" s="13" t="n">
        <v>0</v>
      </c>
      <c r="W604" s="13" t="n">
        <v>0</v>
      </c>
      <c r="X604" s="13" t="n">
        <v>0</v>
      </c>
      <c r="Y604" s="13" t="n">
        <v>0</v>
      </c>
      <c r="Z604" s="13" t="n">
        <v>0</v>
      </c>
      <c r="AA604" s="13" t="n">
        <v>0</v>
      </c>
      <c r="AB604" s="13" t="n">
        <v>0</v>
      </c>
      <c r="AC604" s="13" t="n">
        <v>0</v>
      </c>
      <c r="AD604" s="13" t="n">
        <v>0</v>
      </c>
      <c r="AE604" s="13" t="n">
        <v>0</v>
      </c>
      <c r="AF604" s="13" t="n">
        <v>0</v>
      </c>
      <c r="AG604" s="13" t="n">
        <v>0</v>
      </c>
      <c r="AH604" s="13" t="n">
        <v>0</v>
      </c>
      <c r="AI604" s="13" t="n">
        <v>0</v>
      </c>
      <c r="AJ604" s="13" t="n">
        <v>0</v>
      </c>
      <c r="AK604" s="13" t="n">
        <v>0</v>
      </c>
      <c r="AL604" s="13" t="n">
        <v>0</v>
      </c>
      <c r="AM604" s="13" t="n">
        <v>0</v>
      </c>
      <c r="AN604" s="13" t="n">
        <v>0</v>
      </c>
      <c r="AO604" s="13" t="n">
        <v>0</v>
      </c>
      <c r="AP604" s="13" t="n">
        <v>0</v>
      </c>
      <c r="AQ604" s="13" t="n">
        <v>0</v>
      </c>
      <c r="AR604" s="13" t="n">
        <v>0</v>
      </c>
      <c r="AS604" s="13" t="n">
        <v>999.981369</v>
      </c>
      <c r="AT604" s="13" t="n">
        <v>1000.041424</v>
      </c>
    </row>
    <row r="605" customFormat="false" ht="15" hidden="false" customHeight="true" outlineLevel="0" collapsed="false">
      <c r="A605" s="12" t="s">
        <v>1867</v>
      </c>
      <c r="B605" s="12" t="s">
        <v>1868</v>
      </c>
      <c r="C605" s="12" t="n">
        <v>1</v>
      </c>
      <c r="D605" s="12" t="s">
        <v>1869</v>
      </c>
      <c r="E605" s="13" t="n">
        <v>0</v>
      </c>
      <c r="F605" s="13" t="n">
        <v>0</v>
      </c>
      <c r="G605" s="13" t="n">
        <v>0</v>
      </c>
      <c r="H605" s="13" t="n">
        <v>0</v>
      </c>
      <c r="I605" s="13" t="n">
        <v>0</v>
      </c>
      <c r="J605" s="13" t="n">
        <v>0</v>
      </c>
      <c r="K605" s="13" t="n">
        <v>0</v>
      </c>
      <c r="L605" s="13" t="n">
        <v>0</v>
      </c>
      <c r="M605" s="13" t="n">
        <v>0</v>
      </c>
      <c r="N605" s="13" t="n">
        <v>0</v>
      </c>
      <c r="O605" s="13" t="n">
        <v>0</v>
      </c>
      <c r="P605" s="13" t="n">
        <v>720.042848</v>
      </c>
      <c r="Q605" s="13" t="n">
        <v>720.080442</v>
      </c>
      <c r="R605" s="13" t="n">
        <v>720.011916</v>
      </c>
      <c r="S605" s="13" t="n">
        <v>648.05679</v>
      </c>
      <c r="T605" s="13" t="n">
        <v>665.97888</v>
      </c>
      <c r="U605" s="13" t="n">
        <v>532.735526</v>
      </c>
      <c r="V605" s="13" t="n">
        <v>547.18092</v>
      </c>
      <c r="W605" s="13" t="n">
        <v>684.014592</v>
      </c>
      <c r="X605" s="13" t="n">
        <v>683.929802</v>
      </c>
      <c r="Y605" s="13" t="n">
        <v>683.940276</v>
      </c>
      <c r="Z605" s="13" t="n">
        <v>683.983168</v>
      </c>
      <c r="AA605" s="13" t="n">
        <v>0</v>
      </c>
      <c r="AB605" s="13" t="n">
        <v>0</v>
      </c>
      <c r="AC605" s="13" t="n">
        <v>0</v>
      </c>
      <c r="AD605" s="13" t="n">
        <v>0</v>
      </c>
      <c r="AE605" s="13" t="n">
        <v>0</v>
      </c>
      <c r="AF605" s="13" t="n">
        <v>0</v>
      </c>
      <c r="AG605" s="13" t="n">
        <v>0</v>
      </c>
      <c r="AH605" s="13" t="n">
        <v>0</v>
      </c>
      <c r="AI605" s="13" t="n">
        <v>0</v>
      </c>
      <c r="AJ605" s="13" t="n">
        <v>0</v>
      </c>
      <c r="AK605" s="13" t="n">
        <v>0</v>
      </c>
      <c r="AL605" s="13" t="n">
        <v>0</v>
      </c>
      <c r="AM605" s="13" t="n">
        <v>0</v>
      </c>
      <c r="AN605" s="13" t="n">
        <v>0</v>
      </c>
      <c r="AO605" s="13" t="n">
        <v>0</v>
      </c>
      <c r="AP605" s="13" t="n">
        <v>0</v>
      </c>
      <c r="AQ605" s="13" t="n">
        <v>0</v>
      </c>
      <c r="AR605" s="13" t="n">
        <v>0</v>
      </c>
      <c r="AS605" s="13" t="n">
        <v>0</v>
      </c>
      <c r="AT605" s="13" t="n">
        <v>0</v>
      </c>
    </row>
    <row r="606" customFormat="false" ht="15" hidden="false" customHeight="true" outlineLevel="0" collapsed="false">
      <c r="A606" s="12" t="s">
        <v>1870</v>
      </c>
      <c r="B606" s="12" t="s">
        <v>1871</v>
      </c>
      <c r="C606" s="12" t="n">
        <v>1</v>
      </c>
      <c r="D606" s="12" t="s">
        <v>1872</v>
      </c>
      <c r="E606" s="13" t="n">
        <v>0</v>
      </c>
      <c r="F606" s="13" t="n">
        <v>0</v>
      </c>
      <c r="G606" s="13" t="n">
        <v>0</v>
      </c>
      <c r="H606" s="13" t="n">
        <v>0</v>
      </c>
      <c r="I606" s="13" t="n">
        <v>0</v>
      </c>
      <c r="J606" s="13" t="n">
        <v>0</v>
      </c>
      <c r="K606" s="13" t="n">
        <v>0</v>
      </c>
      <c r="L606" s="13" t="n">
        <v>0</v>
      </c>
      <c r="M606" s="13" t="n">
        <v>0</v>
      </c>
      <c r="N606" s="13" t="n">
        <v>0</v>
      </c>
      <c r="O606" s="13" t="n">
        <v>0</v>
      </c>
      <c r="P606" s="13" t="n">
        <v>0</v>
      </c>
      <c r="Q606" s="13" t="n">
        <v>0</v>
      </c>
      <c r="R606" s="13" t="n">
        <v>0</v>
      </c>
      <c r="S606" s="13" t="n">
        <v>0</v>
      </c>
      <c r="T606" s="13" t="n">
        <v>0</v>
      </c>
      <c r="U606" s="13" t="n">
        <v>0</v>
      </c>
      <c r="V606" s="13" t="n">
        <v>0</v>
      </c>
      <c r="W606" s="13" t="n">
        <v>0</v>
      </c>
      <c r="X606" s="13" t="n">
        <v>0</v>
      </c>
      <c r="Y606" s="13" t="n">
        <v>0</v>
      </c>
      <c r="Z606" s="13" t="n">
        <v>0</v>
      </c>
      <c r="AA606" s="13" t="n">
        <v>0</v>
      </c>
      <c r="AB606" s="13" t="n">
        <v>0</v>
      </c>
      <c r="AC606" s="13" t="n">
        <v>0</v>
      </c>
      <c r="AD606" s="13" t="n">
        <v>0</v>
      </c>
      <c r="AE606" s="13" t="n">
        <v>0</v>
      </c>
      <c r="AF606" s="13" t="n">
        <v>0</v>
      </c>
      <c r="AG606" s="13" t="n">
        <v>0</v>
      </c>
      <c r="AH606" s="13" t="n">
        <v>720.08505</v>
      </c>
      <c r="AI606" s="13" t="n">
        <v>719.9251</v>
      </c>
      <c r="AJ606" s="13" t="n">
        <v>840.05973</v>
      </c>
      <c r="AK606" s="13" t="n">
        <v>840.01755</v>
      </c>
      <c r="AL606" s="13" t="n">
        <v>899.908366</v>
      </c>
      <c r="AM606" s="13" t="n">
        <v>3419.924852</v>
      </c>
      <c r="AN606" s="13" t="n">
        <v>3420.063994</v>
      </c>
      <c r="AO606" s="13" t="n">
        <v>3670.43858</v>
      </c>
      <c r="AP606" s="13" t="n">
        <v>4479.13992</v>
      </c>
      <c r="AQ606" s="13" t="n">
        <v>4665.707991</v>
      </c>
      <c r="AR606" s="13" t="n">
        <v>4852.458586</v>
      </c>
      <c r="AS606" s="13" t="n">
        <v>4914.570024</v>
      </c>
      <c r="AT606" s="13" t="n">
        <v>4230.311736</v>
      </c>
    </row>
    <row r="607" customFormat="false" ht="15" hidden="false" customHeight="true" outlineLevel="0" collapsed="false">
      <c r="A607" s="12" t="s">
        <v>1873</v>
      </c>
      <c r="B607" s="12" t="s">
        <v>1874</v>
      </c>
      <c r="C607" s="12" t="n">
        <v>1</v>
      </c>
      <c r="D607" s="12" t="s">
        <v>1875</v>
      </c>
      <c r="E607" s="13" t="n">
        <v>0</v>
      </c>
      <c r="F607" s="13" t="n">
        <v>0</v>
      </c>
      <c r="G607" s="13" t="n">
        <v>0</v>
      </c>
      <c r="H607" s="13" t="n">
        <v>0</v>
      </c>
      <c r="I607" s="13" t="n">
        <v>0</v>
      </c>
      <c r="J607" s="13" t="n">
        <v>0</v>
      </c>
      <c r="K607" s="13" t="n">
        <v>0</v>
      </c>
      <c r="L607" s="13" t="n">
        <v>0</v>
      </c>
      <c r="M607" s="13" t="n">
        <v>0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  <c r="V607" s="13" t="n">
        <v>0</v>
      </c>
      <c r="W607" s="13" t="n">
        <v>0</v>
      </c>
      <c r="X607" s="13" t="n">
        <v>0</v>
      </c>
      <c r="Y607" s="13" t="n">
        <v>0</v>
      </c>
      <c r="Z607" s="13" t="n">
        <v>0</v>
      </c>
      <c r="AA607" s="13" t="n">
        <v>0</v>
      </c>
      <c r="AB607" s="13" t="n">
        <v>0</v>
      </c>
      <c r="AC607" s="13" t="n">
        <v>0</v>
      </c>
      <c r="AD607" s="13" t="n">
        <v>0</v>
      </c>
      <c r="AE607" s="13" t="n">
        <v>16290.00072</v>
      </c>
      <c r="AF607" s="13" t="n">
        <v>17849.9112</v>
      </c>
      <c r="AG607" s="13" t="n">
        <v>18660.00812</v>
      </c>
      <c r="AH607" s="13" t="n">
        <v>19109.92035</v>
      </c>
      <c r="AI607" s="13" t="n">
        <v>20009.97041</v>
      </c>
      <c r="AJ607" s="13" t="n">
        <v>17874.05544</v>
      </c>
      <c r="AK607" s="13" t="n">
        <v>17874.08385</v>
      </c>
      <c r="AL607" s="13" t="n">
        <v>19530.000697</v>
      </c>
      <c r="AM607" s="13" t="n">
        <v>19560.011089</v>
      </c>
      <c r="AN607" s="13" t="n">
        <v>19469.979411</v>
      </c>
      <c r="AO607" s="13" t="n">
        <v>20408.08675</v>
      </c>
      <c r="AP607" s="13" t="n">
        <v>20874.75576</v>
      </c>
      <c r="AQ607" s="13" t="n">
        <v>20750.422581</v>
      </c>
      <c r="AR607" s="13" t="n">
        <v>20719.214008</v>
      </c>
      <c r="AS607" s="13" t="n">
        <v>20999.262555</v>
      </c>
      <c r="AT607" s="13" t="n">
        <v>22150.374992</v>
      </c>
    </row>
    <row r="608" customFormat="false" ht="15" hidden="false" customHeight="true" outlineLevel="0" collapsed="false">
      <c r="A608" s="12" t="s">
        <v>1876</v>
      </c>
      <c r="B608" s="12" t="s">
        <v>1877</v>
      </c>
      <c r="C608" s="12" t="n">
        <v>1</v>
      </c>
      <c r="D608" s="12" t="s">
        <v>1878</v>
      </c>
      <c r="E608" s="13" t="n">
        <v>0</v>
      </c>
      <c r="F608" s="13" t="n">
        <v>0</v>
      </c>
      <c r="G608" s="13" t="n">
        <v>0</v>
      </c>
      <c r="H608" s="13" t="n">
        <v>0</v>
      </c>
      <c r="I608" s="13" t="n">
        <v>0</v>
      </c>
      <c r="J608" s="13" t="n">
        <v>0</v>
      </c>
      <c r="K608" s="13" t="n">
        <v>0</v>
      </c>
      <c r="L608" s="13" t="n">
        <v>0</v>
      </c>
      <c r="M608" s="13" t="n">
        <v>0</v>
      </c>
      <c r="N608" s="13" t="n">
        <v>0</v>
      </c>
      <c r="O608" s="13" t="n">
        <v>0</v>
      </c>
      <c r="P608" s="13" t="n">
        <v>0</v>
      </c>
      <c r="Q608" s="13" t="n">
        <v>0</v>
      </c>
      <c r="R608" s="13" t="n">
        <v>0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0</v>
      </c>
      <c r="X608" s="13" t="n">
        <v>0</v>
      </c>
      <c r="Y608" s="13" t="n">
        <v>0</v>
      </c>
      <c r="Z608" s="13" t="n">
        <v>0</v>
      </c>
      <c r="AA608" s="13" t="n">
        <v>0</v>
      </c>
      <c r="AB608" s="13" t="n">
        <v>0</v>
      </c>
      <c r="AC608" s="13" t="n">
        <v>0</v>
      </c>
      <c r="AD608" s="13" t="n">
        <v>0</v>
      </c>
      <c r="AE608" s="13" t="n">
        <v>0</v>
      </c>
      <c r="AF608" s="13" t="n">
        <v>0</v>
      </c>
      <c r="AG608" s="13" t="n">
        <v>0</v>
      </c>
      <c r="AH608" s="13" t="n">
        <v>0</v>
      </c>
      <c r="AI608" s="13" t="n">
        <v>0</v>
      </c>
      <c r="AJ608" s="13" t="n">
        <v>0</v>
      </c>
      <c r="AK608" s="13" t="n">
        <v>0</v>
      </c>
      <c r="AL608" s="13" t="n">
        <v>0</v>
      </c>
      <c r="AM608" s="13" t="n">
        <v>0</v>
      </c>
      <c r="AN608" s="13" t="n">
        <v>0</v>
      </c>
      <c r="AO608" s="13" t="n">
        <v>0</v>
      </c>
      <c r="AP608" s="13" t="n">
        <v>0</v>
      </c>
      <c r="AQ608" s="13" t="n">
        <v>0</v>
      </c>
      <c r="AR608" s="13" t="n">
        <v>0</v>
      </c>
      <c r="AS608" s="13" t="n">
        <v>0</v>
      </c>
      <c r="AT608" s="13" t="n">
        <v>0</v>
      </c>
    </row>
    <row r="609" customFormat="false" ht="15" hidden="false" customHeight="true" outlineLevel="0" collapsed="false">
      <c r="A609" s="12" t="s">
        <v>1879</v>
      </c>
      <c r="B609" s="12" t="s">
        <v>1880</v>
      </c>
      <c r="C609" s="12" t="n">
        <v>1</v>
      </c>
      <c r="D609" s="12" t="s">
        <v>1881</v>
      </c>
      <c r="E609" s="13" t="n">
        <v>0</v>
      </c>
      <c r="F609" s="13" t="n">
        <v>0</v>
      </c>
      <c r="G609" s="13" t="n">
        <v>0</v>
      </c>
      <c r="H609" s="13" t="n">
        <v>0</v>
      </c>
      <c r="I609" s="13" t="n">
        <v>0</v>
      </c>
      <c r="J609" s="13" t="n">
        <v>0</v>
      </c>
      <c r="K609" s="13" t="n">
        <v>0</v>
      </c>
      <c r="L609" s="13" t="n">
        <v>0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  <c r="V609" s="13" t="n">
        <v>0</v>
      </c>
      <c r="W609" s="13" t="n">
        <v>0</v>
      </c>
      <c r="X609" s="13" t="n">
        <v>0</v>
      </c>
      <c r="Y609" s="13" t="n">
        <v>0</v>
      </c>
      <c r="Z609" s="13" t="n">
        <v>0</v>
      </c>
      <c r="AA609" s="13" t="n">
        <v>0</v>
      </c>
      <c r="AB609" s="13" t="n">
        <v>0</v>
      </c>
      <c r="AC609" s="13" t="n">
        <v>0</v>
      </c>
      <c r="AD609" s="13" t="n">
        <v>0</v>
      </c>
      <c r="AE609" s="13" t="n">
        <v>0</v>
      </c>
      <c r="AF609" s="13" t="n">
        <v>0</v>
      </c>
      <c r="AG609" s="13" t="n">
        <v>0</v>
      </c>
      <c r="AH609" s="13" t="n">
        <v>0</v>
      </c>
      <c r="AI609" s="13" t="n">
        <v>0</v>
      </c>
      <c r="AJ609" s="13" t="n">
        <v>0</v>
      </c>
      <c r="AK609" s="13" t="n">
        <v>0</v>
      </c>
      <c r="AL609" s="13" t="n">
        <v>0</v>
      </c>
      <c r="AM609" s="13" t="n">
        <v>0</v>
      </c>
      <c r="AN609" s="13" t="n">
        <v>0</v>
      </c>
      <c r="AO609" s="13" t="n">
        <v>0</v>
      </c>
      <c r="AP609" s="13" t="n">
        <v>1199.98224</v>
      </c>
      <c r="AQ609" s="13" t="n">
        <v>1199.970771</v>
      </c>
      <c r="AR609" s="13" t="n">
        <v>1199.91384</v>
      </c>
      <c r="AS609" s="13" t="n">
        <v>1200.081501</v>
      </c>
      <c r="AT609" s="13" t="n">
        <v>1200.084712</v>
      </c>
    </row>
    <row r="610" customFormat="false" ht="15" hidden="false" customHeight="true" outlineLevel="0" collapsed="false">
      <c r="A610" s="12" t="s">
        <v>1882</v>
      </c>
      <c r="B610" s="12" t="s">
        <v>1883</v>
      </c>
      <c r="C610" s="12" t="n">
        <v>1</v>
      </c>
      <c r="D610" s="12" t="s">
        <v>1884</v>
      </c>
      <c r="E610" s="13" t="n">
        <v>0</v>
      </c>
      <c r="F610" s="13" t="n">
        <v>0</v>
      </c>
      <c r="G610" s="13" t="n">
        <v>0</v>
      </c>
      <c r="H610" s="13" t="n">
        <v>0</v>
      </c>
      <c r="I610" s="13" t="n">
        <v>0</v>
      </c>
      <c r="J610" s="13" t="n">
        <v>0</v>
      </c>
      <c r="K610" s="13" t="n">
        <v>0</v>
      </c>
      <c r="L610" s="13" t="n">
        <v>0</v>
      </c>
      <c r="M610" s="13" t="n">
        <v>0</v>
      </c>
      <c r="N610" s="13" t="n">
        <v>0</v>
      </c>
      <c r="O610" s="13" t="n">
        <v>0</v>
      </c>
      <c r="P610" s="13" t="n">
        <v>0</v>
      </c>
      <c r="Q610" s="13" t="n">
        <v>0</v>
      </c>
      <c r="R610" s="13" t="n">
        <v>0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0</v>
      </c>
      <c r="X610" s="13" t="n">
        <v>0</v>
      </c>
      <c r="Y610" s="13" t="n">
        <v>1144.034814</v>
      </c>
      <c r="Z610" s="13" t="n">
        <v>935.966416</v>
      </c>
      <c r="AA610" s="13" t="n">
        <v>935.95674</v>
      </c>
      <c r="AB610" s="13" t="n">
        <v>936.089604</v>
      </c>
      <c r="AC610" s="13" t="n">
        <v>1300.5652</v>
      </c>
      <c r="AD610" s="13" t="n">
        <v>1192.1771</v>
      </c>
      <c r="AE610" s="13" t="n">
        <v>1192.26492</v>
      </c>
      <c r="AF610" s="13" t="n">
        <v>1192.2262</v>
      </c>
      <c r="AG610" s="13" t="n">
        <v>1408.94698</v>
      </c>
      <c r="AH610" s="13" t="n">
        <v>1300.60995</v>
      </c>
      <c r="AI610" s="13" t="n">
        <v>1300.56443</v>
      </c>
      <c r="AJ610" s="13" t="n">
        <v>1300.62942</v>
      </c>
      <c r="AK610" s="13" t="n">
        <v>1300.47705</v>
      </c>
      <c r="AL610" s="13" t="n">
        <v>0</v>
      </c>
      <c r="AM610" s="13" t="n">
        <v>0</v>
      </c>
      <c r="AN610" s="13" t="n">
        <v>0</v>
      </c>
      <c r="AO610" s="13" t="n">
        <v>0</v>
      </c>
      <c r="AP610" s="13" t="n">
        <v>0</v>
      </c>
      <c r="AQ610" s="13" t="n">
        <v>0</v>
      </c>
      <c r="AR610" s="13" t="n">
        <v>0</v>
      </c>
      <c r="AS610" s="13" t="n">
        <v>0</v>
      </c>
      <c r="AT610" s="13" t="n">
        <v>0</v>
      </c>
    </row>
    <row r="611" customFormat="false" ht="15" hidden="false" customHeight="true" outlineLevel="0" collapsed="false">
      <c r="A611" s="12" t="s">
        <v>1885</v>
      </c>
      <c r="B611" s="12" t="s">
        <v>1886</v>
      </c>
      <c r="C611" s="12" t="n">
        <v>1</v>
      </c>
      <c r="D611" s="12" t="s">
        <v>1887</v>
      </c>
      <c r="E611" s="13" t="n">
        <v>7074.87804</v>
      </c>
      <c r="F611" s="13" t="n">
        <v>7156.219062</v>
      </c>
      <c r="G611" s="13" t="n">
        <v>7318.856305</v>
      </c>
      <c r="H611" s="13" t="n">
        <v>7400.196288</v>
      </c>
      <c r="I611" s="13" t="n">
        <v>7400.052667</v>
      </c>
      <c r="J611" s="13" t="n">
        <v>7562.78365</v>
      </c>
      <c r="K611" s="13" t="n">
        <v>7562.682228</v>
      </c>
      <c r="L611" s="13" t="n">
        <v>7644.092267</v>
      </c>
      <c r="M611" s="13" t="n">
        <v>7562.82609</v>
      </c>
      <c r="N611" s="13" t="n">
        <v>7644.124824</v>
      </c>
      <c r="O611" s="13" t="n">
        <v>7400.085316</v>
      </c>
      <c r="P611" s="13" t="n">
        <v>7237.479557</v>
      </c>
      <c r="Q611" s="13" t="n">
        <v>7074.781758</v>
      </c>
      <c r="R611" s="13" t="n">
        <v>7481.491338</v>
      </c>
      <c r="S611" s="13" t="n">
        <v>8131.97142</v>
      </c>
      <c r="T611" s="13" t="n">
        <v>8294.60352</v>
      </c>
      <c r="U611" s="13" t="n">
        <v>8457.30364</v>
      </c>
      <c r="V611" s="13" t="n">
        <v>8619.849732</v>
      </c>
      <c r="W611" s="13" t="n">
        <v>8538.557152</v>
      </c>
      <c r="X611" s="13" t="n">
        <v>8050.700502</v>
      </c>
      <c r="Y611" s="13" t="n">
        <v>8132.077444</v>
      </c>
      <c r="Z611" s="13" t="n">
        <v>8457.375696</v>
      </c>
      <c r="AA611" s="13" t="n">
        <v>8457.28551</v>
      </c>
      <c r="AB611" s="13" t="n">
        <v>8701.222</v>
      </c>
      <c r="AC611" s="13" t="n">
        <v>9151.934</v>
      </c>
      <c r="AD611" s="13" t="n">
        <v>9406.2301</v>
      </c>
      <c r="AE611" s="13" t="n">
        <v>9406.05372</v>
      </c>
      <c r="AF611" s="13" t="n">
        <v>9151.8878</v>
      </c>
      <c r="AG611" s="13" t="n">
        <v>9236.60174</v>
      </c>
      <c r="AH611" s="13" t="n">
        <v>9321.44715</v>
      </c>
      <c r="AI611" s="13" t="n">
        <v>9321.4323</v>
      </c>
      <c r="AJ611" s="13" t="n">
        <v>9829.83582</v>
      </c>
      <c r="AK611" s="13" t="n">
        <v>9745.04745</v>
      </c>
      <c r="AL611" s="13" t="n">
        <v>9914.647411</v>
      </c>
      <c r="AM611" s="13" t="n">
        <v>9999.299696</v>
      </c>
      <c r="AN611" s="13" t="n">
        <v>10338.239504</v>
      </c>
      <c r="AO611" s="13" t="n">
        <v>10544.451124</v>
      </c>
      <c r="AP611" s="13" t="n">
        <v>11423.12688</v>
      </c>
      <c r="AQ611" s="13" t="n">
        <v>11774.633971</v>
      </c>
      <c r="AR611" s="13" t="n">
        <v>12126.146824</v>
      </c>
      <c r="AS611" s="13" t="n">
        <v>12038.203962</v>
      </c>
      <c r="AT611" s="13" t="n">
        <v>12125.98356</v>
      </c>
    </row>
    <row r="612" customFormat="false" ht="15" hidden="false" customHeight="true" outlineLevel="0" collapsed="false">
      <c r="A612" s="12" t="s">
        <v>1888</v>
      </c>
      <c r="B612" s="12" t="s">
        <v>1889</v>
      </c>
      <c r="C612" s="12" t="n">
        <v>1</v>
      </c>
      <c r="D612" s="12" t="s">
        <v>1890</v>
      </c>
      <c r="E612" s="13" t="n">
        <v>1348.114536</v>
      </c>
      <c r="F612" s="13" t="n">
        <v>1283.949402</v>
      </c>
      <c r="G612" s="13" t="n">
        <v>1284.035282</v>
      </c>
      <c r="H612" s="13" t="n">
        <v>1283.994666</v>
      </c>
      <c r="I612" s="13" t="n">
        <v>1284.037895</v>
      </c>
      <c r="J612" s="13" t="n">
        <v>1155.544075</v>
      </c>
      <c r="K612" s="13" t="n">
        <v>1284.005496</v>
      </c>
      <c r="L612" s="13" t="n">
        <v>1283.923487</v>
      </c>
      <c r="M612" s="13" t="n">
        <v>1219.7538</v>
      </c>
      <c r="N612" s="13" t="n">
        <v>1219.757178</v>
      </c>
      <c r="O612" s="13" t="n">
        <v>1219.868031</v>
      </c>
      <c r="P612" s="13" t="n">
        <v>1219.80943</v>
      </c>
      <c r="Q612" s="13" t="n">
        <v>1283.920254</v>
      </c>
      <c r="R612" s="13" t="n">
        <v>1283.952873</v>
      </c>
      <c r="S612" s="13" t="n">
        <v>1284.039015</v>
      </c>
      <c r="T612" s="13" t="n">
        <v>1540.84224</v>
      </c>
      <c r="U612" s="13" t="n">
        <v>1540.728111</v>
      </c>
      <c r="V612" s="13" t="n">
        <v>1540.765668</v>
      </c>
      <c r="W612" s="13" t="n">
        <v>1605.03424</v>
      </c>
      <c r="X612" s="13" t="n">
        <v>1540.77546</v>
      </c>
      <c r="Y612" s="13" t="n">
        <v>1540.735924</v>
      </c>
      <c r="Z612" s="13" t="n">
        <v>1476.617824</v>
      </c>
      <c r="AA612" s="13" t="n">
        <v>1476.59115</v>
      </c>
      <c r="AB612" s="13" t="n">
        <v>1476.577138</v>
      </c>
      <c r="AC612" s="13" t="n">
        <v>1873.1944</v>
      </c>
      <c r="AD612" s="13" t="n">
        <v>2140.8684</v>
      </c>
      <c r="AE612" s="13" t="n">
        <v>1873.20924</v>
      </c>
      <c r="AF612" s="13" t="n">
        <v>1806.255</v>
      </c>
      <c r="AG612" s="13" t="n">
        <v>2006.992</v>
      </c>
      <c r="AH612" s="13" t="n">
        <v>2006.90895</v>
      </c>
      <c r="AI612" s="13" t="n">
        <v>1873.12105</v>
      </c>
      <c r="AJ612" s="13" t="n">
        <v>1806.30549</v>
      </c>
      <c r="AK612" s="13" t="n">
        <v>1940.1672</v>
      </c>
      <c r="AL612" s="13" t="n">
        <v>1873.12077</v>
      </c>
      <c r="AM612" s="13" t="n">
        <v>2073.893498</v>
      </c>
      <c r="AN612" s="13" t="n">
        <v>2140.732032</v>
      </c>
      <c r="AO612" s="13" t="n">
        <v>2081.064542</v>
      </c>
      <c r="AP612" s="13" t="n">
        <v>2358.55008</v>
      </c>
      <c r="AQ612" s="13" t="n">
        <v>2081.071989</v>
      </c>
      <c r="AR612" s="13" t="n">
        <v>2150.547334</v>
      </c>
      <c r="AS612" s="13" t="n">
        <v>2150.384031</v>
      </c>
      <c r="AT612" s="13" t="n">
        <v>2150.421592</v>
      </c>
    </row>
    <row r="613" customFormat="false" ht="15" hidden="false" customHeight="true" outlineLevel="0" collapsed="false">
      <c r="A613" s="12" t="s">
        <v>1891</v>
      </c>
      <c r="B613" s="12" t="s">
        <v>1892</v>
      </c>
      <c r="C613" s="12" t="n">
        <v>1</v>
      </c>
      <c r="D613" s="12" t="s">
        <v>1893</v>
      </c>
      <c r="E613" s="13" t="n">
        <v>0</v>
      </c>
      <c r="F613" s="13" t="n">
        <v>0</v>
      </c>
      <c r="G613" s="13" t="n">
        <v>0</v>
      </c>
      <c r="H613" s="13" t="n">
        <v>0</v>
      </c>
      <c r="I613" s="13" t="n">
        <v>0</v>
      </c>
      <c r="J613" s="13" t="n">
        <v>0</v>
      </c>
      <c r="K613" s="13" t="n">
        <v>0</v>
      </c>
      <c r="L613" s="13" t="n">
        <v>0</v>
      </c>
      <c r="M613" s="13" t="n">
        <v>0</v>
      </c>
      <c r="N613" s="13" t="n">
        <v>0</v>
      </c>
      <c r="O613" s="13" t="n">
        <v>0</v>
      </c>
      <c r="P613" s="13" t="n">
        <v>0</v>
      </c>
      <c r="Q613" s="13" t="n">
        <v>0</v>
      </c>
      <c r="R613" s="13" t="n">
        <v>816.081882</v>
      </c>
      <c r="S613" s="13" t="n">
        <v>2107.92132</v>
      </c>
      <c r="T613" s="13" t="n">
        <v>2193.03168</v>
      </c>
      <c r="U613" s="13" t="n">
        <v>2260.989255</v>
      </c>
      <c r="V613" s="13" t="n">
        <v>0</v>
      </c>
      <c r="W613" s="13" t="n">
        <v>0</v>
      </c>
      <c r="X613" s="13" t="n">
        <v>0</v>
      </c>
      <c r="Y613" s="13" t="n">
        <v>0</v>
      </c>
      <c r="Z613" s="13" t="n">
        <v>0</v>
      </c>
      <c r="AA613" s="13" t="n">
        <v>0</v>
      </c>
      <c r="AB613" s="13" t="n">
        <v>0</v>
      </c>
      <c r="AC613" s="13" t="n">
        <v>0</v>
      </c>
      <c r="AD613" s="13" t="n">
        <v>0</v>
      </c>
      <c r="AE613" s="13" t="n">
        <v>0</v>
      </c>
      <c r="AF613" s="13" t="n">
        <v>0</v>
      </c>
      <c r="AG613" s="13" t="n">
        <v>0</v>
      </c>
      <c r="AH613" s="13" t="n">
        <v>0</v>
      </c>
      <c r="AI613" s="13" t="n">
        <v>0</v>
      </c>
      <c r="AJ613" s="13" t="n">
        <v>0</v>
      </c>
      <c r="AK613" s="13" t="n">
        <v>0</v>
      </c>
      <c r="AL613" s="13" t="n">
        <v>0</v>
      </c>
      <c r="AM613" s="13" t="n">
        <v>0</v>
      </c>
      <c r="AN613" s="13" t="n">
        <v>0</v>
      </c>
      <c r="AO613" s="13" t="n">
        <v>0</v>
      </c>
      <c r="AP613" s="13" t="n">
        <v>0</v>
      </c>
      <c r="AQ613" s="13" t="n">
        <v>0</v>
      </c>
      <c r="AR613" s="13" t="n">
        <v>0</v>
      </c>
      <c r="AS613" s="13" t="n">
        <v>0</v>
      </c>
      <c r="AT613" s="13" t="n">
        <v>0</v>
      </c>
    </row>
    <row r="614" customFormat="false" ht="15" hidden="false" customHeight="true" outlineLevel="0" collapsed="false">
      <c r="A614" s="12" t="s">
        <v>1894</v>
      </c>
      <c r="B614" s="12" t="s">
        <v>1895</v>
      </c>
      <c r="C614" s="12" t="n">
        <v>1</v>
      </c>
      <c r="D614" s="12" t="s">
        <v>1896</v>
      </c>
      <c r="E614" s="13" t="n">
        <v>0</v>
      </c>
      <c r="F614" s="13" t="n">
        <v>0</v>
      </c>
      <c r="G614" s="13" t="n">
        <v>0</v>
      </c>
      <c r="H614" s="13" t="n">
        <v>0</v>
      </c>
      <c r="I614" s="13" t="n">
        <v>0</v>
      </c>
      <c r="J614" s="13" t="n">
        <v>0</v>
      </c>
      <c r="K614" s="13" t="n">
        <v>0</v>
      </c>
      <c r="L614" s="13" t="n">
        <v>0</v>
      </c>
      <c r="M614" s="13" t="n">
        <v>0</v>
      </c>
      <c r="N614" s="13" t="n">
        <v>0</v>
      </c>
      <c r="O614" s="13" t="n">
        <v>0</v>
      </c>
      <c r="P614" s="13" t="n">
        <v>0</v>
      </c>
      <c r="Q614" s="13" t="n">
        <v>0</v>
      </c>
      <c r="R614" s="13" t="n">
        <v>0</v>
      </c>
      <c r="S614" s="13" t="n">
        <v>0</v>
      </c>
      <c r="T614" s="13" t="n">
        <v>0</v>
      </c>
      <c r="U614" s="13" t="n">
        <v>0</v>
      </c>
      <c r="V614" s="13" t="n">
        <v>0</v>
      </c>
      <c r="W614" s="13" t="n">
        <v>0</v>
      </c>
      <c r="X614" s="13" t="n">
        <v>0</v>
      </c>
      <c r="Y614" s="13" t="n">
        <v>0</v>
      </c>
      <c r="Z614" s="13" t="n">
        <v>0</v>
      </c>
      <c r="AA614" s="13" t="n">
        <v>0</v>
      </c>
      <c r="AB614" s="13" t="n">
        <v>0</v>
      </c>
      <c r="AC614" s="13" t="n">
        <v>0</v>
      </c>
      <c r="AD614" s="13" t="n">
        <v>0</v>
      </c>
      <c r="AE614" s="13" t="n">
        <v>0</v>
      </c>
      <c r="AF614" s="13" t="n">
        <v>0</v>
      </c>
      <c r="AG614" s="13" t="n">
        <v>0</v>
      </c>
      <c r="AH614" s="13" t="n">
        <v>0</v>
      </c>
      <c r="AI614" s="13" t="n">
        <v>0</v>
      </c>
      <c r="AJ614" s="13" t="n">
        <v>0</v>
      </c>
      <c r="AK614" s="13" t="n">
        <v>0</v>
      </c>
      <c r="AL614" s="13" t="n">
        <v>72.935676</v>
      </c>
      <c r="AM614" s="13" t="n">
        <v>145.829235</v>
      </c>
      <c r="AN614" s="13" t="n">
        <v>182.350662</v>
      </c>
      <c r="AO614" s="13" t="n">
        <v>189.124994</v>
      </c>
      <c r="AP614" s="13" t="n">
        <v>189.12576</v>
      </c>
      <c r="AQ614" s="13" t="n">
        <v>189.040212</v>
      </c>
      <c r="AR614" s="13" t="n">
        <v>189.109228</v>
      </c>
      <c r="AS614" s="13" t="n">
        <v>264.665313</v>
      </c>
      <c r="AT614" s="13" t="n">
        <v>151.213824</v>
      </c>
    </row>
    <row r="615" customFormat="false" ht="15" hidden="false" customHeight="true" outlineLevel="0" collapsed="false">
      <c r="A615" s="12" t="s">
        <v>1897</v>
      </c>
      <c r="B615" s="12" t="s">
        <v>1898</v>
      </c>
      <c r="C615" s="12" t="n">
        <v>1</v>
      </c>
      <c r="D615" s="12" t="s">
        <v>1899</v>
      </c>
      <c r="E615" s="13" t="n">
        <v>6997.87512</v>
      </c>
      <c r="F615" s="13" t="n">
        <v>6676.831332</v>
      </c>
      <c r="G615" s="13" t="n">
        <v>6227.408215</v>
      </c>
      <c r="H615" s="13" t="n">
        <v>5970.629313</v>
      </c>
      <c r="I615" s="13" t="n">
        <v>0</v>
      </c>
      <c r="J615" s="13" t="n">
        <v>0</v>
      </c>
      <c r="K615" s="13" t="n">
        <v>0</v>
      </c>
      <c r="L615" s="13" t="n">
        <v>0</v>
      </c>
      <c r="M615" s="13" t="n">
        <v>0</v>
      </c>
      <c r="N615" s="13" t="n">
        <v>0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  <c r="V615" s="13" t="n">
        <v>0</v>
      </c>
      <c r="W615" s="13" t="n">
        <v>0</v>
      </c>
      <c r="X615" s="13" t="n">
        <v>0</v>
      </c>
      <c r="Y615" s="13" t="n">
        <v>0</v>
      </c>
      <c r="Z615" s="13" t="n">
        <v>0</v>
      </c>
      <c r="AA615" s="13" t="n">
        <v>0</v>
      </c>
      <c r="AB615" s="13" t="n">
        <v>0</v>
      </c>
      <c r="AC615" s="13" t="n">
        <v>0</v>
      </c>
      <c r="AD615" s="13" t="n">
        <v>0</v>
      </c>
      <c r="AE615" s="13" t="n">
        <v>0</v>
      </c>
      <c r="AF615" s="13" t="n">
        <v>0</v>
      </c>
      <c r="AG615" s="13" t="n">
        <v>0</v>
      </c>
      <c r="AH615" s="13" t="n">
        <v>0</v>
      </c>
      <c r="AI615" s="13" t="n">
        <v>0</v>
      </c>
      <c r="AJ615" s="13" t="n">
        <v>0</v>
      </c>
      <c r="AK615" s="13" t="n">
        <v>0</v>
      </c>
      <c r="AL615" s="13" t="n">
        <v>0</v>
      </c>
      <c r="AM615" s="13" t="n">
        <v>0</v>
      </c>
      <c r="AN615" s="13" t="n">
        <v>0</v>
      </c>
      <c r="AO615" s="13" t="n">
        <v>0</v>
      </c>
      <c r="AP615" s="13" t="n">
        <v>0</v>
      </c>
      <c r="AQ615" s="13" t="n">
        <v>0</v>
      </c>
      <c r="AR615" s="13" t="n">
        <v>0</v>
      </c>
      <c r="AS615" s="13" t="n">
        <v>0</v>
      </c>
      <c r="AT615" s="13" t="n">
        <v>0</v>
      </c>
    </row>
    <row r="616" customFormat="false" ht="15" hidden="false" customHeight="true" outlineLevel="0" collapsed="false">
      <c r="A616" s="12" t="s">
        <v>1900</v>
      </c>
      <c r="B616" s="12" t="s">
        <v>1901</v>
      </c>
      <c r="C616" s="12" t="n">
        <v>1</v>
      </c>
      <c r="D616" s="12" t="s">
        <v>1902</v>
      </c>
      <c r="E616" s="13" t="n">
        <v>0</v>
      </c>
      <c r="F616" s="13" t="n">
        <v>0</v>
      </c>
      <c r="G616" s="13" t="n">
        <v>0</v>
      </c>
      <c r="H616" s="13" t="n">
        <v>0</v>
      </c>
      <c r="I616" s="13" t="n">
        <v>0</v>
      </c>
      <c r="J616" s="13" t="n">
        <v>0</v>
      </c>
      <c r="K616" s="13" t="n">
        <v>0</v>
      </c>
      <c r="L616" s="13" t="n">
        <v>0</v>
      </c>
      <c r="M616" s="13" t="n">
        <v>0</v>
      </c>
      <c r="N616" s="13" t="n">
        <v>0</v>
      </c>
      <c r="O616" s="13" t="n">
        <v>0</v>
      </c>
      <c r="P616" s="13" t="n">
        <v>749.988239</v>
      </c>
      <c r="Q616" s="13" t="n">
        <v>749.955024</v>
      </c>
      <c r="R616" s="13" t="n">
        <v>749.926941</v>
      </c>
      <c r="S616" s="13" t="n">
        <v>749.94627</v>
      </c>
      <c r="T616" s="13" t="n">
        <v>750.07744</v>
      </c>
      <c r="U616" s="13" t="n">
        <v>749.932919</v>
      </c>
      <c r="V616" s="13" t="n">
        <v>750.024756</v>
      </c>
      <c r="W616" s="13" t="n">
        <v>750.016</v>
      </c>
      <c r="X616" s="13" t="n">
        <v>749.963036</v>
      </c>
      <c r="Y616" s="13" t="n">
        <v>750.08994</v>
      </c>
      <c r="Z616" s="13" t="n">
        <v>749.935824</v>
      </c>
      <c r="AA616" s="13" t="n">
        <v>750.03075</v>
      </c>
      <c r="AB616" s="13" t="n">
        <v>749.923924</v>
      </c>
      <c r="AC616" s="13" t="n">
        <v>781.4972</v>
      </c>
      <c r="AD616" s="13" t="n">
        <v>781.5771</v>
      </c>
      <c r="AE616" s="13" t="n">
        <v>781.57548</v>
      </c>
      <c r="AF616" s="13" t="n">
        <v>781.6336</v>
      </c>
      <c r="AG616" s="13" t="n">
        <v>781.569</v>
      </c>
      <c r="AH616" s="13" t="n">
        <v>781.65015</v>
      </c>
      <c r="AI616" s="13" t="n">
        <v>781.57926</v>
      </c>
      <c r="AJ616" s="13" t="n">
        <v>901.56843</v>
      </c>
      <c r="AK616" s="13" t="n">
        <v>781.497</v>
      </c>
      <c r="AL616" s="13" t="n">
        <v>781.664164</v>
      </c>
      <c r="AM616" s="13" t="n">
        <v>781.608013</v>
      </c>
      <c r="AN616" s="13" t="n">
        <v>781.554218</v>
      </c>
      <c r="AO616" s="13" t="n">
        <v>810.461802</v>
      </c>
      <c r="AP616" s="13" t="n">
        <v>810.34176</v>
      </c>
      <c r="AQ616" s="13" t="n">
        <v>810.482748</v>
      </c>
      <c r="AR616" s="13" t="n">
        <v>810.46812</v>
      </c>
      <c r="AS616" s="13" t="n">
        <v>810.440154</v>
      </c>
      <c r="AT616" s="13" t="n">
        <v>810.499096</v>
      </c>
    </row>
    <row r="617" customFormat="false" ht="15" hidden="false" customHeight="true" outlineLevel="0" collapsed="false">
      <c r="A617" s="12" t="s">
        <v>1903</v>
      </c>
      <c r="B617" s="12" t="s">
        <v>1904</v>
      </c>
      <c r="C617" s="12" t="n">
        <v>1</v>
      </c>
      <c r="D617" s="12" t="s">
        <v>1905</v>
      </c>
      <c r="E617" s="13" t="n">
        <v>0</v>
      </c>
      <c r="F617" s="13" t="n">
        <v>0</v>
      </c>
      <c r="G617" s="13" t="n">
        <v>270.056476</v>
      </c>
      <c r="H617" s="13" t="n">
        <v>494.981928</v>
      </c>
      <c r="I617" s="13" t="n">
        <v>0</v>
      </c>
      <c r="J617" s="13" t="n">
        <v>0</v>
      </c>
      <c r="K617" s="13" t="n">
        <v>0</v>
      </c>
      <c r="L617" s="13" t="n">
        <v>0</v>
      </c>
      <c r="M617" s="13" t="n">
        <v>0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  <c r="V617" s="13" t="n">
        <v>0</v>
      </c>
      <c r="W617" s="13" t="n">
        <v>0</v>
      </c>
      <c r="X617" s="13" t="n">
        <v>0</v>
      </c>
      <c r="Y617" s="13" t="n">
        <v>0</v>
      </c>
      <c r="Z617" s="13" t="n">
        <v>0</v>
      </c>
      <c r="AA617" s="13" t="n">
        <v>0</v>
      </c>
      <c r="AB617" s="13" t="n">
        <v>0</v>
      </c>
      <c r="AC617" s="13" t="n">
        <v>0</v>
      </c>
      <c r="AD617" s="13" t="n">
        <v>0</v>
      </c>
      <c r="AE617" s="13" t="n">
        <v>0</v>
      </c>
      <c r="AF617" s="13" t="n">
        <v>0</v>
      </c>
      <c r="AG617" s="13" t="n">
        <v>0</v>
      </c>
      <c r="AH617" s="13" t="n">
        <v>0</v>
      </c>
      <c r="AI617" s="13" t="n">
        <v>0</v>
      </c>
      <c r="AJ617" s="13" t="n">
        <v>0</v>
      </c>
      <c r="AK617" s="13" t="n">
        <v>0</v>
      </c>
      <c r="AL617" s="13" t="n">
        <v>0</v>
      </c>
      <c r="AM617" s="13" t="n">
        <v>0</v>
      </c>
      <c r="AN617" s="13" t="n">
        <v>0</v>
      </c>
      <c r="AO617" s="13" t="n">
        <v>0</v>
      </c>
      <c r="AP617" s="13" t="n">
        <v>0</v>
      </c>
      <c r="AQ617" s="13" t="n">
        <v>0</v>
      </c>
      <c r="AR617" s="13" t="n">
        <v>0</v>
      </c>
      <c r="AS617" s="13" t="n">
        <v>0</v>
      </c>
      <c r="AT617" s="13" t="n">
        <v>0</v>
      </c>
    </row>
    <row r="618" customFormat="false" ht="15" hidden="false" customHeight="true" outlineLevel="0" collapsed="false">
      <c r="A618" s="12" t="s">
        <v>1906</v>
      </c>
      <c r="B618" s="12" t="s">
        <v>1907</v>
      </c>
      <c r="C618" s="12" t="n">
        <v>1</v>
      </c>
      <c r="D618" s="12" t="s">
        <v>1908</v>
      </c>
      <c r="E618" s="13" t="n">
        <v>0</v>
      </c>
      <c r="F618" s="13" t="n">
        <v>0</v>
      </c>
      <c r="G618" s="13" t="n">
        <v>0</v>
      </c>
      <c r="H618" s="13" t="n">
        <v>0</v>
      </c>
      <c r="I618" s="13" t="n">
        <v>0</v>
      </c>
      <c r="J618" s="13" t="n">
        <v>0</v>
      </c>
      <c r="K618" s="13" t="n">
        <v>0</v>
      </c>
      <c r="L618" s="13" t="n">
        <v>0</v>
      </c>
      <c r="M618" s="13" t="n">
        <v>0</v>
      </c>
      <c r="N618" s="13" t="n">
        <v>0</v>
      </c>
      <c r="O618" s="13" t="n">
        <v>0</v>
      </c>
      <c r="P618" s="13" t="n">
        <v>0</v>
      </c>
      <c r="Q618" s="13" t="n">
        <v>0</v>
      </c>
      <c r="R618" s="13" t="n">
        <v>0</v>
      </c>
      <c r="S618" s="13" t="n">
        <v>0</v>
      </c>
      <c r="T618" s="13" t="n">
        <v>0</v>
      </c>
      <c r="U618" s="13" t="n">
        <v>0</v>
      </c>
      <c r="V618" s="13" t="n">
        <v>0</v>
      </c>
      <c r="W618" s="13" t="n">
        <v>0</v>
      </c>
      <c r="X618" s="13" t="n">
        <v>0</v>
      </c>
      <c r="Y618" s="13" t="n">
        <v>0</v>
      </c>
      <c r="Z618" s="13" t="n">
        <v>0</v>
      </c>
      <c r="AA618" s="13" t="n">
        <v>0</v>
      </c>
      <c r="AB618" s="13" t="n">
        <v>0</v>
      </c>
      <c r="AC618" s="13" t="n">
        <v>0</v>
      </c>
      <c r="AD618" s="13" t="n">
        <v>0</v>
      </c>
      <c r="AE618" s="13" t="n">
        <v>0</v>
      </c>
      <c r="AF618" s="13" t="n">
        <v>0</v>
      </c>
      <c r="AG618" s="13" t="n">
        <v>0</v>
      </c>
      <c r="AH618" s="13" t="n">
        <v>0</v>
      </c>
      <c r="AI618" s="13" t="n">
        <v>0</v>
      </c>
      <c r="AJ618" s="13" t="n">
        <v>0</v>
      </c>
      <c r="AK618" s="13" t="n">
        <v>0</v>
      </c>
      <c r="AL618" s="13" t="n">
        <v>0</v>
      </c>
      <c r="AM618" s="13" t="n">
        <v>0</v>
      </c>
      <c r="AN618" s="13" t="n">
        <v>660.526609</v>
      </c>
      <c r="AO618" s="13" t="n">
        <v>733.915314</v>
      </c>
      <c r="AP618" s="13" t="n">
        <v>0</v>
      </c>
      <c r="AQ618" s="13" t="n">
        <v>0</v>
      </c>
      <c r="AR618" s="13" t="n">
        <v>0</v>
      </c>
      <c r="AS618" s="13" t="n">
        <v>0</v>
      </c>
      <c r="AT618" s="13" t="n">
        <v>0</v>
      </c>
    </row>
    <row r="619" customFormat="false" ht="15" hidden="false" customHeight="true" outlineLevel="0" collapsed="false">
      <c r="A619" s="12" t="s">
        <v>1909</v>
      </c>
      <c r="B619" s="12" t="s">
        <v>1910</v>
      </c>
      <c r="C619" s="12" t="n">
        <v>1</v>
      </c>
      <c r="D619" s="12" t="s">
        <v>1911</v>
      </c>
      <c r="E619" s="13" t="n">
        <v>0</v>
      </c>
      <c r="F619" s="13" t="n">
        <v>0</v>
      </c>
      <c r="G619" s="13" t="n">
        <v>0</v>
      </c>
      <c r="H619" s="13" t="n">
        <v>0</v>
      </c>
      <c r="I619" s="13" t="n">
        <v>0</v>
      </c>
      <c r="J619" s="13" t="n">
        <v>0</v>
      </c>
      <c r="K619" s="13" t="n">
        <v>0</v>
      </c>
      <c r="L619" s="13" t="n">
        <v>0</v>
      </c>
      <c r="M619" s="13" t="n">
        <v>0</v>
      </c>
      <c r="N619" s="13" t="n">
        <v>0</v>
      </c>
      <c r="O619" s="13" t="n">
        <v>0</v>
      </c>
      <c r="P619" s="13" t="n">
        <v>143.974733</v>
      </c>
      <c r="Q619" s="13" t="n">
        <v>197.962029</v>
      </c>
      <c r="R619" s="13" t="n">
        <v>323.936985</v>
      </c>
      <c r="S619" s="13" t="n">
        <v>305.99925</v>
      </c>
      <c r="T619" s="13" t="n">
        <v>305.92128</v>
      </c>
      <c r="U619" s="13" t="n">
        <v>288.070547</v>
      </c>
      <c r="V619" s="13" t="n">
        <v>331.256328</v>
      </c>
      <c r="W619" s="13" t="n">
        <v>468.009984</v>
      </c>
      <c r="X619" s="13" t="n">
        <v>467.98328</v>
      </c>
      <c r="Y619" s="13" t="n">
        <v>467.969498</v>
      </c>
      <c r="Z619" s="13" t="n">
        <v>468.08344</v>
      </c>
      <c r="AA619" s="13" t="n">
        <v>0</v>
      </c>
      <c r="AB619" s="13" t="n">
        <v>0</v>
      </c>
      <c r="AC619" s="13" t="n">
        <v>0</v>
      </c>
      <c r="AD619" s="13" t="n">
        <v>0</v>
      </c>
      <c r="AE619" s="13" t="n">
        <v>0</v>
      </c>
      <c r="AF619" s="13" t="n">
        <v>0</v>
      </c>
      <c r="AG619" s="13" t="n">
        <v>0</v>
      </c>
      <c r="AH619" s="13" t="n">
        <v>0</v>
      </c>
      <c r="AI619" s="13" t="n">
        <v>0</v>
      </c>
      <c r="AJ619" s="13" t="n">
        <v>0</v>
      </c>
      <c r="AK619" s="13" t="n">
        <v>0</v>
      </c>
      <c r="AL619" s="13" t="n">
        <v>0</v>
      </c>
      <c r="AM619" s="13" t="n">
        <v>0</v>
      </c>
      <c r="AN619" s="13" t="n">
        <v>0</v>
      </c>
      <c r="AO619" s="13" t="n">
        <v>0</v>
      </c>
      <c r="AP619" s="13" t="n">
        <v>0</v>
      </c>
      <c r="AQ619" s="13" t="n">
        <v>0</v>
      </c>
      <c r="AR619" s="13" t="n">
        <v>0</v>
      </c>
      <c r="AS619" s="13" t="n">
        <v>0</v>
      </c>
      <c r="AT619" s="13" t="n">
        <v>0</v>
      </c>
    </row>
    <row r="620" customFormat="false" ht="15" hidden="false" customHeight="true" outlineLevel="0" collapsed="false">
      <c r="A620" s="12" t="s">
        <v>1912</v>
      </c>
      <c r="B620" s="12" t="s">
        <v>1913</v>
      </c>
      <c r="C620" s="12" t="n">
        <v>1</v>
      </c>
      <c r="D620" s="12" t="s">
        <v>1914</v>
      </c>
      <c r="E620" s="13" t="n">
        <v>0</v>
      </c>
      <c r="F620" s="13" t="n">
        <v>0</v>
      </c>
      <c r="G620" s="13" t="n">
        <v>0</v>
      </c>
      <c r="H620" s="13" t="n">
        <v>0</v>
      </c>
      <c r="I620" s="13" t="n">
        <v>0</v>
      </c>
      <c r="J620" s="13" t="n">
        <v>0</v>
      </c>
      <c r="K620" s="13" t="n">
        <v>0</v>
      </c>
      <c r="L620" s="13" t="n">
        <v>0</v>
      </c>
      <c r="M620" s="13" t="n">
        <v>0</v>
      </c>
      <c r="N620" s="13" t="n">
        <v>0</v>
      </c>
      <c r="O620" s="13" t="n">
        <v>0</v>
      </c>
      <c r="P620" s="13" t="n">
        <v>0</v>
      </c>
      <c r="Q620" s="13" t="n">
        <v>0</v>
      </c>
      <c r="R620" s="13" t="n">
        <v>0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0</v>
      </c>
      <c r="X620" s="13" t="n">
        <v>0</v>
      </c>
      <c r="Y620" s="13" t="n">
        <v>0</v>
      </c>
      <c r="Z620" s="13" t="n">
        <v>0</v>
      </c>
      <c r="AA620" s="13" t="n">
        <v>0</v>
      </c>
      <c r="AB620" s="13" t="n">
        <v>0</v>
      </c>
      <c r="AC620" s="13" t="n">
        <v>0</v>
      </c>
      <c r="AD620" s="13" t="n">
        <v>0</v>
      </c>
      <c r="AE620" s="13" t="n">
        <v>0</v>
      </c>
      <c r="AF620" s="13" t="n">
        <v>0</v>
      </c>
      <c r="AG620" s="13" t="n">
        <v>0</v>
      </c>
      <c r="AH620" s="13" t="n">
        <v>0</v>
      </c>
      <c r="AI620" s="13" t="n">
        <v>0</v>
      </c>
      <c r="AJ620" s="13" t="n">
        <v>0</v>
      </c>
      <c r="AK620" s="13" t="n">
        <v>0</v>
      </c>
      <c r="AL620" s="13" t="n">
        <v>0</v>
      </c>
      <c r="AM620" s="13" t="n">
        <v>0</v>
      </c>
      <c r="AN620" s="13" t="n">
        <v>0</v>
      </c>
      <c r="AO620" s="13" t="n">
        <v>299.97948</v>
      </c>
      <c r="AP620" s="13" t="n">
        <v>300.08184</v>
      </c>
      <c r="AQ620" s="13" t="n">
        <v>300.037961</v>
      </c>
      <c r="AR620" s="13" t="n">
        <v>299.97846</v>
      </c>
      <c r="AS620" s="13" t="n">
        <v>299.977101</v>
      </c>
      <c r="AT620" s="13" t="n">
        <v>299.977424</v>
      </c>
    </row>
    <row r="621" customFormat="false" ht="15" hidden="false" customHeight="true" outlineLevel="0" collapsed="false">
      <c r="A621" s="12" t="s">
        <v>1915</v>
      </c>
      <c r="B621" s="12" t="s">
        <v>1916</v>
      </c>
      <c r="C621" s="12" t="n">
        <v>1</v>
      </c>
      <c r="D621" s="12" t="s">
        <v>1917</v>
      </c>
      <c r="E621" s="13" t="n">
        <v>0</v>
      </c>
      <c r="F621" s="13" t="n">
        <v>0</v>
      </c>
      <c r="G621" s="13" t="n">
        <v>0</v>
      </c>
      <c r="H621" s="13" t="n">
        <v>0</v>
      </c>
      <c r="I621" s="13" t="n">
        <v>0</v>
      </c>
      <c r="J621" s="13" t="n">
        <v>0</v>
      </c>
      <c r="K621" s="13" t="n">
        <v>0</v>
      </c>
      <c r="L621" s="13" t="n">
        <v>0</v>
      </c>
      <c r="M621" s="13" t="n">
        <v>0</v>
      </c>
      <c r="N621" s="13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0</v>
      </c>
      <c r="X621" s="13" t="n">
        <v>0</v>
      </c>
      <c r="Y621" s="13" t="n">
        <v>0</v>
      </c>
      <c r="Z621" s="13" t="n">
        <v>0</v>
      </c>
      <c r="AA621" s="13" t="n">
        <v>0</v>
      </c>
      <c r="AB621" s="13" t="n">
        <v>0</v>
      </c>
      <c r="AC621" s="13" t="n">
        <v>0</v>
      </c>
      <c r="AD621" s="13" t="n">
        <v>4474.7188</v>
      </c>
      <c r="AE621" s="13" t="n">
        <v>4633.11576</v>
      </c>
      <c r="AF621" s="13" t="n">
        <v>4752.066</v>
      </c>
      <c r="AG621" s="13" t="n">
        <v>3524.39374</v>
      </c>
      <c r="AH621" s="13" t="n">
        <v>3524.3187</v>
      </c>
      <c r="AI621" s="13" t="n">
        <v>3168.04638</v>
      </c>
      <c r="AJ621" s="13" t="n">
        <v>2257.1829</v>
      </c>
      <c r="AK621" s="13" t="n">
        <v>2177.9184</v>
      </c>
      <c r="AL621" s="13" t="n">
        <v>2177.940325</v>
      </c>
      <c r="AM621" s="13" t="n">
        <v>2178.083442</v>
      </c>
      <c r="AN621" s="13" t="n">
        <v>2177.957463</v>
      </c>
      <c r="AO621" s="13" t="n">
        <v>2299.325474</v>
      </c>
      <c r="AP621" s="13" t="n">
        <v>739.07448</v>
      </c>
      <c r="AQ621" s="13" t="n">
        <v>739.139986</v>
      </c>
      <c r="AR621" s="13" t="n">
        <v>0</v>
      </c>
      <c r="AS621" s="13" t="n">
        <v>739.12419</v>
      </c>
      <c r="AT621" s="13" t="n">
        <v>739.092568</v>
      </c>
    </row>
    <row r="622" customFormat="false" ht="15" hidden="false" customHeight="true" outlineLevel="0" collapsed="false">
      <c r="A622" s="12" t="s">
        <v>1918</v>
      </c>
      <c r="B622" s="12" t="s">
        <v>1919</v>
      </c>
      <c r="C622" s="12" t="n">
        <v>1</v>
      </c>
      <c r="D622" s="12" t="s">
        <v>1920</v>
      </c>
      <c r="E622" s="13" t="n">
        <v>2760.648588</v>
      </c>
      <c r="F622" s="13" t="n">
        <v>2696.348952</v>
      </c>
      <c r="G622" s="13" t="n">
        <v>2696.401691</v>
      </c>
      <c r="H622" s="13" t="n">
        <v>2503.77156</v>
      </c>
      <c r="I622" s="13" t="n">
        <v>2632.233499</v>
      </c>
      <c r="J622" s="13" t="n">
        <v>2503.878405</v>
      </c>
      <c r="K622" s="13" t="n">
        <v>2760.595128</v>
      </c>
      <c r="L622" s="13" t="n">
        <v>2696.457022</v>
      </c>
      <c r="M622" s="13" t="n">
        <v>2439.683865</v>
      </c>
      <c r="N622" s="13" t="n">
        <v>2824.719852</v>
      </c>
      <c r="O622" s="13" t="n">
        <v>2632.120384</v>
      </c>
      <c r="P622" s="13" t="n">
        <v>2696.438654</v>
      </c>
      <c r="Q622" s="13" t="n">
        <v>2824.864929</v>
      </c>
      <c r="R622" s="13" t="n">
        <v>2888.9367</v>
      </c>
      <c r="S622" s="13" t="n">
        <v>2824.78659</v>
      </c>
      <c r="T622" s="13" t="n">
        <v>2953.15328</v>
      </c>
      <c r="U622" s="13" t="n">
        <v>2953.274154</v>
      </c>
      <c r="V622" s="13" t="n">
        <v>2953.118844</v>
      </c>
      <c r="W622" s="13" t="n">
        <v>2824.74776</v>
      </c>
      <c r="X622" s="13" t="n">
        <v>2953.252114</v>
      </c>
      <c r="Y622" s="13" t="n">
        <v>2760.567228</v>
      </c>
      <c r="Z622" s="13" t="n">
        <v>2760.589744</v>
      </c>
      <c r="AA622" s="13" t="n">
        <v>0</v>
      </c>
      <c r="AB622" s="13" t="n">
        <v>0</v>
      </c>
      <c r="AC622" s="13" t="n">
        <v>0</v>
      </c>
      <c r="AD622" s="13" t="n">
        <v>0</v>
      </c>
      <c r="AE622" s="13" t="n">
        <v>0</v>
      </c>
      <c r="AF622" s="13" t="n">
        <v>0</v>
      </c>
      <c r="AG622" s="13" t="n">
        <v>0</v>
      </c>
      <c r="AH622" s="13" t="n">
        <v>0</v>
      </c>
      <c r="AI622" s="13" t="n">
        <v>0</v>
      </c>
      <c r="AJ622" s="13" t="n">
        <v>0</v>
      </c>
      <c r="AK622" s="13" t="n">
        <v>0</v>
      </c>
      <c r="AL622" s="13" t="n">
        <v>0</v>
      </c>
      <c r="AM622" s="13" t="n">
        <v>0</v>
      </c>
      <c r="AN622" s="13" t="n">
        <v>0</v>
      </c>
      <c r="AO622" s="13" t="n">
        <v>0</v>
      </c>
      <c r="AP622" s="13" t="n">
        <v>0</v>
      </c>
      <c r="AQ622" s="13" t="n">
        <v>0</v>
      </c>
      <c r="AR622" s="13" t="n">
        <v>0</v>
      </c>
      <c r="AS622" s="13" t="n">
        <v>0</v>
      </c>
      <c r="AT622" s="13" t="n">
        <v>0</v>
      </c>
    </row>
    <row r="623" customFormat="false" ht="15" hidden="false" customHeight="true" outlineLevel="0" collapsed="false">
      <c r="A623" s="12" t="s">
        <v>1921</v>
      </c>
      <c r="B623" s="12" t="s">
        <v>1922</v>
      </c>
      <c r="C623" s="12" t="n">
        <v>1</v>
      </c>
      <c r="D623" s="12" t="s">
        <v>1923</v>
      </c>
      <c r="E623" s="13" t="n">
        <v>0</v>
      </c>
      <c r="F623" s="13" t="n">
        <v>0</v>
      </c>
      <c r="G623" s="13" t="n">
        <v>0</v>
      </c>
      <c r="H623" s="13" t="n">
        <v>0</v>
      </c>
      <c r="I623" s="13" t="n">
        <v>0</v>
      </c>
      <c r="J623" s="13" t="n">
        <v>0</v>
      </c>
      <c r="K623" s="13" t="n">
        <v>0</v>
      </c>
      <c r="L623" s="13" t="n">
        <v>0</v>
      </c>
      <c r="M623" s="13" t="n">
        <v>0</v>
      </c>
      <c r="N623" s="13" t="n">
        <v>0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  <c r="V623" s="13" t="n">
        <v>0</v>
      </c>
      <c r="W623" s="13" t="n">
        <v>0</v>
      </c>
      <c r="X623" s="13" t="n">
        <v>0</v>
      </c>
      <c r="Y623" s="13" t="n">
        <v>0</v>
      </c>
      <c r="Z623" s="13" t="n">
        <v>0</v>
      </c>
      <c r="AA623" s="13" t="n">
        <v>0</v>
      </c>
      <c r="AB623" s="13" t="n">
        <v>0</v>
      </c>
      <c r="AC623" s="13" t="n">
        <v>0</v>
      </c>
      <c r="AD623" s="13" t="n">
        <v>0</v>
      </c>
      <c r="AE623" s="13" t="n">
        <v>0</v>
      </c>
      <c r="AF623" s="13" t="n">
        <v>0</v>
      </c>
      <c r="AG623" s="13" t="n">
        <v>0</v>
      </c>
      <c r="AH623" s="13" t="n">
        <v>0</v>
      </c>
      <c r="AI623" s="13" t="n">
        <v>0</v>
      </c>
      <c r="AJ623" s="13" t="n">
        <v>0</v>
      </c>
      <c r="AK623" s="13" t="n">
        <v>2030.0577</v>
      </c>
      <c r="AL623" s="13" t="n">
        <v>2484.970052</v>
      </c>
      <c r="AM623" s="13" t="n">
        <v>2659.961933</v>
      </c>
      <c r="AN623" s="13" t="n">
        <v>3359.999772</v>
      </c>
      <c r="AO623" s="13" t="n">
        <v>2975.830922</v>
      </c>
      <c r="AP623" s="13" t="n">
        <v>3157.15776</v>
      </c>
      <c r="AQ623" s="13" t="n">
        <v>3302.409374</v>
      </c>
      <c r="AR623" s="13" t="n">
        <v>3157.317148</v>
      </c>
      <c r="AS623" s="13" t="n">
        <v>3520.100592</v>
      </c>
      <c r="AT623" s="13" t="n">
        <v>3447.465168</v>
      </c>
    </row>
    <row r="624" customFormat="false" ht="15" hidden="false" customHeight="true" outlineLevel="0" collapsed="false">
      <c r="A624" s="12" t="s">
        <v>1924</v>
      </c>
      <c r="B624" s="12" t="s">
        <v>1925</v>
      </c>
      <c r="C624" s="12" t="n">
        <v>1</v>
      </c>
      <c r="D624" s="12" t="s">
        <v>1926</v>
      </c>
      <c r="E624" s="13" t="n">
        <v>0</v>
      </c>
      <c r="F624" s="13" t="n">
        <v>0</v>
      </c>
      <c r="G624" s="13" t="n">
        <v>0</v>
      </c>
      <c r="H624" s="13" t="n">
        <v>0</v>
      </c>
      <c r="I624" s="13" t="n">
        <v>0</v>
      </c>
      <c r="J624" s="13" t="n">
        <v>0</v>
      </c>
      <c r="K624" s="13" t="n">
        <v>0</v>
      </c>
      <c r="L624" s="13" t="n">
        <v>0</v>
      </c>
      <c r="M624" s="13" t="n">
        <v>0</v>
      </c>
      <c r="N624" s="13" t="n">
        <v>0</v>
      </c>
      <c r="O624" s="13" t="n">
        <v>0</v>
      </c>
      <c r="P624" s="13" t="n">
        <v>0</v>
      </c>
      <c r="Q624" s="13" t="n">
        <v>0</v>
      </c>
      <c r="R624" s="13" t="n">
        <v>0</v>
      </c>
      <c r="S624" s="13" t="n">
        <v>0</v>
      </c>
      <c r="T624" s="13" t="n">
        <v>0</v>
      </c>
      <c r="U624" s="13" t="n">
        <v>0</v>
      </c>
      <c r="V624" s="13" t="n">
        <v>2999.914788</v>
      </c>
      <c r="W624" s="13" t="n">
        <v>3000.064</v>
      </c>
      <c r="X624" s="13" t="n">
        <v>0</v>
      </c>
      <c r="Y624" s="13" t="n">
        <v>0</v>
      </c>
      <c r="Z624" s="13" t="n">
        <v>0</v>
      </c>
      <c r="AA624" s="13" t="n">
        <v>0</v>
      </c>
      <c r="AB624" s="13" t="n">
        <v>0</v>
      </c>
      <c r="AC624" s="13" t="n">
        <v>0</v>
      </c>
      <c r="AD624" s="13" t="n">
        <v>0</v>
      </c>
      <c r="AE624" s="13" t="n">
        <v>0</v>
      </c>
      <c r="AF624" s="13" t="n">
        <v>0</v>
      </c>
      <c r="AG624" s="13" t="n">
        <v>0</v>
      </c>
      <c r="AH624" s="13" t="n">
        <v>0</v>
      </c>
      <c r="AI624" s="13" t="n">
        <v>0</v>
      </c>
      <c r="AJ624" s="13" t="n">
        <v>0</v>
      </c>
      <c r="AK624" s="13" t="n">
        <v>0</v>
      </c>
      <c r="AL624" s="13" t="n">
        <v>0</v>
      </c>
      <c r="AM624" s="13" t="n">
        <v>0</v>
      </c>
      <c r="AN624" s="13" t="n">
        <v>0</v>
      </c>
      <c r="AO624" s="13" t="n">
        <v>0</v>
      </c>
      <c r="AP624" s="13" t="n">
        <v>0</v>
      </c>
      <c r="AQ624" s="13" t="n">
        <v>0</v>
      </c>
      <c r="AR624" s="13" t="n">
        <v>0</v>
      </c>
      <c r="AS624" s="13" t="n">
        <v>0</v>
      </c>
      <c r="AT624" s="13" t="n">
        <v>0</v>
      </c>
    </row>
    <row r="625" customFormat="false" ht="15" hidden="false" customHeight="true" outlineLevel="0" collapsed="false">
      <c r="A625" s="12" t="s">
        <v>1927</v>
      </c>
      <c r="B625" s="12" t="s">
        <v>1928</v>
      </c>
      <c r="C625" s="12" t="n">
        <v>1</v>
      </c>
      <c r="D625" s="12" t="s">
        <v>1929</v>
      </c>
      <c r="E625" s="13" t="n">
        <v>0</v>
      </c>
      <c r="F625" s="13" t="n">
        <v>0</v>
      </c>
      <c r="G625" s="13" t="n">
        <v>0</v>
      </c>
      <c r="H625" s="13" t="n">
        <v>0</v>
      </c>
      <c r="I625" s="13" t="n">
        <v>0</v>
      </c>
      <c r="J625" s="13" t="n">
        <v>0</v>
      </c>
      <c r="K625" s="13" t="n">
        <v>0</v>
      </c>
      <c r="L625" s="13" t="n">
        <v>0</v>
      </c>
      <c r="M625" s="13" t="n">
        <v>0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499.99488</v>
      </c>
      <c r="U625" s="13" t="n">
        <v>500.011797</v>
      </c>
      <c r="V625" s="13" t="n">
        <v>500.016504</v>
      </c>
      <c r="W625" s="13" t="n">
        <v>500.073168</v>
      </c>
      <c r="X625" s="13" t="n">
        <v>499.909258</v>
      </c>
      <c r="Y625" s="13" t="n">
        <v>500.05996</v>
      </c>
      <c r="Z625" s="13" t="n">
        <v>499.957216</v>
      </c>
      <c r="AA625" s="13" t="n">
        <v>500.0205</v>
      </c>
      <c r="AB625" s="13" t="n">
        <v>500.016734</v>
      </c>
      <c r="AC625" s="13" t="n">
        <v>521.136</v>
      </c>
      <c r="AD625" s="13" t="n">
        <v>521.0514</v>
      </c>
      <c r="AE625" s="13" t="n">
        <v>521.11836</v>
      </c>
      <c r="AF625" s="13" t="n">
        <v>521.0238</v>
      </c>
      <c r="AG625" s="13" t="n">
        <v>521.046</v>
      </c>
      <c r="AH625" s="13" t="n">
        <v>521.03715</v>
      </c>
      <c r="AI625" s="13" t="n">
        <v>0</v>
      </c>
      <c r="AJ625" s="13" t="n">
        <v>0</v>
      </c>
      <c r="AK625" s="13" t="n">
        <v>0</v>
      </c>
      <c r="AL625" s="13" t="n">
        <v>0</v>
      </c>
      <c r="AM625" s="13" t="n">
        <v>0</v>
      </c>
      <c r="AN625" s="13" t="n">
        <v>0</v>
      </c>
      <c r="AO625" s="13" t="n">
        <v>0</v>
      </c>
      <c r="AP625" s="13" t="n">
        <v>0</v>
      </c>
      <c r="AQ625" s="13" t="n">
        <v>0</v>
      </c>
      <c r="AR625" s="13" t="n">
        <v>0</v>
      </c>
      <c r="AS625" s="13" t="n">
        <v>0</v>
      </c>
      <c r="AT625" s="13" t="n">
        <v>0</v>
      </c>
    </row>
    <row r="626" customFormat="false" ht="15" hidden="false" customHeight="true" outlineLevel="0" collapsed="false">
      <c r="A626" s="12" t="s">
        <v>1930</v>
      </c>
      <c r="B626" s="12" t="s">
        <v>1931</v>
      </c>
      <c r="C626" s="12" t="n">
        <v>1</v>
      </c>
      <c r="D626" s="12" t="s">
        <v>1932</v>
      </c>
      <c r="E626" s="13" t="n">
        <v>0</v>
      </c>
      <c r="F626" s="13" t="n">
        <v>0</v>
      </c>
      <c r="G626" s="13" t="n">
        <v>0</v>
      </c>
      <c r="H626" s="13" t="n">
        <v>0</v>
      </c>
      <c r="I626" s="13" t="n">
        <v>0</v>
      </c>
      <c r="J626" s="13" t="n">
        <v>0</v>
      </c>
      <c r="K626" s="13" t="n">
        <v>0</v>
      </c>
      <c r="L626" s="13" t="n">
        <v>0</v>
      </c>
      <c r="M626" s="13" t="n">
        <v>0</v>
      </c>
      <c r="N626" s="13" t="n">
        <v>0</v>
      </c>
      <c r="O626" s="13" t="n">
        <v>0</v>
      </c>
      <c r="P626" s="13" t="n">
        <v>827.981602</v>
      </c>
      <c r="Q626" s="13" t="n">
        <v>828.075339</v>
      </c>
      <c r="R626" s="13" t="n">
        <v>828.047892</v>
      </c>
      <c r="S626" s="13" t="n">
        <v>809.988285</v>
      </c>
      <c r="T626" s="13" t="n">
        <v>828.04736</v>
      </c>
      <c r="U626" s="13" t="n">
        <v>662.443571</v>
      </c>
      <c r="V626" s="13" t="n">
        <v>662.32842</v>
      </c>
      <c r="W626" s="13" t="n">
        <v>864.018432</v>
      </c>
      <c r="X626" s="13" t="n">
        <v>845.939268</v>
      </c>
      <c r="Y626" s="13" t="n">
        <v>845.967578</v>
      </c>
      <c r="Z626" s="13" t="n">
        <v>845.95808</v>
      </c>
      <c r="AA626" s="13" t="n">
        <v>0</v>
      </c>
      <c r="AB626" s="13" t="n">
        <v>0</v>
      </c>
      <c r="AC626" s="13" t="n">
        <v>0</v>
      </c>
      <c r="AD626" s="13" t="n">
        <v>0</v>
      </c>
      <c r="AE626" s="13" t="n">
        <v>0</v>
      </c>
      <c r="AF626" s="13" t="n">
        <v>0</v>
      </c>
      <c r="AG626" s="13" t="n">
        <v>0</v>
      </c>
      <c r="AH626" s="13" t="n">
        <v>0</v>
      </c>
      <c r="AI626" s="13" t="n">
        <v>0</v>
      </c>
      <c r="AJ626" s="13" t="n">
        <v>0</v>
      </c>
      <c r="AK626" s="13" t="n">
        <v>0</v>
      </c>
      <c r="AL626" s="13" t="n">
        <v>0</v>
      </c>
      <c r="AM626" s="13" t="n">
        <v>0</v>
      </c>
      <c r="AN626" s="13" t="n">
        <v>0</v>
      </c>
      <c r="AO626" s="13" t="n">
        <v>0</v>
      </c>
      <c r="AP626" s="13" t="n">
        <v>0</v>
      </c>
      <c r="AQ626" s="13" t="n">
        <v>0</v>
      </c>
      <c r="AR626" s="13" t="n">
        <v>0</v>
      </c>
      <c r="AS626" s="13" t="n">
        <v>0</v>
      </c>
      <c r="AT626" s="13" t="n">
        <v>0</v>
      </c>
    </row>
    <row r="627" customFormat="false" ht="15" hidden="false" customHeight="true" outlineLevel="0" collapsed="false">
      <c r="A627" s="12" t="s">
        <v>1933</v>
      </c>
      <c r="B627" s="12" t="s">
        <v>1934</v>
      </c>
      <c r="C627" s="12" t="n">
        <v>1</v>
      </c>
      <c r="D627" s="12" t="s">
        <v>1935</v>
      </c>
      <c r="E627" s="13" t="n">
        <v>0</v>
      </c>
      <c r="F627" s="13" t="n">
        <v>0</v>
      </c>
      <c r="G627" s="13" t="n">
        <v>0</v>
      </c>
      <c r="H627" s="13" t="n">
        <v>0</v>
      </c>
      <c r="I627" s="13" t="n">
        <v>0</v>
      </c>
      <c r="J627" s="13" t="n">
        <v>749.94896</v>
      </c>
      <c r="K627" s="13" t="n">
        <v>599.94798</v>
      </c>
      <c r="L627" s="13" t="n">
        <v>974.957942</v>
      </c>
      <c r="M627" s="13" t="n">
        <v>974.921715</v>
      </c>
      <c r="N627" s="13" t="n">
        <v>899.957118</v>
      </c>
      <c r="O627" s="13" t="n">
        <v>974.999614</v>
      </c>
      <c r="P627" s="13" t="n">
        <v>1049.949698</v>
      </c>
      <c r="Q627" s="13" t="n">
        <v>1274.992218</v>
      </c>
      <c r="R627" s="13" t="n">
        <v>1349.936871</v>
      </c>
      <c r="S627" s="13" t="n">
        <v>1274.94174</v>
      </c>
      <c r="T627" s="13" t="n">
        <v>1124.94592</v>
      </c>
      <c r="U627" s="13" t="n">
        <v>1199.926581</v>
      </c>
      <c r="V627" s="13" t="n">
        <v>1274.91312</v>
      </c>
      <c r="W627" s="13" t="n">
        <v>1350.0288</v>
      </c>
      <c r="X627" s="13" t="n">
        <v>1499.926072</v>
      </c>
      <c r="Y627" s="13" t="n">
        <v>1574.992</v>
      </c>
      <c r="Z627" s="13" t="n">
        <v>1650.019184</v>
      </c>
      <c r="AA627" s="13" t="n">
        <v>1650.06765</v>
      </c>
      <c r="AB627" s="13" t="n">
        <v>1574.921182</v>
      </c>
      <c r="AC627" s="13" t="n">
        <v>1485.0308</v>
      </c>
      <c r="AD627" s="13" t="n">
        <v>1641.3735</v>
      </c>
      <c r="AE627" s="13" t="n">
        <v>1641.32892</v>
      </c>
      <c r="AF627" s="13" t="n">
        <v>1563.2672</v>
      </c>
      <c r="AG627" s="13" t="n">
        <v>1719.4518</v>
      </c>
      <c r="AH627" s="13" t="n">
        <v>1797.66315</v>
      </c>
      <c r="AI627" s="13" t="n">
        <v>1641.35404</v>
      </c>
      <c r="AJ627" s="13" t="n">
        <v>1719.44775</v>
      </c>
      <c r="AK627" s="13" t="n">
        <v>1641.32715</v>
      </c>
      <c r="AL627" s="13" t="n">
        <v>1641.421072</v>
      </c>
      <c r="AM627" s="13" t="n">
        <v>1719.500942</v>
      </c>
      <c r="AN627" s="13" t="n">
        <v>1641.335791</v>
      </c>
      <c r="AO627" s="13" t="n">
        <v>1701.780142</v>
      </c>
      <c r="AP627" s="13" t="n">
        <v>1701.78672</v>
      </c>
      <c r="AQ627" s="13" t="n">
        <v>1620.784423</v>
      </c>
      <c r="AR627" s="13" t="n">
        <v>1620.760814</v>
      </c>
      <c r="AS627" s="13" t="n">
        <v>1620.880308</v>
      </c>
      <c r="AT627" s="13" t="n">
        <v>1620.823176</v>
      </c>
    </row>
    <row r="628" customFormat="false" ht="15" hidden="false" customHeight="true" outlineLevel="0" collapsed="false">
      <c r="A628" s="12" t="s">
        <v>1936</v>
      </c>
      <c r="B628" s="12" t="s">
        <v>1937</v>
      </c>
      <c r="C628" s="12" t="n">
        <v>1</v>
      </c>
      <c r="D628" s="12" t="s">
        <v>1938</v>
      </c>
      <c r="E628" s="13" t="n">
        <v>0</v>
      </c>
      <c r="F628" s="13" t="n">
        <v>0</v>
      </c>
      <c r="G628" s="13" t="n">
        <v>0</v>
      </c>
      <c r="H628" s="13" t="n">
        <v>0</v>
      </c>
      <c r="I628" s="13" t="n">
        <v>0</v>
      </c>
      <c r="J628" s="13" t="n">
        <v>0</v>
      </c>
      <c r="K628" s="13" t="n">
        <v>0</v>
      </c>
      <c r="L628" s="13" t="n">
        <v>0</v>
      </c>
      <c r="M628" s="13" t="n">
        <v>0</v>
      </c>
      <c r="N628" s="13" t="n">
        <v>0</v>
      </c>
      <c r="O628" s="13" t="n">
        <v>0</v>
      </c>
      <c r="P628" s="13" t="n">
        <v>0</v>
      </c>
      <c r="Q628" s="13" t="n">
        <v>0</v>
      </c>
      <c r="R628" s="13" t="n">
        <v>0</v>
      </c>
      <c r="S628" s="13" t="n">
        <v>0</v>
      </c>
      <c r="T628" s="13" t="n">
        <v>0</v>
      </c>
      <c r="U628" s="13" t="n">
        <v>0</v>
      </c>
      <c r="V628" s="13" t="n">
        <v>0</v>
      </c>
      <c r="W628" s="13" t="n">
        <v>0</v>
      </c>
      <c r="X628" s="13" t="n">
        <v>0</v>
      </c>
      <c r="Y628" s="13" t="n">
        <v>0</v>
      </c>
      <c r="Z628" s="13" t="n">
        <v>0</v>
      </c>
      <c r="AA628" s="13" t="n">
        <v>0</v>
      </c>
      <c r="AB628" s="13" t="n">
        <v>0</v>
      </c>
      <c r="AC628" s="13" t="n">
        <v>0</v>
      </c>
      <c r="AD628" s="13" t="n">
        <v>0</v>
      </c>
      <c r="AE628" s="13" t="n">
        <v>0</v>
      </c>
      <c r="AF628" s="13" t="n">
        <v>0</v>
      </c>
      <c r="AG628" s="13" t="n">
        <v>0</v>
      </c>
      <c r="AH628" s="13" t="n">
        <v>0</v>
      </c>
      <c r="AI628" s="13" t="n">
        <v>0</v>
      </c>
      <c r="AJ628" s="13" t="n">
        <v>0</v>
      </c>
      <c r="AK628" s="13" t="n">
        <v>0</v>
      </c>
      <c r="AL628" s="13" t="n">
        <v>0</v>
      </c>
      <c r="AM628" s="13" t="n">
        <v>0</v>
      </c>
      <c r="AN628" s="13" t="n">
        <v>0</v>
      </c>
      <c r="AO628" s="13" t="n">
        <v>0</v>
      </c>
      <c r="AP628" s="13" t="n">
        <v>1374.95808</v>
      </c>
      <c r="AQ628" s="13" t="n">
        <v>1264.975978</v>
      </c>
      <c r="AR628" s="13" t="n">
        <v>1484.98109</v>
      </c>
      <c r="AS628" s="13" t="n">
        <v>1760.050296</v>
      </c>
      <c r="AT628" s="13" t="n">
        <v>1265.015648</v>
      </c>
    </row>
    <row r="629" customFormat="false" ht="15" hidden="false" customHeight="true" outlineLevel="0" collapsed="false">
      <c r="A629" s="12" t="s">
        <v>1939</v>
      </c>
      <c r="B629" s="12" t="s">
        <v>1940</v>
      </c>
      <c r="C629" s="12" t="n">
        <v>1</v>
      </c>
      <c r="D629" s="12" t="s">
        <v>1941</v>
      </c>
      <c r="E629" s="13" t="n">
        <v>0</v>
      </c>
      <c r="F629" s="13" t="n">
        <v>0</v>
      </c>
      <c r="G629" s="13" t="n">
        <v>0</v>
      </c>
      <c r="H629" s="13" t="n">
        <v>0</v>
      </c>
      <c r="I629" s="13" t="n">
        <v>0</v>
      </c>
      <c r="J629" s="13" t="n">
        <v>0</v>
      </c>
      <c r="K629" s="13" t="n">
        <v>0</v>
      </c>
      <c r="L629" s="13" t="n">
        <v>0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0</v>
      </c>
      <c r="V629" s="13" t="n">
        <v>0</v>
      </c>
      <c r="W629" s="13" t="n">
        <v>0</v>
      </c>
      <c r="X629" s="13" t="n">
        <v>0</v>
      </c>
      <c r="Y629" s="13" t="n">
        <v>0</v>
      </c>
      <c r="Z629" s="13" t="n">
        <v>0</v>
      </c>
      <c r="AA629" s="13" t="n">
        <v>0</v>
      </c>
      <c r="AB629" s="13" t="n">
        <v>0</v>
      </c>
      <c r="AC629" s="13" t="n">
        <v>0</v>
      </c>
      <c r="AD629" s="13" t="n">
        <v>0</v>
      </c>
      <c r="AE629" s="13" t="n">
        <v>0</v>
      </c>
      <c r="AF629" s="13" t="n">
        <v>0</v>
      </c>
      <c r="AG629" s="13" t="n">
        <v>0</v>
      </c>
      <c r="AH629" s="13" t="n">
        <v>0</v>
      </c>
      <c r="AI629" s="13" t="n">
        <v>0</v>
      </c>
      <c r="AJ629" s="13" t="n">
        <v>0</v>
      </c>
      <c r="AK629" s="13" t="n">
        <v>7128.5001</v>
      </c>
      <c r="AL629" s="13" t="n">
        <v>7065.919884</v>
      </c>
      <c r="AM629" s="13" t="n">
        <v>6878.370634</v>
      </c>
      <c r="AN629" s="13" t="n">
        <v>0</v>
      </c>
      <c r="AO629" s="13" t="n">
        <v>0</v>
      </c>
      <c r="AP629" s="13" t="n">
        <v>0</v>
      </c>
      <c r="AQ629" s="13" t="n">
        <v>0</v>
      </c>
      <c r="AR629" s="13" t="n">
        <v>0</v>
      </c>
      <c r="AS629" s="13" t="n">
        <v>0</v>
      </c>
      <c r="AT629" s="13" t="n">
        <v>0</v>
      </c>
    </row>
    <row r="630" customFormat="false" ht="15" hidden="false" customHeight="true" outlineLevel="0" collapsed="false">
      <c r="A630" s="12" t="s">
        <v>1942</v>
      </c>
      <c r="B630" s="12" t="s">
        <v>1943</v>
      </c>
      <c r="C630" s="12" t="n">
        <v>1</v>
      </c>
      <c r="D630" s="12" t="s">
        <v>1944</v>
      </c>
      <c r="E630" s="13" t="n">
        <v>6437.068488</v>
      </c>
      <c r="F630" s="13" t="n">
        <v>6688.608996</v>
      </c>
      <c r="G630" s="13" t="n">
        <v>7392.705529</v>
      </c>
      <c r="H630" s="13" t="n">
        <v>7744.735458</v>
      </c>
      <c r="I630" s="13" t="n">
        <v>7945.835051</v>
      </c>
      <c r="J630" s="13" t="n">
        <v>7945.798185</v>
      </c>
      <c r="K630" s="13" t="n">
        <v>7694.353704</v>
      </c>
      <c r="L630" s="13" t="n">
        <v>7644.092267</v>
      </c>
      <c r="M630" s="13" t="n">
        <v>7644.084255</v>
      </c>
      <c r="N630" s="13" t="n">
        <v>7845.219438</v>
      </c>
      <c r="O630" s="13" t="n">
        <v>7644.093338</v>
      </c>
      <c r="P630" s="13" t="n">
        <v>7996.096129</v>
      </c>
      <c r="Q630" s="13" t="n">
        <v>8607.141783</v>
      </c>
      <c r="R630" s="13" t="n">
        <v>8395.865445</v>
      </c>
      <c r="S630" s="13" t="n">
        <v>8184.735615</v>
      </c>
      <c r="T630" s="13" t="n">
        <v>8343.12192</v>
      </c>
      <c r="U630" s="13" t="n">
        <v>7867.937412</v>
      </c>
      <c r="V630" s="13" t="n">
        <v>7920.674112</v>
      </c>
      <c r="W630" s="13" t="n">
        <v>8026.296224</v>
      </c>
      <c r="X630" s="13" t="n">
        <v>7973.56258</v>
      </c>
      <c r="Y630" s="13" t="n">
        <v>7694.426542</v>
      </c>
      <c r="Z630" s="13" t="n">
        <v>8553.598416</v>
      </c>
      <c r="AA630" s="13" t="n">
        <v>8500.75668</v>
      </c>
      <c r="AB630" s="13" t="n">
        <v>8289.633964</v>
      </c>
      <c r="AC630" s="13" t="n">
        <v>8968.2956</v>
      </c>
      <c r="AD630" s="13" t="n">
        <v>9463.5088</v>
      </c>
      <c r="AE630" s="13" t="n">
        <v>9298.27836</v>
      </c>
      <c r="AF630" s="13" t="n">
        <v>9298.3462</v>
      </c>
      <c r="AG630" s="13" t="n">
        <v>9408.35394</v>
      </c>
      <c r="AH630" s="13" t="n">
        <v>8693.1432</v>
      </c>
      <c r="AI630" s="13" t="n">
        <v>9023.31188</v>
      </c>
      <c r="AJ630" s="13" t="n">
        <v>8803.1997</v>
      </c>
      <c r="AK630" s="13" t="n">
        <v>0</v>
      </c>
      <c r="AL630" s="13" t="n">
        <v>0</v>
      </c>
      <c r="AM630" s="13" t="n">
        <v>0</v>
      </c>
      <c r="AN630" s="13" t="n">
        <v>0</v>
      </c>
      <c r="AO630" s="13" t="n">
        <v>0</v>
      </c>
      <c r="AP630" s="13" t="n">
        <v>0</v>
      </c>
      <c r="AQ630" s="13" t="n">
        <v>0</v>
      </c>
      <c r="AR630" s="13" t="n">
        <v>0</v>
      </c>
      <c r="AS630" s="13" t="n">
        <v>0</v>
      </c>
      <c r="AT630" s="13" t="n">
        <v>0</v>
      </c>
    </row>
    <row r="631" customFormat="false" ht="15" hidden="false" customHeight="true" outlineLevel="0" collapsed="false">
      <c r="A631" s="12" t="s">
        <v>1945</v>
      </c>
      <c r="B631" s="12" t="s">
        <v>1946</v>
      </c>
      <c r="C631" s="12" t="n">
        <v>1</v>
      </c>
      <c r="D631" s="12" t="s">
        <v>1947</v>
      </c>
      <c r="E631" s="13" t="n">
        <v>0</v>
      </c>
      <c r="F631" s="13" t="n">
        <v>0</v>
      </c>
      <c r="G631" s="13" t="n">
        <v>0</v>
      </c>
      <c r="H631" s="13" t="n">
        <v>0</v>
      </c>
      <c r="I631" s="13" t="n">
        <v>0</v>
      </c>
      <c r="J631" s="13" t="n">
        <v>0</v>
      </c>
      <c r="K631" s="13" t="n">
        <v>0</v>
      </c>
      <c r="L631" s="13" t="n">
        <v>0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0</v>
      </c>
      <c r="X631" s="13" t="n">
        <v>0</v>
      </c>
      <c r="Y631" s="13" t="n">
        <v>0</v>
      </c>
      <c r="Z631" s="13" t="n">
        <v>0</v>
      </c>
      <c r="AA631" s="13" t="n">
        <v>0</v>
      </c>
      <c r="AB631" s="13" t="n">
        <v>0</v>
      </c>
      <c r="AC631" s="13" t="n">
        <v>0</v>
      </c>
      <c r="AD631" s="13" t="n">
        <v>0</v>
      </c>
      <c r="AE631" s="13" t="n">
        <v>0</v>
      </c>
      <c r="AF631" s="13" t="n">
        <v>0</v>
      </c>
      <c r="AG631" s="13" t="n">
        <v>0</v>
      </c>
      <c r="AH631" s="13" t="n">
        <v>599.97645</v>
      </c>
      <c r="AI631" s="13" t="n">
        <v>600.00024</v>
      </c>
      <c r="AJ631" s="13" t="n">
        <v>599.98941</v>
      </c>
      <c r="AK631" s="13" t="n">
        <v>600.06495</v>
      </c>
      <c r="AL631" s="13" t="n">
        <v>600.061698</v>
      </c>
      <c r="AM631" s="13" t="n">
        <v>600.009343</v>
      </c>
      <c r="AN631" s="13" t="n">
        <v>0</v>
      </c>
      <c r="AO631" s="13" t="n">
        <v>0</v>
      </c>
      <c r="AP631" s="13" t="n">
        <v>0</v>
      </c>
      <c r="AQ631" s="13" t="n">
        <v>0</v>
      </c>
      <c r="AR631" s="13" t="n">
        <v>0</v>
      </c>
      <c r="AS631" s="13" t="n">
        <v>0</v>
      </c>
      <c r="AT631" s="13" t="n">
        <v>0</v>
      </c>
    </row>
    <row r="632" customFormat="false" ht="15" hidden="false" customHeight="true" outlineLevel="0" collapsed="false">
      <c r="A632" s="12" t="s">
        <v>1948</v>
      </c>
      <c r="B632" s="12" t="s">
        <v>1949</v>
      </c>
      <c r="C632" s="12" t="n">
        <v>1</v>
      </c>
      <c r="D632" s="12" t="s">
        <v>1950</v>
      </c>
      <c r="E632" s="13" t="n">
        <v>0</v>
      </c>
      <c r="F632" s="13" t="n">
        <v>0</v>
      </c>
      <c r="G632" s="13" t="n">
        <v>0</v>
      </c>
      <c r="H632" s="13" t="n">
        <v>0</v>
      </c>
      <c r="I632" s="13" t="n">
        <v>0</v>
      </c>
      <c r="J632" s="13" t="n">
        <v>0</v>
      </c>
      <c r="K632" s="13" t="n">
        <v>0</v>
      </c>
      <c r="L632" s="13" t="n">
        <v>0</v>
      </c>
      <c r="M632" s="13" t="n">
        <v>0</v>
      </c>
      <c r="N632" s="13" t="n">
        <v>0</v>
      </c>
      <c r="O632" s="13" t="n">
        <v>0</v>
      </c>
      <c r="P632" s="13" t="n">
        <v>0</v>
      </c>
      <c r="Q632" s="13" t="n">
        <v>3807.463968</v>
      </c>
      <c r="R632" s="13" t="n">
        <v>8043.722865</v>
      </c>
      <c r="S632" s="13" t="n">
        <v>8043.64515</v>
      </c>
      <c r="T632" s="13" t="n">
        <v>8043.66976</v>
      </c>
      <c r="U632" s="13" t="n">
        <v>8043.59432</v>
      </c>
      <c r="V632" s="13" t="n">
        <v>8043.559524</v>
      </c>
      <c r="W632" s="13" t="n">
        <v>4236.090368</v>
      </c>
      <c r="X632" s="13" t="n">
        <v>0</v>
      </c>
      <c r="Y632" s="13" t="n">
        <v>0</v>
      </c>
      <c r="Z632" s="13" t="n">
        <v>0</v>
      </c>
      <c r="AA632" s="13" t="n">
        <v>0</v>
      </c>
      <c r="AB632" s="13" t="n">
        <v>0</v>
      </c>
      <c r="AC632" s="13" t="n">
        <v>0</v>
      </c>
      <c r="AD632" s="13" t="n">
        <v>0</v>
      </c>
      <c r="AE632" s="13" t="n">
        <v>0</v>
      </c>
      <c r="AF632" s="13" t="n">
        <v>0</v>
      </c>
      <c r="AG632" s="13" t="n">
        <v>0</v>
      </c>
      <c r="AH632" s="13" t="n">
        <v>0</v>
      </c>
      <c r="AI632" s="13" t="n">
        <v>2730.07628</v>
      </c>
      <c r="AJ632" s="13" t="n">
        <v>2730.05433</v>
      </c>
      <c r="AK632" s="13" t="n">
        <v>2730.1029</v>
      </c>
      <c r="AL632" s="13" t="n">
        <v>2730.114963</v>
      </c>
      <c r="AM632" s="13" t="n">
        <v>2730.033339</v>
      </c>
      <c r="AN632" s="13" t="n">
        <v>2730.044773</v>
      </c>
      <c r="AO632" s="13" t="n">
        <v>2802.39451</v>
      </c>
      <c r="AP632" s="13" t="n">
        <v>2802.3744</v>
      </c>
      <c r="AQ632" s="13" t="n">
        <v>2802.466821</v>
      </c>
      <c r="AR632" s="13" t="n">
        <v>2802.43035</v>
      </c>
      <c r="AS632" s="13" t="n">
        <v>2802.44043</v>
      </c>
      <c r="AT632" s="13" t="n">
        <v>2802.356192</v>
      </c>
    </row>
    <row r="633" customFormat="false" ht="15" hidden="false" customHeight="true" outlineLevel="0" collapsed="false">
      <c r="A633" s="12" t="s">
        <v>1951</v>
      </c>
      <c r="B633" s="12" t="s">
        <v>1952</v>
      </c>
      <c r="C633" s="12" t="n">
        <v>1</v>
      </c>
      <c r="D633" s="12" t="s">
        <v>1953</v>
      </c>
      <c r="E633" s="13" t="n">
        <v>0</v>
      </c>
      <c r="F633" s="13" t="n">
        <v>0</v>
      </c>
      <c r="G633" s="13" t="n">
        <v>0</v>
      </c>
      <c r="H633" s="13" t="n">
        <v>0</v>
      </c>
      <c r="I633" s="13" t="n">
        <v>0</v>
      </c>
      <c r="J633" s="13" t="n">
        <v>0</v>
      </c>
      <c r="K633" s="13" t="n">
        <v>0</v>
      </c>
      <c r="L633" s="13" t="n">
        <v>0</v>
      </c>
      <c r="M633" s="13" t="n">
        <v>0</v>
      </c>
      <c r="N633" s="13" t="n">
        <v>540.046542</v>
      </c>
      <c r="O633" s="13" t="n">
        <v>629.981219</v>
      </c>
      <c r="P633" s="13" t="n">
        <v>659.982883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  <c r="V633" s="13" t="n">
        <v>0</v>
      </c>
      <c r="W633" s="13" t="n">
        <v>0</v>
      </c>
      <c r="X633" s="13" t="n">
        <v>0</v>
      </c>
      <c r="Y633" s="13" t="n">
        <v>0</v>
      </c>
      <c r="Z633" s="13" t="n">
        <v>0</v>
      </c>
      <c r="AA633" s="13" t="n">
        <v>0</v>
      </c>
      <c r="AB633" s="13" t="n">
        <v>0</v>
      </c>
      <c r="AC633" s="13" t="n">
        <v>0</v>
      </c>
      <c r="AD633" s="13" t="n">
        <v>0</v>
      </c>
      <c r="AE633" s="13" t="n">
        <v>0</v>
      </c>
      <c r="AF633" s="13" t="n">
        <v>0</v>
      </c>
      <c r="AG633" s="13" t="n">
        <v>0</v>
      </c>
      <c r="AH633" s="13" t="n">
        <v>0</v>
      </c>
      <c r="AI633" s="13" t="n">
        <v>0</v>
      </c>
      <c r="AJ633" s="13" t="n">
        <v>0</v>
      </c>
      <c r="AK633" s="13" t="n">
        <v>0</v>
      </c>
      <c r="AL633" s="13" t="n">
        <v>0</v>
      </c>
      <c r="AM633" s="13" t="n">
        <v>0</v>
      </c>
      <c r="AN633" s="13" t="n">
        <v>0</v>
      </c>
      <c r="AO633" s="13" t="n">
        <v>0</v>
      </c>
      <c r="AP633" s="13" t="n">
        <v>0</v>
      </c>
      <c r="AQ633" s="13" t="n">
        <v>0</v>
      </c>
      <c r="AR633" s="13" t="n">
        <v>0</v>
      </c>
      <c r="AS633" s="13" t="n">
        <v>0</v>
      </c>
      <c r="AT633" s="13" t="n">
        <v>0</v>
      </c>
    </row>
    <row r="634" customFormat="false" ht="15" hidden="false" customHeight="true" outlineLevel="0" collapsed="false">
      <c r="A634" s="12" t="s">
        <v>1954</v>
      </c>
      <c r="B634" s="12" t="s">
        <v>1955</v>
      </c>
      <c r="C634" s="12" t="n">
        <v>1</v>
      </c>
      <c r="D634" s="12" t="s">
        <v>1956</v>
      </c>
      <c r="E634" s="13" t="n">
        <v>0</v>
      </c>
      <c r="F634" s="13" t="n">
        <v>0</v>
      </c>
      <c r="G634" s="13" t="n">
        <v>0</v>
      </c>
      <c r="H634" s="13" t="n">
        <v>0</v>
      </c>
      <c r="I634" s="13" t="n">
        <v>0</v>
      </c>
      <c r="J634" s="13" t="n">
        <v>0</v>
      </c>
      <c r="K634" s="13" t="n">
        <v>0</v>
      </c>
      <c r="L634" s="13" t="n">
        <v>0</v>
      </c>
      <c r="M634" s="13" t="n">
        <v>0</v>
      </c>
      <c r="N634" s="13" t="n">
        <v>0</v>
      </c>
      <c r="O634" s="13" t="n">
        <v>0</v>
      </c>
      <c r="P634" s="13" t="n">
        <v>0</v>
      </c>
      <c r="Q634" s="13" t="n">
        <v>0</v>
      </c>
      <c r="R634" s="13" t="n">
        <v>0</v>
      </c>
      <c r="S634" s="13" t="n">
        <v>0</v>
      </c>
      <c r="T634" s="13" t="n">
        <v>0</v>
      </c>
      <c r="U634" s="13" t="n">
        <v>0</v>
      </c>
      <c r="V634" s="13" t="n">
        <v>0</v>
      </c>
      <c r="W634" s="13" t="n">
        <v>0</v>
      </c>
      <c r="X634" s="13" t="n">
        <v>0</v>
      </c>
      <c r="Y634" s="13" t="n">
        <v>0</v>
      </c>
      <c r="Z634" s="13" t="n">
        <v>0</v>
      </c>
      <c r="AA634" s="13" t="n">
        <v>0</v>
      </c>
      <c r="AB634" s="13" t="n">
        <v>0</v>
      </c>
      <c r="AC634" s="13" t="n">
        <v>3629.9604</v>
      </c>
      <c r="AD634" s="13" t="n">
        <v>3629.9093</v>
      </c>
      <c r="AE634" s="13" t="n">
        <v>4095.05544</v>
      </c>
      <c r="AF634" s="13" t="n">
        <v>4127.464</v>
      </c>
      <c r="AG634" s="13" t="n">
        <v>4127.45624</v>
      </c>
      <c r="AH634" s="13" t="n">
        <v>5395.0668</v>
      </c>
      <c r="AI634" s="13" t="n">
        <v>5265.0397</v>
      </c>
      <c r="AJ634" s="13" t="n">
        <v>4972.51242</v>
      </c>
      <c r="AK634" s="13" t="n">
        <v>4939.9416</v>
      </c>
      <c r="AL634" s="13" t="n">
        <v>5102.550424</v>
      </c>
      <c r="AM634" s="13" t="n">
        <v>5135.023402</v>
      </c>
      <c r="AN634" s="13" t="n">
        <v>4679.973992</v>
      </c>
      <c r="AO634" s="13" t="n">
        <v>4615.029138</v>
      </c>
      <c r="AP634" s="13" t="n">
        <v>0</v>
      </c>
      <c r="AQ634" s="13" t="n">
        <v>0</v>
      </c>
      <c r="AR634" s="13" t="n">
        <v>0</v>
      </c>
      <c r="AS634" s="13" t="n">
        <v>0</v>
      </c>
      <c r="AT634" s="13" t="n">
        <v>0</v>
      </c>
    </row>
    <row r="635" customFormat="false" ht="15" hidden="false" customHeight="true" outlineLevel="0" collapsed="false">
      <c r="A635" s="12" t="s">
        <v>1957</v>
      </c>
      <c r="B635" s="12" t="s">
        <v>1958</v>
      </c>
      <c r="C635" s="12" t="n">
        <v>1</v>
      </c>
      <c r="D635" s="12" t="s">
        <v>1959</v>
      </c>
      <c r="E635" s="13" t="n">
        <v>802.520676</v>
      </c>
      <c r="F635" s="13" t="n">
        <v>802.537386</v>
      </c>
      <c r="G635" s="13" t="n">
        <v>802.567302</v>
      </c>
      <c r="H635" s="13" t="n">
        <v>802.541763</v>
      </c>
      <c r="I635" s="13" t="n">
        <v>802.41322</v>
      </c>
      <c r="J635" s="13" t="n">
        <v>802.465915</v>
      </c>
      <c r="K635" s="13" t="n">
        <v>749.976696</v>
      </c>
      <c r="L635" s="13" t="n">
        <v>750.057819</v>
      </c>
      <c r="M635" s="13" t="n">
        <v>750.007575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  <c r="V635" s="13" t="n">
        <v>0</v>
      </c>
      <c r="W635" s="13" t="n">
        <v>0</v>
      </c>
      <c r="X635" s="13" t="n">
        <v>0</v>
      </c>
      <c r="Y635" s="13" t="n">
        <v>0</v>
      </c>
      <c r="Z635" s="13" t="n">
        <v>0</v>
      </c>
      <c r="AA635" s="13" t="n">
        <v>0</v>
      </c>
      <c r="AB635" s="13" t="n">
        <v>0</v>
      </c>
      <c r="AC635" s="13" t="n">
        <v>0</v>
      </c>
      <c r="AD635" s="13" t="n">
        <v>0</v>
      </c>
      <c r="AE635" s="13" t="n">
        <v>0</v>
      </c>
      <c r="AF635" s="13" t="n">
        <v>0</v>
      </c>
      <c r="AG635" s="13" t="n">
        <v>0</v>
      </c>
      <c r="AH635" s="13" t="n">
        <v>0</v>
      </c>
      <c r="AI635" s="13" t="n">
        <v>0</v>
      </c>
      <c r="AJ635" s="13" t="n">
        <v>0</v>
      </c>
      <c r="AK635" s="13" t="n">
        <v>0</v>
      </c>
      <c r="AL635" s="13" t="n">
        <v>0</v>
      </c>
      <c r="AM635" s="13" t="n">
        <v>0</v>
      </c>
      <c r="AN635" s="13" t="n">
        <v>0</v>
      </c>
      <c r="AO635" s="13" t="n">
        <v>0</v>
      </c>
      <c r="AP635" s="13" t="n">
        <v>0</v>
      </c>
      <c r="AQ635" s="13" t="n">
        <v>0</v>
      </c>
      <c r="AR635" s="13" t="n">
        <v>0</v>
      </c>
      <c r="AS635" s="13" t="n">
        <v>0</v>
      </c>
      <c r="AT635" s="13" t="n">
        <v>0</v>
      </c>
    </row>
    <row r="636" customFormat="false" ht="15" hidden="false" customHeight="true" outlineLevel="0" collapsed="false">
      <c r="A636" s="12" t="s">
        <v>1960</v>
      </c>
      <c r="B636" s="12" t="s">
        <v>1961</v>
      </c>
      <c r="C636" s="12" t="n">
        <v>1</v>
      </c>
      <c r="D636" s="12" t="s">
        <v>1962</v>
      </c>
      <c r="E636" s="13" t="n">
        <v>51119.045784</v>
      </c>
      <c r="F636" s="13" t="n">
        <v>51615.060402</v>
      </c>
      <c r="G636" s="13" t="n">
        <v>51026.012721</v>
      </c>
      <c r="H636" s="13" t="n">
        <v>51212.049687</v>
      </c>
      <c r="I636" s="13" t="n">
        <v>50684.943596</v>
      </c>
      <c r="J636" s="13" t="n">
        <v>49941.05823</v>
      </c>
      <c r="K636" s="13" t="n">
        <v>50437.017552</v>
      </c>
      <c r="L636" s="13" t="n">
        <v>50530.017062</v>
      </c>
      <c r="M636" s="13" t="n">
        <v>64870.984215</v>
      </c>
      <c r="N636" s="13" t="n">
        <v>50653.98069</v>
      </c>
      <c r="O636" s="13" t="n">
        <v>50994.923334</v>
      </c>
      <c r="P636" s="13" t="n">
        <v>65480.080771</v>
      </c>
      <c r="Q636" s="13" t="n">
        <v>2160.069633</v>
      </c>
      <c r="R636" s="13" t="n">
        <v>1840.030452</v>
      </c>
      <c r="S636" s="13" t="n">
        <v>1839.96522</v>
      </c>
      <c r="T636" s="13" t="n">
        <v>1655.92448</v>
      </c>
      <c r="U636" s="13" t="n">
        <v>1656.024151</v>
      </c>
      <c r="V636" s="13" t="n">
        <v>1839.964932</v>
      </c>
      <c r="W636" s="13" t="n">
        <v>1839.976752</v>
      </c>
      <c r="X636" s="13" t="n">
        <v>2040.089824</v>
      </c>
      <c r="Y636" s="13" t="n">
        <v>2079.97381</v>
      </c>
      <c r="Z636" s="13" t="n">
        <v>2080.014464</v>
      </c>
      <c r="AA636" s="13" t="n">
        <v>2080.08528</v>
      </c>
      <c r="AB636" s="13" t="n">
        <v>2079.996766</v>
      </c>
      <c r="AC636" s="13" t="n">
        <v>2240.0576</v>
      </c>
      <c r="AD636" s="13" t="n">
        <v>2280.0618</v>
      </c>
      <c r="AE636" s="13" t="n">
        <v>2280.0204</v>
      </c>
      <c r="AF636" s="13" t="n">
        <v>2320.0342</v>
      </c>
      <c r="AG636" s="13" t="n">
        <v>2320.00556</v>
      </c>
      <c r="AH636" s="13" t="n">
        <v>1880.00175</v>
      </c>
      <c r="AI636" s="13" t="n">
        <v>2119.92566</v>
      </c>
      <c r="AJ636" s="13" t="n">
        <v>2119.99986</v>
      </c>
      <c r="AK636" s="13" t="n">
        <v>2119.9482</v>
      </c>
      <c r="AL636" s="13" t="n">
        <v>2119.92331</v>
      </c>
      <c r="AM636" s="13" t="n">
        <v>2119.935181</v>
      </c>
      <c r="AN636" s="13" t="n">
        <v>2040.025552</v>
      </c>
      <c r="AO636" s="13" t="n">
        <v>2000.035602</v>
      </c>
      <c r="AP636" s="13" t="n">
        <v>1999.9704</v>
      </c>
      <c r="AQ636" s="13" t="n">
        <v>2079.985551</v>
      </c>
      <c r="AR636" s="13" t="n">
        <v>2080.026082</v>
      </c>
      <c r="AS636" s="13" t="n">
        <v>2119.918959</v>
      </c>
      <c r="AT636" s="13" t="n">
        <v>2160.047472</v>
      </c>
    </row>
    <row r="637" customFormat="false" ht="15" hidden="false" customHeight="true" outlineLevel="0" collapsed="false">
      <c r="A637" s="12" t="s">
        <v>1963</v>
      </c>
      <c r="B637" s="12" t="s">
        <v>1964</v>
      </c>
      <c r="C637" s="12" t="n">
        <v>1</v>
      </c>
      <c r="D637" s="12" t="s">
        <v>1965</v>
      </c>
      <c r="E637" s="13" t="n">
        <v>0</v>
      </c>
      <c r="F637" s="13" t="n">
        <v>0</v>
      </c>
      <c r="G637" s="13" t="n">
        <v>0</v>
      </c>
      <c r="H637" s="13" t="n">
        <v>0</v>
      </c>
      <c r="I637" s="13" t="n">
        <v>0</v>
      </c>
      <c r="J637" s="13" t="n">
        <v>0</v>
      </c>
      <c r="K637" s="13" t="n">
        <v>0</v>
      </c>
      <c r="L637" s="13" t="n">
        <v>0</v>
      </c>
      <c r="M637" s="13" t="n">
        <v>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0</v>
      </c>
      <c r="X637" s="13" t="n">
        <v>0</v>
      </c>
      <c r="Y637" s="13" t="n">
        <v>0</v>
      </c>
      <c r="Z637" s="13" t="n">
        <v>0</v>
      </c>
      <c r="AA637" s="13" t="n">
        <v>0</v>
      </c>
      <c r="AB637" s="13" t="n">
        <v>0</v>
      </c>
      <c r="AC637" s="13" t="n">
        <v>0</v>
      </c>
      <c r="AD637" s="13" t="n">
        <v>0</v>
      </c>
      <c r="AE637" s="13" t="n">
        <v>0</v>
      </c>
      <c r="AF637" s="13" t="n">
        <v>0</v>
      </c>
      <c r="AG637" s="13" t="n">
        <v>0</v>
      </c>
      <c r="AH637" s="13" t="n">
        <v>0</v>
      </c>
      <c r="AI637" s="13" t="n">
        <v>0</v>
      </c>
      <c r="AJ637" s="13" t="n">
        <v>0</v>
      </c>
      <c r="AK637" s="13" t="n">
        <v>0</v>
      </c>
      <c r="AL637" s="13" t="n">
        <v>36.467838</v>
      </c>
      <c r="AM637" s="13" t="n">
        <v>109.326068</v>
      </c>
      <c r="AN637" s="13" t="n">
        <v>73.012198</v>
      </c>
      <c r="AO637" s="13" t="n">
        <v>75.684478</v>
      </c>
      <c r="AP637" s="13" t="n">
        <v>113.54448</v>
      </c>
      <c r="AQ637" s="13" t="n">
        <v>113.532771</v>
      </c>
      <c r="AR637" s="13" t="n">
        <v>189.109228</v>
      </c>
      <c r="AS637" s="13" t="n">
        <v>151.286778</v>
      </c>
      <c r="AT637" s="13" t="n">
        <v>0</v>
      </c>
    </row>
    <row r="638" customFormat="false" ht="15" hidden="false" customHeight="true" outlineLevel="0" collapsed="false">
      <c r="A638" s="12" t="s">
        <v>1966</v>
      </c>
      <c r="B638" s="12" t="s">
        <v>1967</v>
      </c>
      <c r="C638" s="12" t="n">
        <v>1</v>
      </c>
      <c r="D638" s="12" t="s">
        <v>1968</v>
      </c>
      <c r="E638" s="13" t="n">
        <v>0</v>
      </c>
      <c r="F638" s="13" t="n">
        <v>0</v>
      </c>
      <c r="G638" s="13" t="n">
        <v>0</v>
      </c>
      <c r="H638" s="13" t="n">
        <v>0</v>
      </c>
      <c r="I638" s="13" t="n">
        <v>0</v>
      </c>
      <c r="J638" s="13" t="n">
        <v>0</v>
      </c>
      <c r="K638" s="13" t="n">
        <v>0</v>
      </c>
      <c r="L638" s="13" t="n">
        <v>0</v>
      </c>
      <c r="M638" s="13" t="n">
        <v>0</v>
      </c>
      <c r="N638" s="13" t="n">
        <v>4224.974352</v>
      </c>
      <c r="O638" s="13" t="n">
        <v>3965.044318</v>
      </c>
      <c r="P638" s="13" t="n">
        <v>3964.972788</v>
      </c>
      <c r="Q638" s="13" t="n">
        <v>3965.078142</v>
      </c>
      <c r="R638" s="13" t="n">
        <v>1689.942498</v>
      </c>
      <c r="S638" s="13" t="n">
        <v>1689.942885</v>
      </c>
      <c r="T638" s="13" t="n">
        <v>1689.97248</v>
      </c>
      <c r="U638" s="13" t="n">
        <v>1560.057153</v>
      </c>
      <c r="V638" s="13" t="n">
        <v>1559.926212</v>
      </c>
      <c r="W638" s="13" t="n">
        <v>1624.909664</v>
      </c>
      <c r="X638" s="13" t="n">
        <v>1560.010366</v>
      </c>
      <c r="Y638" s="13" t="n">
        <v>1560.029576</v>
      </c>
      <c r="Z638" s="13" t="n">
        <v>1560.010848</v>
      </c>
      <c r="AA638" s="13" t="n">
        <v>1494.95925</v>
      </c>
      <c r="AB638" s="13" t="n">
        <v>2989.982704</v>
      </c>
      <c r="AC638" s="13" t="n">
        <v>1553.2748</v>
      </c>
      <c r="AD638" s="13" t="n">
        <v>1485.7561</v>
      </c>
      <c r="AE638" s="13" t="n">
        <v>1553.14908</v>
      </c>
      <c r="AF638" s="13" t="n">
        <v>1080.4244</v>
      </c>
      <c r="AG638" s="13" t="n">
        <v>1080.49502</v>
      </c>
      <c r="AH638" s="13" t="n">
        <v>1080.41085</v>
      </c>
      <c r="AI638" s="13" t="n">
        <v>1080.45156</v>
      </c>
      <c r="AJ638" s="13" t="n">
        <v>1080.50283</v>
      </c>
      <c r="AK638" s="13" t="n">
        <v>1080.5205</v>
      </c>
      <c r="AL638" s="13" t="n">
        <v>1148.000173</v>
      </c>
      <c r="AM638" s="13" t="n">
        <v>1080.42037</v>
      </c>
      <c r="AN638" s="13" t="n">
        <v>1080.436664</v>
      </c>
      <c r="AO638" s="13" t="n">
        <v>1120.268196</v>
      </c>
      <c r="AP638" s="13" t="n">
        <v>1120.25952</v>
      </c>
      <c r="AQ638" s="13" t="n">
        <v>1120.298651</v>
      </c>
      <c r="AR638" s="13" t="n">
        <v>1120.270436</v>
      </c>
      <c r="AS638" s="13" t="n">
        <v>1120.283784</v>
      </c>
      <c r="AT638" s="13" t="n">
        <v>1120.277416</v>
      </c>
    </row>
    <row r="639" customFormat="false" ht="15" hidden="false" customHeight="true" outlineLevel="0" collapsed="false">
      <c r="A639" s="12" t="s">
        <v>1969</v>
      </c>
      <c r="B639" s="12" t="s">
        <v>1970</v>
      </c>
      <c r="C639" s="12" t="n">
        <v>1</v>
      </c>
      <c r="D639" s="12" t="s">
        <v>1971</v>
      </c>
      <c r="E639" s="13" t="n">
        <v>0</v>
      </c>
      <c r="F639" s="13" t="n">
        <v>0</v>
      </c>
      <c r="G639" s="13" t="n">
        <v>0</v>
      </c>
      <c r="H639" s="13" t="n">
        <v>0</v>
      </c>
      <c r="I639" s="13" t="n">
        <v>0</v>
      </c>
      <c r="J639" s="13" t="n">
        <v>0</v>
      </c>
      <c r="K639" s="13" t="n">
        <v>0</v>
      </c>
      <c r="L639" s="13" t="n">
        <v>0</v>
      </c>
      <c r="M639" s="13" t="n">
        <v>0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  <c r="V639" s="13" t="n">
        <v>0</v>
      </c>
      <c r="W639" s="13" t="n">
        <v>0</v>
      </c>
      <c r="X639" s="13" t="n">
        <v>0</v>
      </c>
      <c r="Y639" s="13" t="n">
        <v>0</v>
      </c>
      <c r="Z639" s="13" t="n">
        <v>0</v>
      </c>
      <c r="AA639" s="13" t="n">
        <v>0</v>
      </c>
      <c r="AB639" s="13" t="n">
        <v>0</v>
      </c>
      <c r="AC639" s="13" t="n">
        <v>0</v>
      </c>
      <c r="AD639" s="13" t="n">
        <v>0</v>
      </c>
      <c r="AE639" s="13" t="n">
        <v>0</v>
      </c>
      <c r="AF639" s="13" t="n">
        <v>0</v>
      </c>
      <c r="AG639" s="13" t="n">
        <v>0</v>
      </c>
      <c r="AH639" s="13" t="n">
        <v>0</v>
      </c>
      <c r="AI639" s="13" t="n">
        <v>0</v>
      </c>
      <c r="AJ639" s="13" t="n">
        <v>0</v>
      </c>
      <c r="AK639" s="13" t="n">
        <v>0</v>
      </c>
      <c r="AL639" s="13" t="n">
        <v>0</v>
      </c>
      <c r="AM639" s="13" t="n">
        <v>0</v>
      </c>
      <c r="AN639" s="13" t="n">
        <v>0</v>
      </c>
      <c r="AO639" s="13" t="n">
        <v>0</v>
      </c>
      <c r="AP639" s="13" t="n">
        <v>0</v>
      </c>
      <c r="AQ639" s="13" t="n">
        <v>0</v>
      </c>
      <c r="AR639" s="13" t="n">
        <v>0</v>
      </c>
      <c r="AS639" s="13" t="n">
        <v>0</v>
      </c>
      <c r="AT639" s="13" t="n">
        <v>13459.955512</v>
      </c>
    </row>
    <row r="640" customFormat="false" ht="15" hidden="false" customHeight="true" outlineLevel="0" collapsed="false">
      <c r="A640" s="12" t="s">
        <v>1972</v>
      </c>
      <c r="B640" s="12" t="s">
        <v>1973</v>
      </c>
      <c r="C640" s="12" t="n">
        <v>1</v>
      </c>
      <c r="D640" s="12" t="s">
        <v>1974</v>
      </c>
      <c r="E640" s="13" t="n">
        <v>14001.008976</v>
      </c>
      <c r="F640" s="13" t="n">
        <v>13884.025596</v>
      </c>
      <c r="G640" s="13" t="n">
        <v>14196.06529</v>
      </c>
      <c r="H640" s="13" t="n">
        <v>14235.059718</v>
      </c>
      <c r="I640" s="13" t="n">
        <v>14507.949155</v>
      </c>
      <c r="J640" s="13" t="n">
        <v>14196.00009</v>
      </c>
      <c r="K640" s="13" t="n">
        <v>13532.957328</v>
      </c>
      <c r="L640" s="13" t="n">
        <v>17627.949626</v>
      </c>
      <c r="M640" s="13" t="n">
        <v>17900.944605</v>
      </c>
      <c r="N640" s="13" t="n">
        <v>17862.007758</v>
      </c>
      <c r="O640" s="13" t="n">
        <v>17667.006772</v>
      </c>
      <c r="P640" s="13" t="n">
        <v>17432.954686</v>
      </c>
      <c r="Q640" s="13" t="n">
        <v>17822.935251</v>
      </c>
      <c r="R640" s="13" t="n">
        <v>17862.005013</v>
      </c>
      <c r="S640" s="13" t="n">
        <v>17472.06096</v>
      </c>
      <c r="T640" s="13" t="n">
        <v>17472.07168</v>
      </c>
      <c r="U640" s="13" t="n">
        <v>17432.930801</v>
      </c>
      <c r="V640" s="13" t="n">
        <v>17276.915136</v>
      </c>
      <c r="W640" s="13" t="n">
        <v>16847.984416</v>
      </c>
      <c r="X640" s="13" t="n">
        <v>30809.956856</v>
      </c>
      <c r="Y640" s="13" t="n">
        <v>32213.901998</v>
      </c>
      <c r="Z640" s="13" t="n">
        <v>32369.9244</v>
      </c>
      <c r="AA640" s="13" t="n">
        <v>32448.06501</v>
      </c>
      <c r="AB640" s="13" t="n">
        <v>31940.971838</v>
      </c>
      <c r="AC640" s="13" t="n">
        <v>33609.3428</v>
      </c>
      <c r="AD640" s="13" t="n">
        <v>33690.5512</v>
      </c>
      <c r="AE640" s="13" t="n">
        <v>0</v>
      </c>
      <c r="AF640" s="13" t="n">
        <v>33284.2378</v>
      </c>
      <c r="AG640" s="13" t="n">
        <v>33853.13054</v>
      </c>
      <c r="AH640" s="13" t="n">
        <v>33528.0513</v>
      </c>
      <c r="AI640" s="13" t="n">
        <v>33202.83283</v>
      </c>
      <c r="AJ640" s="13" t="n">
        <v>38729.9781</v>
      </c>
      <c r="AK640" s="13" t="n">
        <v>37104.2301</v>
      </c>
      <c r="AL640" s="13" t="n">
        <v>37022.959534</v>
      </c>
      <c r="AM640" s="13" t="n">
        <v>37226.259886</v>
      </c>
      <c r="AN640" s="13" t="n">
        <v>37185.687907</v>
      </c>
      <c r="AO640" s="13" t="n">
        <v>38642.356682</v>
      </c>
      <c r="AP640" s="13" t="n">
        <v>39611.66568</v>
      </c>
      <c r="AQ640" s="13" t="n">
        <v>40033.067424</v>
      </c>
      <c r="AR640" s="13" t="n">
        <v>38347.421896</v>
      </c>
      <c r="AS640" s="13" t="n">
        <v>38768.881284</v>
      </c>
      <c r="AT640" s="13" t="n">
        <v>38347.405728</v>
      </c>
    </row>
    <row r="641" customFormat="false" ht="15" hidden="false" customHeight="true" outlineLevel="0" collapsed="false">
      <c r="A641" s="12" t="s">
        <v>1975</v>
      </c>
      <c r="B641" s="12" t="s">
        <v>1976</v>
      </c>
      <c r="C641" s="12" t="n">
        <v>1</v>
      </c>
      <c r="D641" s="12" t="s">
        <v>1977</v>
      </c>
      <c r="E641" s="13" t="n">
        <v>1797.548652</v>
      </c>
      <c r="F641" s="13" t="n">
        <v>1540.849698</v>
      </c>
      <c r="G641" s="13" t="n">
        <v>1797.540793</v>
      </c>
      <c r="H641" s="13" t="n">
        <v>1861.774227</v>
      </c>
      <c r="I641" s="13" t="n">
        <v>1669.160892</v>
      </c>
      <c r="J641" s="13" t="n">
        <v>1797.55102</v>
      </c>
      <c r="K641" s="13" t="n">
        <v>1669.173768</v>
      </c>
      <c r="L641" s="13" t="n">
        <v>1604.946224</v>
      </c>
      <c r="M641" s="13" t="n">
        <v>1540.732365</v>
      </c>
      <c r="N641" s="13" t="n">
        <v>1733.424732</v>
      </c>
      <c r="O641" s="13" t="n">
        <v>1861.722701</v>
      </c>
      <c r="P641" s="13" t="n">
        <v>1797.569375</v>
      </c>
      <c r="Q641" s="13" t="n">
        <v>2953.1196</v>
      </c>
      <c r="R641" s="13" t="n">
        <v>3852.029562</v>
      </c>
      <c r="S641" s="13" t="n">
        <v>3017.31801</v>
      </c>
      <c r="T641" s="13" t="n">
        <v>2953.15328</v>
      </c>
      <c r="U641" s="13" t="n">
        <v>2889.013567</v>
      </c>
      <c r="V641" s="13" t="n">
        <v>3017.417208</v>
      </c>
      <c r="W641" s="13" t="n">
        <v>3017.314368</v>
      </c>
      <c r="X641" s="13" t="n">
        <v>2760.506458</v>
      </c>
      <c r="Y641" s="13" t="n">
        <v>2696.386304</v>
      </c>
      <c r="Z641" s="13" t="n">
        <v>0</v>
      </c>
      <c r="AA641" s="13" t="n">
        <v>0</v>
      </c>
      <c r="AB641" s="13" t="n">
        <v>0</v>
      </c>
      <c r="AC641" s="13" t="n">
        <v>0</v>
      </c>
      <c r="AD641" s="13" t="n">
        <v>0</v>
      </c>
      <c r="AE641" s="13" t="n">
        <v>0</v>
      </c>
      <c r="AF641" s="13" t="n">
        <v>0</v>
      </c>
      <c r="AG641" s="13" t="n">
        <v>2519.93284</v>
      </c>
      <c r="AH641" s="13" t="n">
        <v>0</v>
      </c>
      <c r="AI641" s="13" t="n">
        <v>200.75196</v>
      </c>
      <c r="AJ641" s="13" t="n">
        <v>0</v>
      </c>
      <c r="AK641" s="13" t="n">
        <v>0</v>
      </c>
      <c r="AL641" s="13" t="n">
        <v>0</v>
      </c>
      <c r="AM641" s="13" t="n">
        <v>0</v>
      </c>
      <c r="AN641" s="13" t="n">
        <v>0</v>
      </c>
      <c r="AO641" s="13" t="n">
        <v>0</v>
      </c>
      <c r="AP641" s="13" t="n">
        <v>0</v>
      </c>
      <c r="AQ641" s="13" t="n">
        <v>0</v>
      </c>
      <c r="AR641" s="13" t="n">
        <v>0</v>
      </c>
      <c r="AS641" s="13" t="n">
        <v>0</v>
      </c>
      <c r="AT641" s="13" t="n">
        <v>0</v>
      </c>
    </row>
    <row r="642" customFormat="false" ht="15" hidden="false" customHeight="true" outlineLevel="0" collapsed="false">
      <c r="A642" s="12" t="s">
        <v>1978</v>
      </c>
      <c r="B642" s="12" t="s">
        <v>1979</v>
      </c>
      <c r="C642" s="12" t="n">
        <v>1</v>
      </c>
      <c r="D642" s="12" t="s">
        <v>1980</v>
      </c>
      <c r="E642" s="13" t="n">
        <v>0</v>
      </c>
      <c r="F642" s="13" t="n">
        <v>0</v>
      </c>
      <c r="G642" s="13" t="n">
        <v>0</v>
      </c>
      <c r="H642" s="13" t="n">
        <v>0</v>
      </c>
      <c r="I642" s="13" t="n">
        <v>0</v>
      </c>
      <c r="J642" s="13" t="n">
        <v>0</v>
      </c>
      <c r="K642" s="13" t="n">
        <v>0</v>
      </c>
      <c r="L642" s="13" t="n">
        <v>0</v>
      </c>
      <c r="M642" s="13" t="n">
        <v>0</v>
      </c>
      <c r="N642" s="13" t="n">
        <v>0</v>
      </c>
      <c r="O642" s="13" t="n">
        <v>0</v>
      </c>
      <c r="P642" s="13" t="n">
        <v>0</v>
      </c>
      <c r="Q642" s="13" t="n">
        <v>0</v>
      </c>
      <c r="R642" s="13" t="n">
        <v>109.916349</v>
      </c>
      <c r="S642" s="13" t="n">
        <v>0</v>
      </c>
      <c r="T642" s="13" t="n">
        <v>638.05952</v>
      </c>
      <c r="U642" s="13" t="n">
        <v>615.986049</v>
      </c>
      <c r="V642" s="13" t="n">
        <v>616.085184</v>
      </c>
      <c r="W642" s="13" t="n">
        <v>594.012672</v>
      </c>
      <c r="X642" s="13" t="n">
        <v>593.90251</v>
      </c>
      <c r="Y642" s="13" t="n">
        <v>593.968858</v>
      </c>
      <c r="Z642" s="13" t="n">
        <v>857.98592</v>
      </c>
      <c r="AA642" s="13" t="n">
        <v>792.07329</v>
      </c>
      <c r="AB642" s="13" t="n">
        <v>792.013556</v>
      </c>
      <c r="AC642" s="13" t="n">
        <v>792.044</v>
      </c>
      <c r="AD642" s="13" t="n">
        <v>792.0474</v>
      </c>
      <c r="AE642" s="13" t="n">
        <v>879.96132</v>
      </c>
      <c r="AF642" s="13" t="n">
        <v>836.066</v>
      </c>
      <c r="AG642" s="13" t="n">
        <v>703.99104</v>
      </c>
      <c r="AH642" s="13" t="n">
        <v>704.0328</v>
      </c>
      <c r="AI642" s="13" t="n">
        <v>1034.02297</v>
      </c>
      <c r="AJ642" s="13" t="n">
        <v>901.94121</v>
      </c>
      <c r="AK642" s="13" t="n">
        <v>880.00965</v>
      </c>
      <c r="AL642" s="13" t="n">
        <v>1078.011393</v>
      </c>
      <c r="AM642" s="13" t="n">
        <v>1034.011821</v>
      </c>
      <c r="AN642" s="13" t="n">
        <v>923.981954</v>
      </c>
      <c r="AO642" s="13" t="n">
        <v>958.037914</v>
      </c>
      <c r="AP642" s="13" t="n">
        <v>935.2752</v>
      </c>
      <c r="AQ642" s="13" t="n">
        <v>1003.687639</v>
      </c>
      <c r="AR642" s="13" t="n">
        <v>935.196006</v>
      </c>
      <c r="AS642" s="13" t="n">
        <v>0</v>
      </c>
      <c r="AT642" s="13" t="n">
        <v>0</v>
      </c>
    </row>
    <row r="643" customFormat="false" ht="15" hidden="false" customHeight="true" outlineLevel="0" collapsed="false">
      <c r="A643" s="12" t="s">
        <v>1981</v>
      </c>
      <c r="B643" s="12" t="s">
        <v>1982</v>
      </c>
      <c r="C643" s="12" t="n">
        <v>1</v>
      </c>
      <c r="D643" s="12" t="s">
        <v>1983</v>
      </c>
      <c r="E643" s="13" t="n">
        <v>2728.532736</v>
      </c>
      <c r="F643" s="13" t="n">
        <v>2995.94328</v>
      </c>
      <c r="G643" s="13" t="n">
        <v>0</v>
      </c>
      <c r="H643" s="13" t="n">
        <v>2781.928314</v>
      </c>
      <c r="I643" s="13" t="n">
        <v>3263.559495</v>
      </c>
      <c r="J643" s="13" t="n">
        <v>3691.5827</v>
      </c>
      <c r="K643" s="13" t="n">
        <v>3263.41662</v>
      </c>
      <c r="L643" s="13" t="n">
        <v>3263.479968</v>
      </c>
      <c r="M643" s="13" t="n">
        <v>3905.503605</v>
      </c>
      <c r="N643" s="13" t="n">
        <v>4922.030076</v>
      </c>
      <c r="O643" s="13" t="n">
        <v>5349.93611</v>
      </c>
      <c r="P643" s="13" t="n">
        <v>5403.535837</v>
      </c>
      <c r="Q643" s="13" t="n">
        <v>7921.399941</v>
      </c>
      <c r="R643" s="13" t="n">
        <v>7528.158777</v>
      </c>
      <c r="S643" s="13" t="n">
        <v>7134.91008</v>
      </c>
      <c r="T643" s="13" t="n">
        <v>7078.74944</v>
      </c>
      <c r="U643" s="13" t="n">
        <v>6404.525469</v>
      </c>
      <c r="V643" s="13" t="n">
        <v>6966.331632</v>
      </c>
      <c r="W643" s="13" t="n">
        <v>7247.217104</v>
      </c>
      <c r="X643" s="13" t="n">
        <v>7584.303606</v>
      </c>
      <c r="Y643" s="13" t="n">
        <v>7977.531354</v>
      </c>
      <c r="Z643" s="13" t="n">
        <v>7471.894672</v>
      </c>
      <c r="AA643" s="13" t="n">
        <v>6910.07922</v>
      </c>
      <c r="AB643" s="13" t="n">
        <v>7191.054098</v>
      </c>
      <c r="AC643" s="13" t="n">
        <v>8431.236</v>
      </c>
      <c r="AD643" s="13" t="n">
        <v>8548.2814</v>
      </c>
      <c r="AE643" s="13" t="n">
        <v>9602.21304</v>
      </c>
      <c r="AF643" s="13" t="n">
        <v>8899.6974</v>
      </c>
      <c r="AG643" s="13" t="n">
        <v>9836.38358</v>
      </c>
      <c r="AH643" s="13" t="n">
        <v>8958.09975</v>
      </c>
      <c r="AI643" s="13" t="n">
        <v>9250.94355</v>
      </c>
      <c r="AJ643" s="13" t="n">
        <v>10129.17816</v>
      </c>
      <c r="AK643" s="13" t="n">
        <v>10656.06015</v>
      </c>
      <c r="AL643" s="13" t="n">
        <v>11007.393284</v>
      </c>
      <c r="AM643" s="13" t="n">
        <v>12646.788185</v>
      </c>
      <c r="AN643" s="13" t="n">
        <v>12881.078124</v>
      </c>
      <c r="AO643" s="13" t="n">
        <v>14449.01162</v>
      </c>
      <c r="AP643" s="13" t="n">
        <v>12506.286</v>
      </c>
      <c r="AQ643" s="13" t="n">
        <v>13052.647205</v>
      </c>
      <c r="AR643" s="13" t="n">
        <v>14206.172906</v>
      </c>
      <c r="AS643" s="13" t="n">
        <v>11049.300801</v>
      </c>
      <c r="AT643" s="13" t="n">
        <v>10867.093472</v>
      </c>
    </row>
    <row r="644" customFormat="false" ht="15" hidden="false" customHeight="true" outlineLevel="0" collapsed="false">
      <c r="A644" s="12" t="s">
        <v>1984</v>
      </c>
      <c r="B644" s="12" t="s">
        <v>1985</v>
      </c>
      <c r="C644" s="12" t="n">
        <v>1</v>
      </c>
      <c r="D644" s="12" t="s">
        <v>1986</v>
      </c>
      <c r="E644" s="13" t="n">
        <v>0</v>
      </c>
      <c r="F644" s="13" t="n">
        <v>0</v>
      </c>
      <c r="G644" s="13" t="n">
        <v>0</v>
      </c>
      <c r="H644" s="13" t="n">
        <v>0</v>
      </c>
      <c r="I644" s="13" t="n">
        <v>0</v>
      </c>
      <c r="J644" s="13" t="n">
        <v>0</v>
      </c>
      <c r="K644" s="13" t="n">
        <v>0</v>
      </c>
      <c r="L644" s="13" t="n">
        <v>0</v>
      </c>
      <c r="M644" s="13" t="n">
        <v>0</v>
      </c>
      <c r="N644" s="13" t="n">
        <v>0</v>
      </c>
      <c r="O644" s="13" t="n">
        <v>0</v>
      </c>
      <c r="P644" s="13" t="n">
        <v>0</v>
      </c>
      <c r="Q644" s="13" t="n">
        <v>0</v>
      </c>
      <c r="R644" s="13" t="n">
        <v>0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0</v>
      </c>
      <c r="X644" s="13" t="n">
        <v>0</v>
      </c>
      <c r="Y644" s="13" t="n">
        <v>0</v>
      </c>
      <c r="Z644" s="13" t="n">
        <v>0</v>
      </c>
      <c r="AA644" s="13" t="n">
        <v>0</v>
      </c>
      <c r="AB644" s="13" t="n">
        <v>0</v>
      </c>
      <c r="AC644" s="13" t="n">
        <v>0</v>
      </c>
      <c r="AD644" s="13" t="n">
        <v>0</v>
      </c>
      <c r="AE644" s="13" t="n">
        <v>0</v>
      </c>
      <c r="AF644" s="13" t="n">
        <v>0</v>
      </c>
      <c r="AG644" s="13" t="n">
        <v>0</v>
      </c>
      <c r="AH644" s="13" t="n">
        <v>0</v>
      </c>
      <c r="AI644" s="13" t="n">
        <v>0</v>
      </c>
      <c r="AJ644" s="13" t="n">
        <v>0</v>
      </c>
      <c r="AK644" s="13" t="n">
        <v>0</v>
      </c>
      <c r="AL644" s="13" t="n">
        <v>0</v>
      </c>
      <c r="AM644" s="13" t="n">
        <v>0</v>
      </c>
      <c r="AN644" s="13" t="n">
        <v>0</v>
      </c>
      <c r="AO644" s="13" t="n">
        <v>0</v>
      </c>
      <c r="AP644" s="13" t="n">
        <v>0</v>
      </c>
      <c r="AQ644" s="13" t="n">
        <v>0</v>
      </c>
      <c r="AR644" s="13" t="n">
        <v>0</v>
      </c>
      <c r="AS644" s="13" t="n">
        <v>0</v>
      </c>
      <c r="AT644" s="13" t="n">
        <v>0</v>
      </c>
    </row>
    <row r="645" customFormat="false" ht="15" hidden="false" customHeight="true" outlineLevel="0" collapsed="false">
      <c r="A645" s="12" t="s">
        <v>1987</v>
      </c>
      <c r="B645" s="12" t="s">
        <v>1988</v>
      </c>
      <c r="C645" s="12" t="n">
        <v>1</v>
      </c>
      <c r="D645" s="12" t="s">
        <v>1989</v>
      </c>
      <c r="E645" s="13" t="n">
        <v>802.520676</v>
      </c>
      <c r="F645" s="13" t="n">
        <v>802.537386</v>
      </c>
      <c r="G645" s="13" t="n">
        <v>802.567302</v>
      </c>
      <c r="H645" s="13" t="n">
        <v>802.541763</v>
      </c>
      <c r="I645" s="13" t="n">
        <v>802.41322</v>
      </c>
      <c r="J645" s="13" t="n">
        <v>802.465915</v>
      </c>
      <c r="K645" s="13" t="n">
        <v>802.545156</v>
      </c>
      <c r="L645" s="13" t="n">
        <v>802.473112</v>
      </c>
      <c r="M645" s="13" t="n">
        <v>802.534545</v>
      </c>
      <c r="N645" s="13" t="n">
        <v>802.571676</v>
      </c>
      <c r="O645" s="13" t="n">
        <v>802.576456</v>
      </c>
      <c r="P645" s="13" t="n">
        <v>802.434969</v>
      </c>
      <c r="Q645" s="13" t="n">
        <v>842.669244</v>
      </c>
      <c r="R645" s="13" t="n">
        <v>842.578047</v>
      </c>
      <c r="S645" s="13" t="n">
        <v>842.57307</v>
      </c>
      <c r="T645" s="13" t="n">
        <v>842.688</v>
      </c>
      <c r="U645" s="13" t="n">
        <v>842.67841</v>
      </c>
      <c r="V645" s="13" t="n">
        <v>842.695464</v>
      </c>
      <c r="W645" s="13" t="n">
        <v>842.642976</v>
      </c>
      <c r="X645" s="13" t="n">
        <v>842.568202</v>
      </c>
      <c r="Y645" s="13" t="n">
        <v>842.62072</v>
      </c>
      <c r="Z645" s="13" t="n">
        <v>842.550192</v>
      </c>
      <c r="AA645" s="13" t="n">
        <v>842.68761</v>
      </c>
      <c r="AB645" s="13" t="n">
        <v>842.602056</v>
      </c>
      <c r="AC645" s="13" t="n">
        <v>878.0728</v>
      </c>
      <c r="AD645" s="13" t="n">
        <v>878.0681</v>
      </c>
      <c r="AE645" s="13" t="n">
        <v>878.12424</v>
      </c>
      <c r="AF645" s="13" t="n">
        <v>878.163</v>
      </c>
      <c r="AG645" s="13" t="n">
        <v>878.059</v>
      </c>
      <c r="AH645" s="13" t="n">
        <v>878.1525</v>
      </c>
      <c r="AI645" s="13" t="n">
        <v>878.19584</v>
      </c>
      <c r="AJ645" s="13" t="n">
        <v>878.08329</v>
      </c>
      <c r="AK645" s="13" t="n">
        <v>878.17515</v>
      </c>
      <c r="AL645" s="13" t="n">
        <v>878.175008</v>
      </c>
      <c r="AM645" s="13" t="n">
        <v>878.093771</v>
      </c>
      <c r="AN645" s="13" t="n">
        <v>878.124539</v>
      </c>
      <c r="AO645" s="13" t="n">
        <v>910.454962</v>
      </c>
      <c r="AP645" s="13" t="n">
        <v>910.42656</v>
      </c>
      <c r="AQ645" s="13" t="n">
        <v>910.435044</v>
      </c>
      <c r="AR645" s="13" t="n">
        <v>910.46094</v>
      </c>
      <c r="AS645" s="13" t="n">
        <v>910.49022</v>
      </c>
      <c r="AT645" s="13" t="n">
        <v>910.433232</v>
      </c>
    </row>
    <row r="646" customFormat="false" ht="15" hidden="false" customHeight="true" outlineLevel="0" collapsed="false">
      <c r="A646" s="12" t="s">
        <v>1990</v>
      </c>
      <c r="B646" s="12" t="s">
        <v>1991</v>
      </c>
      <c r="C646" s="12" t="n">
        <v>1</v>
      </c>
      <c r="D646" s="12" t="s">
        <v>1992</v>
      </c>
      <c r="E646" s="13" t="n">
        <v>0</v>
      </c>
      <c r="F646" s="13" t="n">
        <v>0</v>
      </c>
      <c r="G646" s="13" t="n">
        <v>0</v>
      </c>
      <c r="H646" s="13" t="n">
        <v>0</v>
      </c>
      <c r="I646" s="13" t="n">
        <v>0</v>
      </c>
      <c r="J646" s="13" t="n">
        <v>0</v>
      </c>
      <c r="K646" s="13" t="n">
        <v>0</v>
      </c>
      <c r="L646" s="13" t="n">
        <v>0</v>
      </c>
      <c r="M646" s="13" t="n">
        <v>0</v>
      </c>
      <c r="N646" s="13" t="n">
        <v>0</v>
      </c>
      <c r="O646" s="13" t="n">
        <v>0</v>
      </c>
      <c r="P646" s="13" t="n">
        <v>0</v>
      </c>
      <c r="Q646" s="13" t="n">
        <v>0</v>
      </c>
      <c r="R646" s="13" t="n">
        <v>0</v>
      </c>
      <c r="S646" s="13" t="n">
        <v>0</v>
      </c>
      <c r="T646" s="13" t="n">
        <v>0</v>
      </c>
      <c r="U646" s="13" t="n">
        <v>0</v>
      </c>
      <c r="V646" s="13" t="n">
        <v>0</v>
      </c>
      <c r="W646" s="13" t="n">
        <v>0</v>
      </c>
      <c r="X646" s="13" t="n">
        <v>0</v>
      </c>
      <c r="Y646" s="13" t="n">
        <v>0</v>
      </c>
      <c r="Z646" s="13" t="n">
        <v>0</v>
      </c>
      <c r="AA646" s="13" t="n">
        <v>0</v>
      </c>
      <c r="AB646" s="13" t="n">
        <v>0</v>
      </c>
      <c r="AC646" s="13" t="n">
        <v>0</v>
      </c>
      <c r="AD646" s="13" t="n">
        <v>0</v>
      </c>
      <c r="AE646" s="13" t="n">
        <v>0</v>
      </c>
      <c r="AF646" s="13" t="n">
        <v>0</v>
      </c>
      <c r="AG646" s="13" t="n">
        <v>0</v>
      </c>
      <c r="AH646" s="13" t="n">
        <v>0</v>
      </c>
      <c r="AI646" s="13" t="n">
        <v>0</v>
      </c>
      <c r="AJ646" s="13" t="n">
        <v>3079.90836</v>
      </c>
      <c r="AK646" s="13" t="n">
        <v>2959.96575</v>
      </c>
      <c r="AL646" s="13" t="n">
        <v>2719.985008</v>
      </c>
      <c r="AM646" s="13" t="n">
        <v>2920.069927</v>
      </c>
      <c r="AN646" s="13" t="n">
        <v>2919.948421</v>
      </c>
      <c r="AO646" s="13" t="n">
        <v>3193.919452</v>
      </c>
      <c r="AP646" s="13" t="n">
        <v>3193.91304</v>
      </c>
      <c r="AQ646" s="13" t="n">
        <v>3111.015213</v>
      </c>
      <c r="AR646" s="13" t="n">
        <v>3235.381718</v>
      </c>
      <c r="AS646" s="13" t="n">
        <v>3318.442587</v>
      </c>
      <c r="AT646" s="13" t="n">
        <v>3152.563208</v>
      </c>
    </row>
    <row r="647" customFormat="false" ht="15" hidden="false" customHeight="true" outlineLevel="0" collapsed="false">
      <c r="A647" s="12" t="s">
        <v>1993</v>
      </c>
      <c r="B647" s="12" t="s">
        <v>1994</v>
      </c>
      <c r="C647" s="12" t="n">
        <v>1</v>
      </c>
      <c r="D647" s="12" t="s">
        <v>1995</v>
      </c>
      <c r="E647" s="13" t="n">
        <v>749.933316</v>
      </c>
      <c r="F647" s="13" t="n">
        <v>750.089976</v>
      </c>
      <c r="G647" s="13" t="n">
        <v>750.076432</v>
      </c>
      <c r="H647" s="13" t="n">
        <v>0</v>
      </c>
      <c r="I647" s="13" t="n">
        <v>582.544928</v>
      </c>
      <c r="J647" s="13" t="n">
        <v>582.64739</v>
      </c>
      <c r="K647" s="13" t="n">
        <v>582.592044</v>
      </c>
      <c r="L647" s="13" t="n">
        <v>582.596819</v>
      </c>
      <c r="M647" s="13" t="n">
        <v>582.555825</v>
      </c>
      <c r="N647" s="13" t="n">
        <v>582.68655</v>
      </c>
      <c r="O647" s="13" t="n">
        <v>582.659494</v>
      </c>
      <c r="P647" s="13" t="n">
        <v>582.666252</v>
      </c>
      <c r="Q647" s="13" t="n">
        <v>582.554349</v>
      </c>
      <c r="R647" s="13" t="n">
        <v>582.573744</v>
      </c>
      <c r="S647" s="13" t="n">
        <v>582.55641</v>
      </c>
      <c r="T647" s="13" t="n">
        <v>582.56128</v>
      </c>
      <c r="U647" s="13" t="n">
        <v>1006.297055</v>
      </c>
      <c r="V647" s="13" t="n">
        <v>1006.297032</v>
      </c>
      <c r="W647" s="13" t="n">
        <v>1006.333968</v>
      </c>
      <c r="X647" s="13" t="n">
        <v>1006.36235</v>
      </c>
      <c r="Y647" s="13" t="n">
        <v>1006.419888</v>
      </c>
      <c r="Z647" s="13" t="n">
        <v>1006.32928</v>
      </c>
      <c r="AA647" s="13" t="n">
        <v>1006.36779</v>
      </c>
      <c r="AB647" s="13" t="n">
        <v>1006.306442</v>
      </c>
      <c r="AC647" s="13" t="n">
        <v>1006.2888</v>
      </c>
      <c r="AD647" s="13" t="n">
        <v>1006.3806</v>
      </c>
      <c r="AE647" s="13" t="n">
        <v>1006.3116</v>
      </c>
      <c r="AF647" s="13" t="n">
        <v>1006.412</v>
      </c>
      <c r="AG647" s="13" t="n">
        <v>0</v>
      </c>
      <c r="AH647" s="13" t="n">
        <v>0</v>
      </c>
      <c r="AI647" s="13" t="n">
        <v>0</v>
      </c>
      <c r="AJ647" s="13" t="n">
        <v>0</v>
      </c>
      <c r="AK647" s="13" t="n">
        <v>0</v>
      </c>
      <c r="AL647" s="13" t="n">
        <v>0</v>
      </c>
      <c r="AM647" s="13" t="n">
        <v>0</v>
      </c>
      <c r="AN647" s="13" t="n">
        <v>0</v>
      </c>
      <c r="AO647" s="13" t="n">
        <v>0</v>
      </c>
      <c r="AP647" s="13" t="n">
        <v>0</v>
      </c>
      <c r="AQ647" s="13" t="n">
        <v>0</v>
      </c>
      <c r="AR647" s="13" t="n">
        <v>0</v>
      </c>
      <c r="AS647" s="13" t="n">
        <v>0</v>
      </c>
      <c r="AT647" s="13" t="n">
        <v>0</v>
      </c>
    </row>
    <row r="648" customFormat="false" ht="15" hidden="false" customHeight="true" outlineLevel="0" collapsed="false">
      <c r="A648" s="12" t="s">
        <v>1996</v>
      </c>
      <c r="B648" s="12" t="s">
        <v>1997</v>
      </c>
      <c r="C648" s="12" t="n">
        <v>1</v>
      </c>
      <c r="D648" s="12" t="s">
        <v>1998</v>
      </c>
      <c r="E648" s="13" t="n">
        <v>0</v>
      </c>
      <c r="F648" s="13" t="n">
        <v>0</v>
      </c>
      <c r="G648" s="13" t="n">
        <v>0</v>
      </c>
      <c r="H648" s="13" t="n">
        <v>0</v>
      </c>
      <c r="I648" s="13" t="n">
        <v>0</v>
      </c>
      <c r="J648" s="13" t="n">
        <v>3840.06712</v>
      </c>
      <c r="K648" s="13" t="n">
        <v>0</v>
      </c>
      <c r="L648" s="13" t="n">
        <v>4020.068766</v>
      </c>
      <c r="M648" s="13" t="n">
        <v>4020.075855</v>
      </c>
      <c r="N648" s="13" t="n">
        <v>4200.040788</v>
      </c>
      <c r="O648" s="13" t="n">
        <v>4259.987724</v>
      </c>
      <c r="P648" s="13" t="n">
        <v>4019.957263</v>
      </c>
      <c r="Q648" s="13" t="n">
        <v>4260.046716</v>
      </c>
      <c r="R648" s="13" t="n">
        <v>4200.06951</v>
      </c>
      <c r="S648" s="13" t="n">
        <v>4020.00312</v>
      </c>
      <c r="T648" s="13" t="n">
        <v>3959.95264</v>
      </c>
      <c r="U648" s="13" t="n">
        <v>0</v>
      </c>
      <c r="V648" s="13" t="n">
        <v>3959.968584</v>
      </c>
      <c r="W648" s="13" t="n">
        <v>4020.08576</v>
      </c>
      <c r="X648" s="13" t="n">
        <v>4079.98135</v>
      </c>
      <c r="Y648" s="13" t="n">
        <v>4199.913042</v>
      </c>
      <c r="Z648" s="13" t="n">
        <v>4019.904592</v>
      </c>
      <c r="AA648" s="13" t="n">
        <v>4019.96073</v>
      </c>
      <c r="AB648" s="13" t="n">
        <v>3899.968642</v>
      </c>
      <c r="AC648" s="13" t="n">
        <v>4502.2428</v>
      </c>
      <c r="AD648" s="13" t="n">
        <v>4126.9406</v>
      </c>
      <c r="AE648" s="13" t="n">
        <v>5252.61996</v>
      </c>
      <c r="AF648" s="13" t="n">
        <v>5252.5308</v>
      </c>
      <c r="AG648" s="13" t="n">
        <v>5565.15724</v>
      </c>
      <c r="AH648" s="13" t="n">
        <v>5752.7487</v>
      </c>
      <c r="AI648" s="13" t="n">
        <v>4939.8516</v>
      </c>
      <c r="AJ648" s="13" t="n">
        <v>4877.26713</v>
      </c>
      <c r="AK648" s="13" t="n">
        <v>5002.3146</v>
      </c>
      <c r="AL648" s="13" t="n">
        <v>5315.095298</v>
      </c>
      <c r="AM648" s="13" t="n">
        <v>6002.844925</v>
      </c>
      <c r="AN648" s="13" t="n">
        <v>6440.539062</v>
      </c>
      <c r="AO648" s="13" t="n">
        <v>7456.558902</v>
      </c>
      <c r="AP648" s="13" t="n">
        <v>5381.80128</v>
      </c>
      <c r="AQ648" s="13" t="n">
        <v>5641.148242</v>
      </c>
      <c r="AR648" s="13" t="n">
        <v>12578.92133</v>
      </c>
      <c r="AS648" s="13" t="n">
        <v>6289.479495</v>
      </c>
      <c r="AT648" s="13" t="n">
        <v>6483.992768</v>
      </c>
    </row>
    <row r="649" customFormat="false" ht="15" hidden="false" customHeight="true" outlineLevel="0" collapsed="false">
      <c r="A649" s="12" t="s">
        <v>1999</v>
      </c>
      <c r="B649" s="12" t="s">
        <v>2000</v>
      </c>
      <c r="C649" s="12" t="n">
        <v>1</v>
      </c>
      <c r="D649" s="12" t="s">
        <v>2001</v>
      </c>
      <c r="E649" s="13" t="n">
        <v>0</v>
      </c>
      <c r="F649" s="13" t="n">
        <v>0</v>
      </c>
      <c r="G649" s="13" t="n">
        <v>0</v>
      </c>
      <c r="H649" s="13" t="n">
        <v>0</v>
      </c>
      <c r="I649" s="13" t="n">
        <v>0</v>
      </c>
      <c r="J649" s="13" t="n">
        <v>0</v>
      </c>
      <c r="K649" s="13" t="n">
        <v>0</v>
      </c>
      <c r="L649" s="13" t="n">
        <v>0</v>
      </c>
      <c r="M649" s="13" t="n">
        <v>0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  <c r="V649" s="13" t="n">
        <v>0</v>
      </c>
      <c r="W649" s="13" t="n">
        <v>0</v>
      </c>
      <c r="X649" s="13" t="n">
        <v>0</v>
      </c>
      <c r="Y649" s="13" t="n">
        <v>0</v>
      </c>
      <c r="Z649" s="13" t="n">
        <v>0</v>
      </c>
      <c r="AA649" s="13" t="n">
        <v>0</v>
      </c>
      <c r="AB649" s="13" t="n">
        <v>749.923924</v>
      </c>
      <c r="AC649" s="13" t="n">
        <v>750.0636</v>
      </c>
      <c r="AD649" s="13" t="n">
        <v>749.9609</v>
      </c>
      <c r="AE649" s="13" t="n">
        <v>749.93688</v>
      </c>
      <c r="AF649" s="13" t="n">
        <v>749.914</v>
      </c>
      <c r="AG649" s="13" t="n">
        <v>749.92028</v>
      </c>
      <c r="AH649" s="13" t="n">
        <v>749.92335</v>
      </c>
      <c r="AI649" s="13" t="n">
        <v>750.0003</v>
      </c>
      <c r="AJ649" s="13" t="n">
        <v>750.03336</v>
      </c>
      <c r="AK649" s="13" t="n">
        <v>824.97465</v>
      </c>
      <c r="AL649" s="13" t="n">
        <v>975.054214</v>
      </c>
      <c r="AM649" s="13" t="n">
        <v>899.922298</v>
      </c>
      <c r="AN649" s="13" t="n">
        <v>975.054526</v>
      </c>
      <c r="AO649" s="13" t="n">
        <v>1010.965328</v>
      </c>
      <c r="AP649" s="13" t="n">
        <v>1088.68104</v>
      </c>
      <c r="AQ649" s="13" t="n">
        <v>1166.472266</v>
      </c>
      <c r="AR649" s="13" t="n">
        <v>1166.5829</v>
      </c>
      <c r="AS649" s="13" t="n">
        <v>933.165927</v>
      </c>
      <c r="AT649" s="13" t="n">
        <v>1011.067432</v>
      </c>
    </row>
    <row r="650" customFormat="false" ht="15" hidden="false" customHeight="true" outlineLevel="0" collapsed="false">
      <c r="A650" s="12" t="s">
        <v>2002</v>
      </c>
      <c r="B650" s="12" t="s">
        <v>213</v>
      </c>
      <c r="C650" s="12" t="n">
        <v>1</v>
      </c>
      <c r="D650" s="12" t="s">
        <v>2003</v>
      </c>
      <c r="E650" s="13" t="n">
        <v>0</v>
      </c>
      <c r="F650" s="13" t="n">
        <v>0</v>
      </c>
      <c r="G650" s="13" t="n">
        <v>0</v>
      </c>
      <c r="H650" s="13" t="n">
        <v>0</v>
      </c>
      <c r="I650" s="13" t="n">
        <v>0</v>
      </c>
      <c r="J650" s="13" t="n">
        <v>0</v>
      </c>
      <c r="K650" s="13" t="n">
        <v>0</v>
      </c>
      <c r="L650" s="13" t="n">
        <v>0</v>
      </c>
      <c r="M650" s="13" t="n">
        <v>0</v>
      </c>
      <c r="N650" s="13" t="n">
        <v>0</v>
      </c>
      <c r="O650" s="13" t="n">
        <v>0</v>
      </c>
      <c r="P650" s="13" t="n">
        <v>0</v>
      </c>
      <c r="Q650" s="13" t="n">
        <v>0</v>
      </c>
      <c r="R650" s="13" t="n">
        <v>0</v>
      </c>
      <c r="S650" s="13" t="n">
        <v>0</v>
      </c>
      <c r="T650" s="13" t="n">
        <v>0</v>
      </c>
      <c r="U650" s="13" t="n">
        <v>0</v>
      </c>
      <c r="V650" s="13" t="n">
        <v>0</v>
      </c>
      <c r="W650" s="13" t="n">
        <v>4149.838528</v>
      </c>
      <c r="X650" s="13" t="n">
        <v>5379.428144</v>
      </c>
      <c r="Y650" s="13" t="n">
        <v>5379.58205</v>
      </c>
      <c r="Z650" s="13" t="n">
        <v>5379.45144</v>
      </c>
      <c r="AA650" s="13" t="n">
        <v>5379.40422</v>
      </c>
      <c r="AB650" s="13" t="n">
        <v>5379.58109</v>
      </c>
      <c r="AC650" s="13" t="n">
        <v>5379.4884</v>
      </c>
      <c r="AD650" s="13" t="n">
        <v>6240.2988</v>
      </c>
      <c r="AE650" s="13" t="n">
        <v>5379.5826</v>
      </c>
      <c r="AF650" s="13" t="n">
        <v>462.088</v>
      </c>
      <c r="AG650" s="13" t="n">
        <v>461.99412</v>
      </c>
      <c r="AH650" s="13" t="n">
        <v>461.9271</v>
      </c>
      <c r="AI650" s="13" t="n">
        <v>462.03026</v>
      </c>
      <c r="AJ650" s="13" t="n">
        <v>462.06081</v>
      </c>
      <c r="AK650" s="13" t="n">
        <v>461.9271</v>
      </c>
      <c r="AL650" s="13" t="n">
        <v>0</v>
      </c>
      <c r="AM650" s="13" t="n">
        <v>0</v>
      </c>
      <c r="AN650" s="13" t="n">
        <v>0</v>
      </c>
      <c r="AO650" s="13" t="n">
        <v>0</v>
      </c>
      <c r="AP650" s="13" t="n">
        <v>0</v>
      </c>
      <c r="AQ650" s="13" t="n">
        <v>0</v>
      </c>
      <c r="AR650" s="13" t="n">
        <v>0</v>
      </c>
      <c r="AS650" s="13" t="n">
        <v>0</v>
      </c>
      <c r="AT650" s="13" t="n">
        <v>0</v>
      </c>
    </row>
    <row r="651" customFormat="false" ht="15" hidden="false" customHeight="true" outlineLevel="0" collapsed="false">
      <c r="A651" s="12" t="s">
        <v>2004</v>
      </c>
      <c r="B651" s="12" t="s">
        <v>2005</v>
      </c>
      <c r="C651" s="12" t="n">
        <v>1</v>
      </c>
      <c r="D651" s="12" t="s">
        <v>2006</v>
      </c>
      <c r="E651" s="13" t="n">
        <v>0</v>
      </c>
      <c r="F651" s="13" t="n">
        <v>0</v>
      </c>
      <c r="G651" s="13" t="n">
        <v>0</v>
      </c>
      <c r="H651" s="13" t="n">
        <v>0</v>
      </c>
      <c r="I651" s="13" t="n">
        <v>0</v>
      </c>
      <c r="J651" s="13" t="n">
        <v>0</v>
      </c>
      <c r="K651" s="13" t="n">
        <v>0</v>
      </c>
      <c r="L651" s="13" t="n">
        <v>0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0</v>
      </c>
      <c r="X651" s="13" t="n">
        <v>913.558886</v>
      </c>
      <c r="Y651" s="13" t="n">
        <v>913.49536</v>
      </c>
      <c r="Z651" s="13" t="n">
        <v>913.514448</v>
      </c>
      <c r="AA651" s="13" t="n">
        <v>913.50684</v>
      </c>
      <c r="AB651" s="13" t="n">
        <v>913.425956</v>
      </c>
      <c r="AC651" s="13" t="n">
        <v>913.4356</v>
      </c>
      <c r="AD651" s="13" t="n">
        <v>913.585</v>
      </c>
      <c r="AE651" s="13" t="n">
        <v>913.437</v>
      </c>
      <c r="AF651" s="13" t="n">
        <v>913.407</v>
      </c>
      <c r="AG651" s="13" t="n">
        <v>913.56732</v>
      </c>
      <c r="AH651" s="13" t="n">
        <v>913.46745</v>
      </c>
      <c r="AI651" s="13" t="n">
        <v>913.5342</v>
      </c>
      <c r="AJ651" s="13" t="n">
        <v>0</v>
      </c>
      <c r="AK651" s="13" t="n">
        <v>0</v>
      </c>
      <c r="AL651" s="13" t="n">
        <v>0</v>
      </c>
      <c r="AM651" s="13" t="n">
        <v>0</v>
      </c>
      <c r="AN651" s="13" t="n">
        <v>0</v>
      </c>
      <c r="AO651" s="13" t="n">
        <v>0</v>
      </c>
      <c r="AP651" s="13" t="n">
        <v>0</v>
      </c>
      <c r="AQ651" s="13" t="n">
        <v>0</v>
      </c>
      <c r="AR651" s="13" t="n">
        <v>0</v>
      </c>
      <c r="AS651" s="13" t="n">
        <v>0</v>
      </c>
      <c r="AT651" s="13" t="n">
        <v>0</v>
      </c>
    </row>
    <row r="652" customFormat="false" ht="15" hidden="false" customHeight="true" outlineLevel="0" collapsed="false">
      <c r="A652" s="12" t="s">
        <v>2007</v>
      </c>
      <c r="B652" s="12" t="s">
        <v>2008</v>
      </c>
      <c r="C652" s="12" t="n">
        <v>1</v>
      </c>
      <c r="D652" s="12" t="s">
        <v>2009</v>
      </c>
      <c r="E652" s="13" t="n">
        <v>0</v>
      </c>
      <c r="F652" s="13" t="n">
        <v>0</v>
      </c>
      <c r="G652" s="13" t="n">
        <v>0</v>
      </c>
      <c r="H652" s="13" t="n">
        <v>0</v>
      </c>
      <c r="I652" s="13" t="n">
        <v>0</v>
      </c>
      <c r="J652" s="13" t="n">
        <v>0</v>
      </c>
      <c r="K652" s="13" t="n">
        <v>0</v>
      </c>
      <c r="L652" s="13" t="n">
        <v>0</v>
      </c>
      <c r="M652" s="13" t="n">
        <v>0</v>
      </c>
      <c r="N652" s="13" t="n">
        <v>0</v>
      </c>
      <c r="O652" s="13" t="n">
        <v>0</v>
      </c>
      <c r="P652" s="13" t="n">
        <v>0</v>
      </c>
      <c r="Q652" s="13" t="n">
        <v>0</v>
      </c>
      <c r="R652" s="13" t="n">
        <v>0</v>
      </c>
      <c r="S652" s="13" t="n">
        <v>0</v>
      </c>
      <c r="T652" s="13" t="n">
        <v>0</v>
      </c>
      <c r="U652" s="13" t="n">
        <v>0</v>
      </c>
      <c r="V652" s="13" t="n">
        <v>0</v>
      </c>
      <c r="W652" s="13" t="n">
        <v>0</v>
      </c>
      <c r="X652" s="13" t="n">
        <v>0</v>
      </c>
      <c r="Y652" s="13" t="n">
        <v>0</v>
      </c>
      <c r="Z652" s="13" t="n">
        <v>0</v>
      </c>
      <c r="AA652" s="13" t="n">
        <v>0</v>
      </c>
      <c r="AB652" s="13" t="n">
        <v>0</v>
      </c>
      <c r="AC652" s="13" t="n">
        <v>0</v>
      </c>
      <c r="AD652" s="13" t="n">
        <v>0</v>
      </c>
      <c r="AE652" s="13" t="n">
        <v>0</v>
      </c>
      <c r="AF652" s="13" t="n">
        <v>0</v>
      </c>
      <c r="AG652" s="13" t="n">
        <v>0</v>
      </c>
      <c r="AH652" s="13" t="n">
        <v>0</v>
      </c>
      <c r="AI652" s="13" t="n">
        <v>0</v>
      </c>
      <c r="AJ652" s="13" t="n">
        <v>0</v>
      </c>
      <c r="AK652" s="13" t="n">
        <v>0</v>
      </c>
      <c r="AL652" s="13" t="n">
        <v>0</v>
      </c>
      <c r="AM652" s="13" t="n">
        <v>0</v>
      </c>
      <c r="AN652" s="13" t="n">
        <v>0</v>
      </c>
      <c r="AO652" s="13" t="n">
        <v>0</v>
      </c>
      <c r="AP652" s="13" t="n">
        <v>935.96544</v>
      </c>
      <c r="AQ652" s="13" t="n">
        <v>935.966337</v>
      </c>
      <c r="AR652" s="13" t="n">
        <v>863.97305</v>
      </c>
      <c r="AS652" s="13" t="n">
        <v>863.927127</v>
      </c>
      <c r="AT652" s="13" t="n">
        <v>864.053992</v>
      </c>
    </row>
    <row r="653" customFormat="false" ht="15" hidden="false" customHeight="true" outlineLevel="0" collapsed="false">
      <c r="A653" s="12" t="s">
        <v>2010</v>
      </c>
      <c r="B653" s="12" t="s">
        <v>2011</v>
      </c>
      <c r="C653" s="12" t="n">
        <v>1</v>
      </c>
      <c r="D653" s="12" t="s">
        <v>2012</v>
      </c>
      <c r="E653" s="13" t="n">
        <v>5840.577576</v>
      </c>
      <c r="F653" s="13" t="n">
        <v>5840.617188</v>
      </c>
      <c r="G653" s="13" t="n">
        <v>5072.066066</v>
      </c>
      <c r="H653" s="13" t="n">
        <v>4764.742218</v>
      </c>
      <c r="I653" s="13" t="n">
        <v>5072.170614</v>
      </c>
      <c r="J653" s="13" t="n">
        <v>5686.88486</v>
      </c>
      <c r="K653" s="13" t="n">
        <v>5533.205904</v>
      </c>
      <c r="L653" s="13" t="n">
        <v>5533.246362</v>
      </c>
      <c r="M653" s="13" t="n">
        <v>5533.134615</v>
      </c>
      <c r="N653" s="13" t="n">
        <v>5379.506772</v>
      </c>
      <c r="O653" s="13" t="n">
        <v>5379.533698</v>
      </c>
      <c r="P653" s="13" t="n">
        <v>5379.511851</v>
      </c>
      <c r="Q653" s="13" t="n">
        <v>5379.485076</v>
      </c>
      <c r="R653" s="13" t="n">
        <v>5379.57621</v>
      </c>
      <c r="S653" s="13" t="n">
        <v>5379.466815</v>
      </c>
      <c r="T653" s="13" t="n">
        <v>5379.584</v>
      </c>
      <c r="U653" s="13" t="n">
        <v>5379.577584</v>
      </c>
      <c r="V653" s="13" t="n">
        <v>5379.506964</v>
      </c>
      <c r="W653" s="13" t="n">
        <v>1229.651232</v>
      </c>
      <c r="X653" s="13" t="n">
        <v>0</v>
      </c>
      <c r="Y653" s="13" t="n">
        <v>0</v>
      </c>
      <c r="Z653" s="13" t="n">
        <v>0</v>
      </c>
      <c r="AA653" s="13" t="n">
        <v>0</v>
      </c>
      <c r="AB653" s="13" t="n">
        <v>0</v>
      </c>
      <c r="AC653" s="13" t="n">
        <v>0</v>
      </c>
      <c r="AD653" s="13" t="n">
        <v>0</v>
      </c>
      <c r="AE653" s="13" t="n">
        <v>0</v>
      </c>
      <c r="AF653" s="13" t="n">
        <v>0</v>
      </c>
      <c r="AG653" s="13" t="n">
        <v>0</v>
      </c>
      <c r="AH653" s="13" t="n">
        <v>0</v>
      </c>
      <c r="AI653" s="13" t="n">
        <v>0</v>
      </c>
      <c r="AJ653" s="13" t="n">
        <v>0</v>
      </c>
      <c r="AK653" s="13" t="n">
        <v>0</v>
      </c>
      <c r="AL653" s="13" t="n">
        <v>0</v>
      </c>
      <c r="AM653" s="13" t="n">
        <v>0</v>
      </c>
      <c r="AN653" s="13" t="n">
        <v>0</v>
      </c>
      <c r="AO653" s="13" t="n">
        <v>0</v>
      </c>
      <c r="AP653" s="13" t="n">
        <v>0</v>
      </c>
      <c r="AQ653" s="13" t="n">
        <v>0</v>
      </c>
      <c r="AR653" s="13" t="n">
        <v>0</v>
      </c>
      <c r="AS653" s="13" t="n">
        <v>0</v>
      </c>
      <c r="AT653" s="13" t="n">
        <v>0</v>
      </c>
    </row>
    <row r="654" customFormat="false" ht="15" hidden="false" customHeight="true" outlineLevel="0" collapsed="false">
      <c r="A654" s="12" t="s">
        <v>2013</v>
      </c>
      <c r="B654" s="12" t="s">
        <v>2014</v>
      </c>
      <c r="C654" s="12" t="n">
        <v>1</v>
      </c>
      <c r="D654" s="12" t="s">
        <v>2015</v>
      </c>
      <c r="E654" s="13" t="n">
        <v>0</v>
      </c>
      <c r="F654" s="13" t="n">
        <v>0</v>
      </c>
      <c r="G654" s="13" t="n">
        <v>0</v>
      </c>
      <c r="H654" s="13" t="n">
        <v>0</v>
      </c>
      <c r="I654" s="13" t="n">
        <v>0</v>
      </c>
      <c r="J654" s="13" t="n">
        <v>0</v>
      </c>
      <c r="K654" s="13" t="n">
        <v>0</v>
      </c>
      <c r="L654" s="13" t="n">
        <v>0</v>
      </c>
      <c r="M654" s="13" t="n">
        <v>0</v>
      </c>
      <c r="N654" s="13" t="n">
        <v>0</v>
      </c>
      <c r="O654" s="13" t="n">
        <v>0</v>
      </c>
      <c r="P654" s="13" t="n">
        <v>0</v>
      </c>
      <c r="Q654" s="13" t="n">
        <v>0</v>
      </c>
      <c r="R654" s="13" t="n">
        <v>0</v>
      </c>
      <c r="S654" s="13" t="n">
        <v>0</v>
      </c>
      <c r="T654" s="13" t="n">
        <v>0</v>
      </c>
      <c r="U654" s="13" t="n">
        <v>0</v>
      </c>
      <c r="V654" s="13" t="n">
        <v>0</v>
      </c>
      <c r="W654" s="13" t="n">
        <v>0</v>
      </c>
      <c r="X654" s="13" t="n">
        <v>0</v>
      </c>
      <c r="Y654" s="13" t="n">
        <v>0</v>
      </c>
      <c r="Z654" s="13" t="n">
        <v>0</v>
      </c>
      <c r="AA654" s="13" t="n">
        <v>0</v>
      </c>
      <c r="AB654" s="13" t="n">
        <v>0</v>
      </c>
      <c r="AC654" s="13" t="n">
        <v>0</v>
      </c>
      <c r="AD654" s="13" t="n">
        <v>0</v>
      </c>
      <c r="AE654" s="13" t="n">
        <v>0</v>
      </c>
      <c r="AF654" s="13" t="n">
        <v>3430.0244</v>
      </c>
      <c r="AG654" s="13" t="n">
        <v>3464.9559</v>
      </c>
      <c r="AH654" s="13" t="n">
        <v>2625.015</v>
      </c>
      <c r="AI654" s="13" t="n">
        <v>0</v>
      </c>
      <c r="AJ654" s="13" t="n">
        <v>0</v>
      </c>
      <c r="AK654" s="13" t="n">
        <v>0</v>
      </c>
      <c r="AL654" s="13" t="n">
        <v>0</v>
      </c>
      <c r="AM654" s="13" t="n">
        <v>0</v>
      </c>
      <c r="AN654" s="13" t="n">
        <v>0</v>
      </c>
      <c r="AO654" s="13" t="n">
        <v>0</v>
      </c>
      <c r="AP654" s="13" t="n">
        <v>0</v>
      </c>
      <c r="AQ654" s="13" t="n">
        <v>0</v>
      </c>
      <c r="AR654" s="13" t="n">
        <v>0</v>
      </c>
      <c r="AS654" s="13" t="n">
        <v>0</v>
      </c>
      <c r="AT654" s="13" t="n">
        <v>0</v>
      </c>
    </row>
    <row r="655" customFormat="false" ht="15" hidden="false" customHeight="true" outlineLevel="0" collapsed="false">
      <c r="A655" s="12" t="s">
        <v>2016</v>
      </c>
      <c r="B655" s="12" t="s">
        <v>2017</v>
      </c>
      <c r="C655" s="12" t="n">
        <v>1</v>
      </c>
      <c r="D655" s="12" t="s">
        <v>2018</v>
      </c>
      <c r="E655" s="13" t="n">
        <v>0</v>
      </c>
      <c r="F655" s="13" t="n">
        <v>0</v>
      </c>
      <c r="G655" s="13" t="n">
        <v>0</v>
      </c>
      <c r="H655" s="13" t="n">
        <v>0</v>
      </c>
      <c r="I655" s="13" t="n">
        <v>0</v>
      </c>
      <c r="J655" s="13" t="n">
        <v>0</v>
      </c>
      <c r="K655" s="13" t="n">
        <v>0</v>
      </c>
      <c r="L655" s="13" t="n">
        <v>0</v>
      </c>
      <c r="M655" s="13" t="n">
        <v>0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0</v>
      </c>
      <c r="X655" s="13" t="n">
        <v>0</v>
      </c>
      <c r="Y655" s="13" t="n">
        <v>0</v>
      </c>
      <c r="Z655" s="13" t="n">
        <v>0</v>
      </c>
      <c r="AA655" s="13" t="n">
        <v>0</v>
      </c>
      <c r="AB655" s="13" t="n">
        <v>0</v>
      </c>
      <c r="AC655" s="13" t="n">
        <v>0</v>
      </c>
      <c r="AD655" s="13" t="n">
        <v>0</v>
      </c>
      <c r="AE655" s="13" t="n">
        <v>0</v>
      </c>
      <c r="AF655" s="13" t="n">
        <v>0</v>
      </c>
      <c r="AG655" s="13" t="n">
        <v>0</v>
      </c>
      <c r="AH655" s="13" t="n">
        <v>0</v>
      </c>
      <c r="AI655" s="13" t="n">
        <v>0</v>
      </c>
      <c r="AJ655" s="13" t="n">
        <v>0</v>
      </c>
      <c r="AK655" s="13" t="n">
        <v>0</v>
      </c>
      <c r="AL655" s="13" t="n">
        <v>0</v>
      </c>
      <c r="AM655" s="13" t="n">
        <v>0</v>
      </c>
      <c r="AN655" s="13" t="n">
        <v>0</v>
      </c>
      <c r="AO655" s="13" t="n">
        <v>0</v>
      </c>
      <c r="AP655" s="13" t="n">
        <v>0</v>
      </c>
      <c r="AQ655" s="13" t="n">
        <v>0</v>
      </c>
      <c r="AR655" s="13" t="n">
        <v>0</v>
      </c>
      <c r="AS655" s="13" t="n">
        <v>0</v>
      </c>
      <c r="AT655" s="13" t="n">
        <v>194.967824</v>
      </c>
    </row>
    <row r="656" customFormat="false" ht="15" hidden="false" customHeight="true" outlineLevel="0" collapsed="false">
      <c r="A656" s="12" t="s">
        <v>2019</v>
      </c>
      <c r="B656" s="12" t="s">
        <v>2020</v>
      </c>
      <c r="C656" s="12" t="n">
        <v>1</v>
      </c>
      <c r="D656" s="12" t="s">
        <v>2021</v>
      </c>
      <c r="E656" s="13" t="n">
        <v>0</v>
      </c>
      <c r="F656" s="13" t="n">
        <v>0</v>
      </c>
      <c r="G656" s="13" t="n">
        <v>0</v>
      </c>
      <c r="H656" s="13" t="n">
        <v>2880.058842</v>
      </c>
      <c r="I656" s="13" t="n">
        <v>2959.915021</v>
      </c>
      <c r="J656" s="13" t="n">
        <v>3080.025325</v>
      </c>
      <c r="K656" s="13" t="n">
        <v>3159.94854</v>
      </c>
      <c r="L656" s="13" t="n">
        <v>2839.971099</v>
      </c>
      <c r="M656" s="13" t="n">
        <v>2520.060705</v>
      </c>
      <c r="N656" s="13" t="n">
        <v>3040.088028</v>
      </c>
      <c r="O656" s="13" t="n">
        <v>3000.025286</v>
      </c>
      <c r="P656" s="13" t="n">
        <v>2600.004344</v>
      </c>
      <c r="Q656" s="13" t="n">
        <v>3107.986686</v>
      </c>
      <c r="R656" s="13" t="n">
        <v>3731.001918</v>
      </c>
      <c r="S656" s="13" t="n">
        <v>4945.94031</v>
      </c>
      <c r="T656" s="13" t="n">
        <v>4222.97344</v>
      </c>
      <c r="U656" s="13" t="n">
        <v>5340.9195</v>
      </c>
      <c r="V656" s="13" t="n">
        <v>4141.072572</v>
      </c>
      <c r="W656" s="13" t="n">
        <v>4059.086592</v>
      </c>
      <c r="X656" s="13" t="n">
        <v>4058.961762</v>
      </c>
      <c r="Y656" s="13" t="n">
        <v>3813.055632</v>
      </c>
      <c r="Z656" s="13" t="n">
        <v>3607.951072</v>
      </c>
      <c r="AA656" s="13" t="n">
        <v>3607.90302</v>
      </c>
      <c r="AB656" s="13" t="n">
        <v>3526.01845</v>
      </c>
      <c r="AC656" s="13" t="n">
        <v>3845.6528</v>
      </c>
      <c r="AD656" s="13" t="n">
        <v>5127.5728</v>
      </c>
      <c r="AE656" s="13" t="n">
        <v>4956.64596</v>
      </c>
      <c r="AF656" s="13" t="n">
        <v>5298.5438</v>
      </c>
      <c r="AG656" s="13" t="n">
        <v>4657.5723</v>
      </c>
      <c r="AH656" s="13" t="n">
        <v>4358.46915</v>
      </c>
      <c r="AI656" s="13" t="n">
        <v>4059.40012</v>
      </c>
      <c r="AJ656" s="13" t="n">
        <v>3888.46818</v>
      </c>
      <c r="AK656" s="13" t="n">
        <v>3760.17465</v>
      </c>
      <c r="AL656" s="13" t="n">
        <v>3503.859344</v>
      </c>
      <c r="AM656" s="13" t="n">
        <v>3674.713289</v>
      </c>
      <c r="AN656" s="13" t="n">
        <v>3546.666426</v>
      </c>
      <c r="AO656" s="13" t="n">
        <v>3278.913638</v>
      </c>
      <c r="AP656" s="13" t="n">
        <v>3367.5084</v>
      </c>
      <c r="AQ656" s="13" t="n">
        <v>3946.486035</v>
      </c>
      <c r="AR656" s="13" t="n">
        <v>4070.234052</v>
      </c>
      <c r="AS656" s="13" t="n">
        <v>3977.595963</v>
      </c>
      <c r="AT656" s="13" t="n">
        <v>3404.236216</v>
      </c>
    </row>
    <row r="657" customFormat="false" ht="15" hidden="false" customHeight="true" outlineLevel="0" collapsed="false">
      <c r="A657" s="12" t="s">
        <v>2022</v>
      </c>
      <c r="B657" s="12" t="s">
        <v>2023</v>
      </c>
      <c r="C657" s="12" t="n">
        <v>1</v>
      </c>
      <c r="D657" s="12" t="s">
        <v>2024</v>
      </c>
      <c r="E657" s="13" t="n">
        <v>0</v>
      </c>
      <c r="F657" s="13" t="n">
        <v>0</v>
      </c>
      <c r="G657" s="13" t="n">
        <v>0</v>
      </c>
      <c r="H657" s="13" t="n">
        <v>0</v>
      </c>
      <c r="I657" s="13" t="n">
        <v>0</v>
      </c>
      <c r="J657" s="13" t="n">
        <v>0</v>
      </c>
      <c r="K657" s="13" t="n">
        <v>0</v>
      </c>
      <c r="L657" s="13" t="n">
        <v>0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0</v>
      </c>
      <c r="X657" s="13" t="n">
        <v>0</v>
      </c>
      <c r="Y657" s="13" t="n">
        <v>0</v>
      </c>
      <c r="Z657" s="13" t="n">
        <v>0</v>
      </c>
      <c r="AA657" s="13" t="n">
        <v>0</v>
      </c>
      <c r="AB657" s="13" t="n">
        <v>0</v>
      </c>
      <c r="AC657" s="13" t="n">
        <v>0</v>
      </c>
      <c r="AD657" s="13" t="n">
        <v>0</v>
      </c>
      <c r="AE657" s="13" t="n">
        <v>0</v>
      </c>
      <c r="AF657" s="13" t="n">
        <v>4025.0606</v>
      </c>
      <c r="AG657" s="13" t="n">
        <v>4024.98386</v>
      </c>
      <c r="AH657" s="13" t="n">
        <v>4024.96005</v>
      </c>
      <c r="AI657" s="13" t="n">
        <v>4025.00161</v>
      </c>
      <c r="AJ657" s="13" t="n">
        <v>4025.09205</v>
      </c>
      <c r="AK657" s="13" t="n">
        <v>4025.07645</v>
      </c>
      <c r="AL657" s="13" t="n">
        <v>4025.091574</v>
      </c>
      <c r="AM657" s="13" t="n">
        <v>4025.070319</v>
      </c>
      <c r="AN657" s="13" t="n">
        <v>4025.022206</v>
      </c>
      <c r="AO657" s="13" t="n">
        <v>4025.069494</v>
      </c>
      <c r="AP657" s="13" t="n">
        <v>4024.962</v>
      </c>
      <c r="AQ657" s="13" t="n">
        <v>4025.071717</v>
      </c>
      <c r="AR657" s="13" t="n">
        <v>3449.927716</v>
      </c>
      <c r="AS657" s="13" t="n">
        <v>3449.996307</v>
      </c>
      <c r="AT657" s="13" t="n">
        <v>3449.915392</v>
      </c>
    </row>
    <row r="658" customFormat="false" ht="15" hidden="false" customHeight="true" outlineLevel="0" collapsed="false">
      <c r="A658" s="12" t="s">
        <v>2025</v>
      </c>
      <c r="B658" s="12" t="s">
        <v>2026</v>
      </c>
      <c r="C658" s="12" t="n">
        <v>1</v>
      </c>
      <c r="D658" s="12" t="s">
        <v>2027</v>
      </c>
      <c r="E658" s="13" t="n">
        <v>0</v>
      </c>
      <c r="F658" s="13" t="n">
        <v>0</v>
      </c>
      <c r="G658" s="13" t="n">
        <v>0</v>
      </c>
      <c r="H658" s="13" t="n">
        <v>0</v>
      </c>
      <c r="I658" s="13" t="n">
        <v>0</v>
      </c>
      <c r="J658" s="13" t="n">
        <v>0</v>
      </c>
      <c r="K658" s="13" t="n">
        <v>0</v>
      </c>
      <c r="L658" s="13" t="n">
        <v>0</v>
      </c>
      <c r="M658" s="13" t="n">
        <v>0</v>
      </c>
      <c r="N658" s="13" t="n">
        <v>0</v>
      </c>
      <c r="O658" s="13" t="n">
        <v>0</v>
      </c>
      <c r="P658" s="13" t="n">
        <v>0</v>
      </c>
      <c r="Q658" s="13" t="n">
        <v>0</v>
      </c>
      <c r="R658" s="13" t="n">
        <v>0</v>
      </c>
      <c r="S658" s="13" t="n">
        <v>0</v>
      </c>
      <c r="T658" s="13" t="n">
        <v>0</v>
      </c>
      <c r="U658" s="13" t="n">
        <v>0</v>
      </c>
      <c r="V658" s="13" t="n">
        <v>0</v>
      </c>
      <c r="W658" s="13" t="n">
        <v>0</v>
      </c>
      <c r="X658" s="13" t="n">
        <v>0</v>
      </c>
      <c r="Y658" s="13" t="n">
        <v>0</v>
      </c>
      <c r="Z658" s="13" t="n">
        <v>0</v>
      </c>
      <c r="AA658" s="13" t="n">
        <v>0</v>
      </c>
      <c r="AB658" s="13" t="n">
        <v>0</v>
      </c>
      <c r="AC658" s="13" t="n">
        <v>0</v>
      </c>
      <c r="AD658" s="13" t="n">
        <v>0</v>
      </c>
      <c r="AE658" s="13" t="n">
        <v>0</v>
      </c>
      <c r="AF658" s="13" t="n">
        <v>0</v>
      </c>
      <c r="AG658" s="13" t="n">
        <v>0</v>
      </c>
      <c r="AH658" s="13" t="n">
        <v>0</v>
      </c>
      <c r="AI658" s="13" t="n">
        <v>0</v>
      </c>
      <c r="AJ658" s="13" t="n">
        <v>0</v>
      </c>
      <c r="AK658" s="13" t="n">
        <v>0</v>
      </c>
      <c r="AL658" s="13" t="n">
        <v>0</v>
      </c>
      <c r="AM658" s="13" t="n">
        <v>0</v>
      </c>
      <c r="AN658" s="13" t="n">
        <v>0</v>
      </c>
      <c r="AO658" s="13" t="n">
        <v>0</v>
      </c>
      <c r="AP658" s="13" t="n">
        <v>0</v>
      </c>
      <c r="AQ658" s="13" t="n">
        <v>3899.950274</v>
      </c>
      <c r="AR658" s="13" t="n">
        <v>4000.063652</v>
      </c>
      <c r="AS658" s="13" t="n">
        <v>4399.952643</v>
      </c>
      <c r="AT658" s="13" t="n">
        <v>3900.056544</v>
      </c>
    </row>
    <row r="659" customFormat="false" ht="15" hidden="false" customHeight="true" outlineLevel="0" collapsed="false">
      <c r="A659" s="12" t="s">
        <v>2028</v>
      </c>
      <c r="B659" s="12" t="s">
        <v>2029</v>
      </c>
      <c r="C659" s="12" t="n">
        <v>1</v>
      </c>
      <c r="D659" s="12" t="s">
        <v>2030</v>
      </c>
      <c r="E659" s="13" t="n">
        <v>0</v>
      </c>
      <c r="F659" s="13" t="n">
        <v>0</v>
      </c>
      <c r="G659" s="13" t="n">
        <v>0</v>
      </c>
      <c r="H659" s="13" t="n">
        <v>4769.973441</v>
      </c>
      <c r="I659" s="13" t="n">
        <v>4769.940084</v>
      </c>
      <c r="J659" s="13" t="n">
        <v>0</v>
      </c>
      <c r="K659" s="13" t="n">
        <v>0</v>
      </c>
      <c r="L659" s="13" t="n">
        <v>0</v>
      </c>
      <c r="M659" s="13" t="n">
        <v>0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0</v>
      </c>
      <c r="W659" s="13" t="n">
        <v>0</v>
      </c>
      <c r="X659" s="13" t="n">
        <v>0</v>
      </c>
      <c r="Y659" s="13" t="n">
        <v>0</v>
      </c>
      <c r="Z659" s="13" t="n">
        <v>0</v>
      </c>
      <c r="AA659" s="13" t="n">
        <v>0</v>
      </c>
      <c r="AB659" s="13" t="n">
        <v>0</v>
      </c>
      <c r="AC659" s="13" t="n">
        <v>0</v>
      </c>
      <c r="AD659" s="13" t="n">
        <v>0</v>
      </c>
      <c r="AE659" s="13" t="n">
        <v>0</v>
      </c>
      <c r="AF659" s="13" t="n">
        <v>0</v>
      </c>
      <c r="AG659" s="13" t="n">
        <v>0</v>
      </c>
      <c r="AH659" s="13" t="n">
        <v>0</v>
      </c>
      <c r="AI659" s="13" t="n">
        <v>0</v>
      </c>
      <c r="AJ659" s="13" t="n">
        <v>0</v>
      </c>
      <c r="AK659" s="13" t="n">
        <v>0</v>
      </c>
      <c r="AL659" s="13" t="n">
        <v>0</v>
      </c>
      <c r="AM659" s="13" t="n">
        <v>0</v>
      </c>
      <c r="AN659" s="13" t="n">
        <v>0</v>
      </c>
      <c r="AO659" s="13" t="n">
        <v>0</v>
      </c>
      <c r="AP659" s="13" t="n">
        <v>0</v>
      </c>
      <c r="AQ659" s="13" t="n">
        <v>0</v>
      </c>
      <c r="AR659" s="13" t="n">
        <v>0</v>
      </c>
      <c r="AS659" s="13" t="n">
        <v>0</v>
      </c>
      <c r="AT659" s="13" t="n">
        <v>0</v>
      </c>
    </row>
    <row r="660" customFormat="false" ht="15" hidden="false" customHeight="true" outlineLevel="0" collapsed="false">
      <c r="A660" s="12" t="s">
        <v>2031</v>
      </c>
      <c r="B660" s="12" t="s">
        <v>2032</v>
      </c>
      <c r="C660" s="12" t="n">
        <v>1</v>
      </c>
      <c r="D660" s="12" t="s">
        <v>2033</v>
      </c>
      <c r="E660" s="13" t="n">
        <v>0</v>
      </c>
      <c r="F660" s="13" t="n">
        <v>0</v>
      </c>
      <c r="G660" s="13" t="n">
        <v>0</v>
      </c>
      <c r="H660" s="13" t="n">
        <v>0</v>
      </c>
      <c r="I660" s="13" t="n">
        <v>0</v>
      </c>
      <c r="J660" s="13" t="n">
        <v>0</v>
      </c>
      <c r="K660" s="13" t="n">
        <v>0</v>
      </c>
      <c r="L660" s="13" t="n">
        <v>0</v>
      </c>
      <c r="M660" s="13" t="n">
        <v>0</v>
      </c>
      <c r="N660" s="13" t="n">
        <v>0</v>
      </c>
      <c r="O660" s="13" t="n">
        <v>0</v>
      </c>
      <c r="P660" s="13" t="n">
        <v>0</v>
      </c>
      <c r="Q660" s="13" t="n">
        <v>1702.336095</v>
      </c>
      <c r="R660" s="13" t="n">
        <v>2943.980346</v>
      </c>
      <c r="S660" s="13" t="n">
        <v>2431.949715</v>
      </c>
      <c r="T660" s="13" t="n">
        <v>2079.99232</v>
      </c>
      <c r="U660" s="13" t="n">
        <v>2719.969226</v>
      </c>
      <c r="V660" s="13" t="n">
        <v>2080.02444</v>
      </c>
      <c r="W660" s="13" t="n">
        <v>2079.981872</v>
      </c>
      <c r="X660" s="13" t="n">
        <v>2079.947722</v>
      </c>
      <c r="Y660" s="13" t="n">
        <v>3615.984758</v>
      </c>
      <c r="Z660" s="13" t="n">
        <v>2688.021776</v>
      </c>
      <c r="AA660" s="13" t="n">
        <v>2848.07595</v>
      </c>
      <c r="AB660" s="13" t="n">
        <v>0</v>
      </c>
      <c r="AC660" s="13" t="n">
        <v>0</v>
      </c>
      <c r="AD660" s="13" t="n">
        <v>0</v>
      </c>
      <c r="AE660" s="13" t="n">
        <v>0</v>
      </c>
      <c r="AF660" s="13" t="n">
        <v>0</v>
      </c>
      <c r="AG660" s="13" t="n">
        <v>0</v>
      </c>
      <c r="AH660" s="13" t="n">
        <v>0</v>
      </c>
      <c r="AI660" s="13" t="n">
        <v>0</v>
      </c>
      <c r="AJ660" s="13" t="n">
        <v>0</v>
      </c>
      <c r="AK660" s="13" t="n">
        <v>0</v>
      </c>
      <c r="AL660" s="13" t="n">
        <v>0</v>
      </c>
      <c r="AM660" s="13" t="n">
        <v>0</v>
      </c>
      <c r="AN660" s="13" t="n">
        <v>0</v>
      </c>
      <c r="AO660" s="13" t="n">
        <v>0</v>
      </c>
      <c r="AP660" s="13" t="n">
        <v>0</v>
      </c>
      <c r="AQ660" s="13" t="n">
        <v>0</v>
      </c>
      <c r="AR660" s="13" t="n">
        <v>0</v>
      </c>
      <c r="AS660" s="13" t="n">
        <v>0</v>
      </c>
      <c r="AT660" s="13" t="n">
        <v>0</v>
      </c>
    </row>
    <row r="661" customFormat="false" ht="15" hidden="false" customHeight="true" outlineLevel="0" collapsed="false">
      <c r="A661" s="12" t="s">
        <v>2034</v>
      </c>
      <c r="B661" s="12" t="s">
        <v>2035</v>
      </c>
      <c r="C661" s="12" t="n">
        <v>1</v>
      </c>
      <c r="D661" s="12" t="s">
        <v>2036</v>
      </c>
      <c r="E661" s="13" t="n">
        <v>0</v>
      </c>
      <c r="F661" s="13" t="n">
        <v>0</v>
      </c>
      <c r="G661" s="13" t="n">
        <v>0</v>
      </c>
      <c r="H661" s="13" t="n">
        <v>0</v>
      </c>
      <c r="I661" s="13" t="n">
        <v>0</v>
      </c>
      <c r="J661" s="13" t="n">
        <v>0</v>
      </c>
      <c r="K661" s="13" t="n">
        <v>0</v>
      </c>
      <c r="L661" s="13" t="n">
        <v>0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  <c r="V661" s="13" t="n">
        <v>0</v>
      </c>
      <c r="W661" s="13" t="n">
        <v>3000.064</v>
      </c>
      <c r="X661" s="13" t="n">
        <v>3000.050442</v>
      </c>
      <c r="Y661" s="13" t="n">
        <v>2999.966012</v>
      </c>
      <c r="Z661" s="13" t="n">
        <v>2999.94376</v>
      </c>
      <c r="AA661" s="13" t="n">
        <v>2999.91891</v>
      </c>
      <c r="AB661" s="13" t="n">
        <v>3000.100404</v>
      </c>
      <c r="AC661" s="13" t="n">
        <v>3000.0476</v>
      </c>
      <c r="AD661" s="13" t="n">
        <v>3000.0489</v>
      </c>
      <c r="AE661" s="13" t="n">
        <v>2999.95164</v>
      </c>
      <c r="AF661" s="13" t="n">
        <v>0</v>
      </c>
      <c r="AG661" s="13" t="n">
        <v>0</v>
      </c>
      <c r="AH661" s="13" t="n">
        <v>0</v>
      </c>
      <c r="AI661" s="13" t="n">
        <v>0</v>
      </c>
      <c r="AJ661" s="13" t="n">
        <v>0</v>
      </c>
      <c r="AK661" s="13" t="n">
        <v>0</v>
      </c>
      <c r="AL661" s="13" t="n">
        <v>0</v>
      </c>
      <c r="AM661" s="13" t="n">
        <v>0</v>
      </c>
      <c r="AN661" s="13" t="n">
        <v>0</v>
      </c>
      <c r="AO661" s="13" t="n">
        <v>0</v>
      </c>
      <c r="AP661" s="13" t="n">
        <v>0</v>
      </c>
      <c r="AQ661" s="13" t="n">
        <v>0</v>
      </c>
      <c r="AR661" s="13" t="n">
        <v>0</v>
      </c>
      <c r="AS661" s="13" t="n">
        <v>0</v>
      </c>
      <c r="AT661" s="13" t="n">
        <v>0</v>
      </c>
    </row>
    <row r="662" customFormat="false" ht="15" hidden="false" customHeight="true" outlineLevel="0" collapsed="false">
      <c r="A662" s="12" t="s">
        <v>2037</v>
      </c>
      <c r="B662" s="12" t="s">
        <v>2038</v>
      </c>
      <c r="C662" s="12" t="n">
        <v>1</v>
      </c>
      <c r="D662" s="12" t="s">
        <v>2039</v>
      </c>
      <c r="E662" s="13" t="n">
        <v>0</v>
      </c>
      <c r="F662" s="13" t="n">
        <v>0</v>
      </c>
      <c r="G662" s="13" t="n">
        <v>0</v>
      </c>
      <c r="H662" s="13" t="n">
        <v>0</v>
      </c>
      <c r="I662" s="13" t="n">
        <v>0</v>
      </c>
      <c r="J662" s="13" t="n">
        <v>0</v>
      </c>
      <c r="K662" s="13" t="n">
        <v>0</v>
      </c>
      <c r="L662" s="13" t="n">
        <v>0</v>
      </c>
      <c r="M662" s="13" t="n">
        <v>0</v>
      </c>
      <c r="N662" s="13" t="n">
        <v>0</v>
      </c>
      <c r="O662" s="13" t="n">
        <v>0</v>
      </c>
      <c r="P662" s="13" t="n">
        <v>0</v>
      </c>
      <c r="Q662" s="13" t="n">
        <v>0</v>
      </c>
      <c r="R662" s="13" t="n">
        <v>0</v>
      </c>
      <c r="S662" s="13" t="n">
        <v>0</v>
      </c>
      <c r="T662" s="13" t="n">
        <v>0</v>
      </c>
      <c r="U662" s="13" t="n">
        <v>0</v>
      </c>
      <c r="V662" s="13" t="n">
        <v>0</v>
      </c>
      <c r="W662" s="13" t="n">
        <v>0</v>
      </c>
      <c r="X662" s="13" t="n">
        <v>0</v>
      </c>
      <c r="Y662" s="13" t="n">
        <v>0</v>
      </c>
      <c r="Z662" s="13" t="n">
        <v>0</v>
      </c>
      <c r="AA662" s="13" t="n">
        <v>0</v>
      </c>
      <c r="AB662" s="13" t="n">
        <v>0</v>
      </c>
      <c r="AC662" s="13" t="n">
        <v>0</v>
      </c>
      <c r="AD662" s="13" t="n">
        <v>0</v>
      </c>
      <c r="AE662" s="13" t="n">
        <v>0</v>
      </c>
      <c r="AF662" s="13" t="n">
        <v>0</v>
      </c>
      <c r="AG662" s="13" t="n">
        <v>0</v>
      </c>
      <c r="AH662" s="13" t="n">
        <v>0</v>
      </c>
      <c r="AI662" s="13" t="n">
        <v>0</v>
      </c>
      <c r="AJ662" s="13" t="n">
        <v>0</v>
      </c>
      <c r="AK662" s="13" t="n">
        <v>0</v>
      </c>
      <c r="AL662" s="13" t="n">
        <v>0</v>
      </c>
      <c r="AM662" s="13" t="n">
        <v>0</v>
      </c>
      <c r="AN662" s="13" t="n">
        <v>0</v>
      </c>
      <c r="AO662" s="13" t="n">
        <v>0</v>
      </c>
      <c r="AP662" s="13" t="n">
        <v>0</v>
      </c>
      <c r="AQ662" s="13" t="n">
        <v>0</v>
      </c>
      <c r="AR662" s="13" t="n">
        <v>0</v>
      </c>
      <c r="AS662" s="13" t="n">
        <v>0</v>
      </c>
      <c r="AT662" s="13" t="n">
        <v>0</v>
      </c>
    </row>
    <row r="663" customFormat="false" ht="15" hidden="false" customHeight="true" outlineLevel="0" collapsed="false">
      <c r="A663" s="12" t="s">
        <v>2040</v>
      </c>
      <c r="B663" s="12" t="s">
        <v>2041</v>
      </c>
      <c r="C663" s="12" t="n">
        <v>1</v>
      </c>
      <c r="D663" s="12" t="s">
        <v>2042</v>
      </c>
      <c r="E663" s="13" t="n">
        <v>2807.601588</v>
      </c>
      <c r="F663" s="13" t="n">
        <v>2807.684682</v>
      </c>
      <c r="G663" s="13" t="n">
        <v>2807.718536</v>
      </c>
      <c r="H663" s="13" t="n">
        <v>3150.098181</v>
      </c>
      <c r="I663" s="13" t="n">
        <v>2602.187189</v>
      </c>
      <c r="J663" s="13" t="n">
        <v>2739.263845</v>
      </c>
      <c r="K663" s="13" t="n">
        <v>2396.788008</v>
      </c>
      <c r="L663" s="13" t="n">
        <v>2670.668028</v>
      </c>
      <c r="M663" s="13" t="n">
        <v>2533.809375</v>
      </c>
      <c r="N663" s="13" t="n">
        <v>2328.397386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  <c r="V663" s="13" t="n">
        <v>0</v>
      </c>
      <c r="W663" s="13" t="n">
        <v>0</v>
      </c>
      <c r="X663" s="13" t="n">
        <v>0</v>
      </c>
      <c r="Y663" s="13" t="n">
        <v>0</v>
      </c>
      <c r="Z663" s="13" t="n">
        <v>0</v>
      </c>
      <c r="AA663" s="13" t="n">
        <v>0</v>
      </c>
      <c r="AB663" s="13" t="n">
        <v>0</v>
      </c>
      <c r="AC663" s="13" t="n">
        <v>0</v>
      </c>
      <c r="AD663" s="13" t="n">
        <v>0</v>
      </c>
      <c r="AE663" s="13" t="n">
        <v>0</v>
      </c>
      <c r="AF663" s="13" t="n">
        <v>0</v>
      </c>
      <c r="AG663" s="13" t="n">
        <v>0</v>
      </c>
      <c r="AH663" s="13" t="n">
        <v>0</v>
      </c>
      <c r="AI663" s="13" t="n">
        <v>0</v>
      </c>
      <c r="AJ663" s="13" t="n">
        <v>0</v>
      </c>
      <c r="AK663" s="13" t="n">
        <v>0</v>
      </c>
      <c r="AL663" s="13" t="n">
        <v>0</v>
      </c>
      <c r="AM663" s="13" t="n">
        <v>0</v>
      </c>
      <c r="AN663" s="13" t="n">
        <v>0</v>
      </c>
      <c r="AO663" s="13" t="n">
        <v>0</v>
      </c>
      <c r="AP663" s="13" t="n">
        <v>0</v>
      </c>
      <c r="AQ663" s="13" t="n">
        <v>0</v>
      </c>
      <c r="AR663" s="13" t="n">
        <v>0</v>
      </c>
      <c r="AS663" s="13" t="n">
        <v>0</v>
      </c>
      <c r="AT663" s="13" t="n">
        <v>0</v>
      </c>
    </row>
    <row r="664" customFormat="false" ht="15" hidden="false" customHeight="true" outlineLevel="0" collapsed="false">
      <c r="A664" s="12" t="s">
        <v>2043</v>
      </c>
      <c r="B664" s="12" t="s">
        <v>2044</v>
      </c>
      <c r="C664" s="12" t="n">
        <v>1</v>
      </c>
      <c r="D664" s="12" t="s">
        <v>2045</v>
      </c>
      <c r="E664" s="13" t="n">
        <v>23752.208016</v>
      </c>
      <c r="F664" s="13" t="n">
        <v>23752.23582</v>
      </c>
      <c r="G664" s="13" t="n">
        <v>23752.299678</v>
      </c>
      <c r="H664" s="13" t="n">
        <v>23752.277838</v>
      </c>
      <c r="I664" s="13" t="n">
        <v>23752.315027</v>
      </c>
      <c r="J664" s="13" t="n">
        <v>23752.204185</v>
      </c>
      <c r="K664" s="13" t="n">
        <v>29759.756184</v>
      </c>
      <c r="L664" s="13" t="n">
        <v>29759.829232</v>
      </c>
      <c r="M664" s="13" t="n">
        <v>29759.87754</v>
      </c>
      <c r="N664" s="13" t="n">
        <v>29759.834736</v>
      </c>
      <c r="O664" s="13" t="n">
        <v>29759.858497</v>
      </c>
      <c r="P664" s="13" t="n">
        <v>29759.797249</v>
      </c>
      <c r="Q664" s="13" t="n">
        <v>25397.000253</v>
      </c>
      <c r="R664" s="13" t="n">
        <v>47281.979085</v>
      </c>
      <c r="S664" s="13" t="n">
        <v>47282.01168</v>
      </c>
      <c r="T664" s="13" t="n">
        <v>47281.94688</v>
      </c>
      <c r="U664" s="13" t="n">
        <v>47282.058239</v>
      </c>
      <c r="V664" s="13" t="n">
        <v>47281.958568</v>
      </c>
      <c r="W664" s="13" t="n">
        <v>21885.091872</v>
      </c>
      <c r="X664" s="13" t="n">
        <v>0</v>
      </c>
      <c r="Y664" s="13" t="n">
        <v>0</v>
      </c>
      <c r="Z664" s="13" t="n">
        <v>0</v>
      </c>
      <c r="AA664" s="13" t="n">
        <v>0</v>
      </c>
      <c r="AB664" s="13" t="n">
        <v>30597.543632</v>
      </c>
      <c r="AC664" s="13" t="n">
        <v>0</v>
      </c>
      <c r="AD664" s="13" t="n">
        <v>0</v>
      </c>
      <c r="AE664" s="13" t="n">
        <v>0</v>
      </c>
      <c r="AF664" s="13" t="n">
        <v>0</v>
      </c>
      <c r="AG664" s="13" t="n">
        <v>0</v>
      </c>
      <c r="AH664" s="13" t="n">
        <v>0</v>
      </c>
      <c r="AI664" s="13" t="n">
        <v>25801.89002</v>
      </c>
      <c r="AJ664" s="13" t="n">
        <v>25801.9677</v>
      </c>
      <c r="AK664" s="13" t="n">
        <v>25801.8756</v>
      </c>
      <c r="AL664" s="13" t="n">
        <v>25801.91629</v>
      </c>
      <c r="AM664" s="13" t="n">
        <v>25801.869213</v>
      </c>
      <c r="AN664" s="13" t="n">
        <v>25801.899341</v>
      </c>
      <c r="AO664" s="13" t="n">
        <v>25815.647882</v>
      </c>
      <c r="AP664" s="13" t="n">
        <v>25815.66624</v>
      </c>
      <c r="AQ664" s="13" t="n">
        <v>25815.758683</v>
      </c>
      <c r="AR664" s="13" t="n">
        <v>25815.69016</v>
      </c>
      <c r="AS664" s="13" t="n">
        <v>25815.68658</v>
      </c>
      <c r="AT664" s="13" t="n">
        <v>25815.73508</v>
      </c>
    </row>
    <row r="665" customFormat="false" ht="15" hidden="false" customHeight="true" outlineLevel="0" collapsed="false">
      <c r="A665" s="12" t="s">
        <v>2046</v>
      </c>
      <c r="B665" s="12" t="s">
        <v>2047</v>
      </c>
      <c r="C665" s="12" t="n">
        <v>1</v>
      </c>
      <c r="D665" s="12" t="s">
        <v>2048</v>
      </c>
      <c r="E665" s="13" t="n">
        <v>0</v>
      </c>
      <c r="F665" s="13" t="n">
        <v>0</v>
      </c>
      <c r="G665" s="13" t="n">
        <v>0</v>
      </c>
      <c r="H665" s="13" t="n">
        <v>0</v>
      </c>
      <c r="I665" s="13" t="n">
        <v>9639.916706</v>
      </c>
      <c r="J665" s="13" t="n">
        <v>9400.02175</v>
      </c>
      <c r="K665" s="13" t="n">
        <v>9360.022908</v>
      </c>
      <c r="L665" s="13" t="n">
        <v>9360.065134</v>
      </c>
      <c r="M665" s="13" t="n">
        <v>8960.078745</v>
      </c>
      <c r="N665" s="13" t="n">
        <v>9859.959816</v>
      </c>
      <c r="O665" s="13" t="n">
        <v>9679.959987</v>
      </c>
      <c r="P665" s="13" t="n">
        <v>9879.948834</v>
      </c>
      <c r="Q665" s="13" t="n">
        <v>9828.050706</v>
      </c>
      <c r="R665" s="13" t="n">
        <v>10037.943903</v>
      </c>
      <c r="S665" s="13" t="n">
        <v>9029.955165</v>
      </c>
      <c r="T665" s="13" t="n">
        <v>8904.06272</v>
      </c>
      <c r="U665" s="13" t="n">
        <v>8316.065991</v>
      </c>
      <c r="V665" s="13" t="n">
        <v>8190.027144</v>
      </c>
      <c r="W665" s="13" t="n">
        <v>8189.987216</v>
      </c>
      <c r="X665" s="13" t="n">
        <v>7811.94971</v>
      </c>
      <c r="Y665" s="13" t="n">
        <v>7770.026158</v>
      </c>
      <c r="Z665" s="13" t="n">
        <v>7518.001392</v>
      </c>
      <c r="AA665" s="13" t="n">
        <v>294.09369</v>
      </c>
      <c r="AB665" s="13" t="n">
        <v>0</v>
      </c>
      <c r="AC665" s="13" t="n">
        <v>306.4776</v>
      </c>
      <c r="AD665" s="13" t="n">
        <v>306.3076</v>
      </c>
      <c r="AE665" s="13" t="n">
        <v>306.38412</v>
      </c>
      <c r="AF665" s="13" t="n">
        <v>306.427</v>
      </c>
      <c r="AG665" s="13" t="n">
        <v>306.45224</v>
      </c>
      <c r="AH665" s="13" t="n">
        <v>306.3147</v>
      </c>
      <c r="AI665" s="13" t="n">
        <v>306.3911</v>
      </c>
      <c r="AJ665" s="13" t="n">
        <v>306.42516</v>
      </c>
      <c r="AK665" s="13" t="n">
        <v>306.3615</v>
      </c>
      <c r="AL665" s="13" t="n">
        <v>306.477184</v>
      </c>
      <c r="AM665" s="13" t="n">
        <v>306.33311</v>
      </c>
      <c r="AN665" s="13" t="n">
        <v>0</v>
      </c>
      <c r="AO665" s="13" t="n">
        <v>0</v>
      </c>
      <c r="AP665" s="13" t="n">
        <v>0</v>
      </c>
      <c r="AQ665" s="13" t="n">
        <v>0</v>
      </c>
      <c r="AR665" s="13" t="n">
        <v>0</v>
      </c>
      <c r="AS665" s="13" t="n">
        <v>0</v>
      </c>
      <c r="AT665" s="13" t="n">
        <v>0</v>
      </c>
    </row>
    <row r="666" customFormat="false" ht="15" hidden="false" customHeight="true" outlineLevel="0" collapsed="false">
      <c r="A666" s="12" t="s">
        <v>2049</v>
      </c>
      <c r="B666" s="12" t="s">
        <v>2050</v>
      </c>
      <c r="C666" s="12" t="n">
        <v>1</v>
      </c>
      <c r="D666" s="12" t="s">
        <v>2051</v>
      </c>
      <c r="E666" s="13" t="n">
        <v>0</v>
      </c>
      <c r="F666" s="13" t="n">
        <v>0</v>
      </c>
      <c r="G666" s="13" t="n">
        <v>0</v>
      </c>
      <c r="H666" s="13" t="n">
        <v>0</v>
      </c>
      <c r="I666" s="13" t="n">
        <v>0</v>
      </c>
      <c r="J666" s="13" t="n">
        <v>0</v>
      </c>
      <c r="K666" s="13" t="n">
        <v>0</v>
      </c>
      <c r="L666" s="13" t="n">
        <v>0</v>
      </c>
      <c r="M666" s="13" t="n">
        <v>0</v>
      </c>
      <c r="N666" s="13" t="n">
        <v>0</v>
      </c>
      <c r="O666" s="13" t="n">
        <v>0</v>
      </c>
      <c r="P666" s="13" t="n">
        <v>0</v>
      </c>
      <c r="Q666" s="13" t="n">
        <v>0</v>
      </c>
      <c r="R666" s="13" t="n">
        <v>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0</v>
      </c>
      <c r="X666" s="13" t="n">
        <v>0</v>
      </c>
      <c r="Y666" s="13" t="n">
        <v>0</v>
      </c>
      <c r="Z666" s="13" t="n">
        <v>0</v>
      </c>
      <c r="AA666" s="13" t="n">
        <v>0</v>
      </c>
      <c r="AB666" s="13" t="n">
        <v>0</v>
      </c>
      <c r="AC666" s="13" t="n">
        <v>0</v>
      </c>
      <c r="AD666" s="13" t="n">
        <v>0</v>
      </c>
      <c r="AE666" s="13" t="n">
        <v>0</v>
      </c>
      <c r="AF666" s="13" t="n">
        <v>0</v>
      </c>
      <c r="AG666" s="13" t="n">
        <v>0</v>
      </c>
      <c r="AH666" s="13" t="n">
        <v>0</v>
      </c>
      <c r="AI666" s="13" t="n">
        <v>0</v>
      </c>
      <c r="AJ666" s="13" t="n">
        <v>0</v>
      </c>
      <c r="AK666" s="13" t="n">
        <v>0</v>
      </c>
      <c r="AL666" s="13" t="n">
        <v>0</v>
      </c>
      <c r="AM666" s="13" t="n">
        <v>0</v>
      </c>
      <c r="AN666" s="13" t="n">
        <v>0</v>
      </c>
      <c r="AO666" s="13" t="n">
        <v>0</v>
      </c>
      <c r="AP666" s="13" t="n">
        <v>0</v>
      </c>
      <c r="AQ666" s="13" t="n">
        <v>0</v>
      </c>
      <c r="AR666" s="13" t="n">
        <v>4600.020572</v>
      </c>
      <c r="AS666" s="13" t="n">
        <v>5120.036163</v>
      </c>
      <c r="AT666" s="13" t="n">
        <v>4879.971128</v>
      </c>
    </row>
    <row r="667" customFormat="false" ht="15" hidden="false" customHeight="true" outlineLevel="0" collapsed="false">
      <c r="A667" s="12" t="s">
        <v>2052</v>
      </c>
      <c r="B667" s="12" t="s">
        <v>2053</v>
      </c>
      <c r="C667" s="12" t="n">
        <v>1</v>
      </c>
      <c r="D667" s="12" t="s">
        <v>2054</v>
      </c>
      <c r="E667" s="13" t="n">
        <v>0</v>
      </c>
      <c r="F667" s="13" t="n">
        <v>0</v>
      </c>
      <c r="G667" s="13" t="n">
        <v>0</v>
      </c>
      <c r="H667" s="13" t="n">
        <v>0</v>
      </c>
      <c r="I667" s="13" t="n">
        <v>0</v>
      </c>
      <c r="J667" s="13" t="n">
        <v>0</v>
      </c>
      <c r="K667" s="13" t="n">
        <v>0</v>
      </c>
      <c r="L667" s="13" t="n">
        <v>0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0</v>
      </c>
      <c r="U667" s="13" t="n">
        <v>0</v>
      </c>
      <c r="V667" s="13" t="n">
        <v>0</v>
      </c>
      <c r="W667" s="13" t="n">
        <v>0</v>
      </c>
      <c r="X667" s="13" t="n">
        <v>0</v>
      </c>
      <c r="Y667" s="13" t="n">
        <v>0</v>
      </c>
      <c r="Z667" s="13" t="n">
        <v>0</v>
      </c>
      <c r="AA667" s="13" t="n">
        <v>0</v>
      </c>
      <c r="AB667" s="13" t="n">
        <v>0</v>
      </c>
      <c r="AC667" s="13" t="n">
        <v>0</v>
      </c>
      <c r="AD667" s="13" t="n">
        <v>0</v>
      </c>
      <c r="AE667" s="13" t="n">
        <v>0</v>
      </c>
      <c r="AF667" s="13" t="n">
        <v>0</v>
      </c>
      <c r="AG667" s="13" t="n">
        <v>0</v>
      </c>
      <c r="AH667" s="13" t="n">
        <v>0</v>
      </c>
      <c r="AI667" s="13" t="n">
        <v>0</v>
      </c>
      <c r="AJ667" s="13" t="n">
        <v>0</v>
      </c>
      <c r="AK667" s="13" t="n">
        <v>0</v>
      </c>
      <c r="AL667" s="13" t="n">
        <v>0</v>
      </c>
      <c r="AM667" s="13" t="n">
        <v>0</v>
      </c>
      <c r="AN667" s="13" t="n">
        <v>797.919021</v>
      </c>
      <c r="AO667" s="13" t="n">
        <v>912.00658</v>
      </c>
      <c r="AP667" s="13" t="n">
        <v>988.07856</v>
      </c>
      <c r="AQ667" s="13" t="n">
        <v>836.014041</v>
      </c>
      <c r="AR667" s="13" t="n">
        <v>873.972332</v>
      </c>
      <c r="AS667" s="13" t="n">
        <v>836.05851</v>
      </c>
      <c r="AT667" s="13" t="n">
        <v>836.051432</v>
      </c>
    </row>
    <row r="668" customFormat="false" ht="15" hidden="false" customHeight="true" outlineLevel="0" collapsed="false">
      <c r="A668" s="12" t="s">
        <v>2055</v>
      </c>
      <c r="B668" s="12" t="s">
        <v>2056</v>
      </c>
      <c r="C668" s="12" t="n">
        <v>1</v>
      </c>
      <c r="D668" s="12" t="s">
        <v>2057</v>
      </c>
      <c r="E668" s="13" t="n">
        <v>0</v>
      </c>
      <c r="F668" s="13" t="n">
        <v>0</v>
      </c>
      <c r="G668" s="13" t="n">
        <v>0</v>
      </c>
      <c r="H668" s="13" t="n">
        <v>0</v>
      </c>
      <c r="I668" s="13" t="n">
        <v>0</v>
      </c>
      <c r="J668" s="13" t="n">
        <v>0</v>
      </c>
      <c r="K668" s="13" t="n">
        <v>0</v>
      </c>
      <c r="L668" s="13" t="n">
        <v>0</v>
      </c>
      <c r="M668" s="13" t="n">
        <v>0</v>
      </c>
      <c r="N668" s="13" t="n">
        <v>0</v>
      </c>
      <c r="O668" s="13" t="n">
        <v>0</v>
      </c>
      <c r="P668" s="13" t="n">
        <v>0</v>
      </c>
      <c r="Q668" s="13" t="n">
        <v>0</v>
      </c>
      <c r="R668" s="13" t="n">
        <v>0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0</v>
      </c>
      <c r="X668" s="13" t="n">
        <v>0</v>
      </c>
      <c r="Y668" s="13" t="n">
        <v>5471.915956</v>
      </c>
      <c r="Z668" s="13" t="n">
        <v>6041.98496</v>
      </c>
      <c r="AA668" s="13" t="n">
        <v>5585.9433</v>
      </c>
      <c r="AB668" s="13" t="n">
        <v>4788.100348</v>
      </c>
      <c r="AC668" s="13" t="n">
        <v>0</v>
      </c>
      <c r="AD668" s="13" t="n">
        <v>0</v>
      </c>
      <c r="AE668" s="13" t="n">
        <v>10375.21548</v>
      </c>
      <c r="AF668" s="13" t="n">
        <v>10850.4528</v>
      </c>
      <c r="AG668" s="13" t="n">
        <v>10018.74968</v>
      </c>
      <c r="AH668" s="13" t="n">
        <v>0</v>
      </c>
      <c r="AI668" s="13" t="n">
        <v>0</v>
      </c>
      <c r="AJ668" s="13" t="n">
        <v>0</v>
      </c>
      <c r="AK668" s="13" t="n">
        <v>0</v>
      </c>
      <c r="AL668" s="13" t="n">
        <v>0</v>
      </c>
      <c r="AM668" s="13" t="n">
        <v>0</v>
      </c>
      <c r="AN668" s="13" t="n">
        <v>0</v>
      </c>
      <c r="AO668" s="13" t="n">
        <v>0</v>
      </c>
      <c r="AP668" s="13" t="n">
        <v>0</v>
      </c>
      <c r="AQ668" s="13" t="n">
        <v>0</v>
      </c>
      <c r="AR668" s="13" t="n">
        <v>0</v>
      </c>
      <c r="AS668" s="13" t="n">
        <v>0</v>
      </c>
      <c r="AT668" s="13" t="n">
        <v>0</v>
      </c>
    </row>
    <row r="669" customFormat="false" ht="15" hidden="false" customHeight="true" outlineLevel="0" collapsed="false">
      <c r="A669" s="12" t="s">
        <v>2058</v>
      </c>
      <c r="B669" s="12" t="s">
        <v>2059</v>
      </c>
      <c r="C669" s="12" t="n">
        <v>1</v>
      </c>
      <c r="D669" s="12" t="s">
        <v>2060</v>
      </c>
      <c r="E669" s="13" t="n">
        <v>0</v>
      </c>
      <c r="F669" s="13" t="n">
        <v>0</v>
      </c>
      <c r="G669" s="13" t="n">
        <v>0</v>
      </c>
      <c r="H669" s="13" t="n">
        <v>0</v>
      </c>
      <c r="I669" s="13" t="n">
        <v>0</v>
      </c>
      <c r="J669" s="13" t="n">
        <v>0</v>
      </c>
      <c r="K669" s="13" t="n">
        <v>0</v>
      </c>
      <c r="L669" s="13" t="n">
        <v>0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0</v>
      </c>
      <c r="X669" s="13" t="n">
        <v>5129.96926</v>
      </c>
      <c r="Y669" s="13" t="n">
        <v>5640.046352</v>
      </c>
      <c r="Z669" s="13" t="n">
        <v>5460.037968</v>
      </c>
      <c r="AA669" s="13" t="n">
        <v>5040.00255</v>
      </c>
      <c r="AB669" s="13" t="n">
        <v>4530.098998</v>
      </c>
      <c r="AC669" s="13" t="n">
        <v>5039.9228</v>
      </c>
      <c r="AD669" s="13" t="n">
        <v>4709.9926</v>
      </c>
      <c r="AE669" s="13" t="n">
        <v>5640.03972</v>
      </c>
      <c r="AF669" s="13" t="n">
        <v>5969.942</v>
      </c>
      <c r="AG669" s="13" t="n">
        <v>6329.93698</v>
      </c>
      <c r="AH669" s="13" t="n">
        <v>5789.95215</v>
      </c>
      <c r="AI669" s="13" t="n">
        <v>6959.96519</v>
      </c>
      <c r="AJ669" s="13" t="n">
        <v>7290.08568</v>
      </c>
      <c r="AK669" s="13" t="n">
        <v>7770.02475</v>
      </c>
      <c r="AL669" s="13" t="n">
        <v>0</v>
      </c>
      <c r="AM669" s="13" t="n">
        <v>0</v>
      </c>
      <c r="AN669" s="13" t="n">
        <v>0</v>
      </c>
      <c r="AO669" s="13" t="n">
        <v>0</v>
      </c>
      <c r="AP669" s="13" t="n">
        <v>0</v>
      </c>
      <c r="AQ669" s="13" t="n">
        <v>0</v>
      </c>
      <c r="AR669" s="13" t="n">
        <v>0</v>
      </c>
      <c r="AS669" s="13" t="n">
        <v>0</v>
      </c>
      <c r="AT669" s="13" t="n">
        <v>0</v>
      </c>
    </row>
    <row r="670" customFormat="false" ht="15" hidden="false" customHeight="true" outlineLevel="0" collapsed="false">
      <c r="A670" s="12" t="s">
        <v>2061</v>
      </c>
      <c r="B670" s="12" t="s">
        <v>2062</v>
      </c>
      <c r="C670" s="12" t="n">
        <v>1</v>
      </c>
      <c r="D670" s="12" t="s">
        <v>2063</v>
      </c>
      <c r="E670" s="13" t="n">
        <v>0</v>
      </c>
      <c r="F670" s="13" t="n">
        <v>0</v>
      </c>
      <c r="G670" s="13" t="n">
        <v>0</v>
      </c>
      <c r="H670" s="13" t="n">
        <v>0</v>
      </c>
      <c r="I670" s="13" t="n">
        <v>0</v>
      </c>
      <c r="J670" s="13" t="n">
        <v>0</v>
      </c>
      <c r="K670" s="13" t="n">
        <v>0</v>
      </c>
      <c r="L670" s="13" t="n">
        <v>0</v>
      </c>
      <c r="M670" s="13" t="n">
        <v>0</v>
      </c>
      <c r="N670" s="13" t="n">
        <v>0</v>
      </c>
      <c r="O670" s="13" t="n">
        <v>0</v>
      </c>
      <c r="P670" s="13" t="n">
        <v>0</v>
      </c>
      <c r="Q670" s="13" t="n">
        <v>0</v>
      </c>
      <c r="R670" s="13" t="n">
        <v>0</v>
      </c>
      <c r="S670" s="13" t="n">
        <v>0</v>
      </c>
      <c r="T670" s="13" t="n">
        <v>0</v>
      </c>
      <c r="U670" s="13" t="n">
        <v>0</v>
      </c>
      <c r="V670" s="13" t="n">
        <v>0</v>
      </c>
      <c r="W670" s="13" t="n">
        <v>0</v>
      </c>
      <c r="X670" s="13" t="n">
        <v>0</v>
      </c>
      <c r="Y670" s="13" t="n">
        <v>0</v>
      </c>
      <c r="Z670" s="13" t="n">
        <v>0</v>
      </c>
      <c r="AA670" s="13" t="n">
        <v>0</v>
      </c>
      <c r="AB670" s="13" t="n">
        <v>0</v>
      </c>
      <c r="AC670" s="13" t="n">
        <v>2800.072</v>
      </c>
      <c r="AD670" s="13" t="n">
        <v>2800.0867</v>
      </c>
      <c r="AE670" s="13" t="n">
        <v>2799.91404</v>
      </c>
      <c r="AF670" s="13" t="n">
        <v>2799.94</v>
      </c>
      <c r="AG670" s="13" t="n">
        <v>2799.94682</v>
      </c>
      <c r="AH670" s="13" t="n">
        <v>2800.07895</v>
      </c>
      <c r="AI670" s="13" t="n">
        <v>2800.00112</v>
      </c>
      <c r="AJ670" s="13" t="n">
        <v>2799.95058</v>
      </c>
      <c r="AK670" s="13" t="n">
        <v>2799.99735</v>
      </c>
      <c r="AL670" s="13" t="n">
        <v>2799.919562</v>
      </c>
      <c r="AM670" s="13" t="n">
        <v>2799.921312</v>
      </c>
      <c r="AN670" s="13" t="n">
        <v>2799.99981</v>
      </c>
      <c r="AO670" s="13" t="n">
        <v>2799.980882</v>
      </c>
      <c r="AP670" s="13" t="n">
        <v>2799.95856</v>
      </c>
      <c r="AQ670" s="13" t="n">
        <v>2799.931799</v>
      </c>
      <c r="AR670" s="13" t="n">
        <v>2799.974386</v>
      </c>
      <c r="AS670" s="13" t="n">
        <v>2800.017072</v>
      </c>
      <c r="AT670" s="13" t="n">
        <v>2800.080984</v>
      </c>
    </row>
    <row r="671" customFormat="false" ht="15" hidden="false" customHeight="true" outlineLevel="0" collapsed="false">
      <c r="A671" s="12" t="s">
        <v>2064</v>
      </c>
      <c r="B671" s="12" t="s">
        <v>2065</v>
      </c>
      <c r="C671" s="12" t="n">
        <v>1</v>
      </c>
      <c r="D671" s="12" t="s">
        <v>2066</v>
      </c>
      <c r="E671" s="13" t="n">
        <v>10819.84932</v>
      </c>
      <c r="F671" s="13" t="n">
        <v>11093.823384</v>
      </c>
      <c r="G671" s="13" t="n">
        <v>11367.712412</v>
      </c>
      <c r="H671" s="13" t="n">
        <v>11367.627966</v>
      </c>
      <c r="I671" s="13" t="n">
        <v>11299.17999</v>
      </c>
      <c r="J671" s="13" t="n">
        <v>11367.61138</v>
      </c>
      <c r="K671" s="13" t="n">
        <v>11367.637428</v>
      </c>
      <c r="L671" s="13" t="n">
        <v>12189.48619</v>
      </c>
      <c r="M671" s="13" t="n">
        <v>12257.996895</v>
      </c>
      <c r="N671" s="13" t="n">
        <v>12668.780004</v>
      </c>
      <c r="O671" s="13" t="n">
        <v>15681.903428</v>
      </c>
      <c r="P671" s="13" t="n">
        <v>15955.817913</v>
      </c>
      <c r="Q671" s="13" t="n">
        <v>16092.78489</v>
      </c>
      <c r="R671" s="13" t="n">
        <v>22461.397371</v>
      </c>
      <c r="S671" s="13" t="n">
        <v>24926.698905</v>
      </c>
      <c r="T671" s="13" t="n">
        <v>26912.56064</v>
      </c>
      <c r="U671" s="13" t="n">
        <v>30473.591137</v>
      </c>
      <c r="V671" s="13" t="n">
        <v>36499.91514</v>
      </c>
      <c r="W671" s="13" t="n">
        <v>48757.790144</v>
      </c>
      <c r="X671" s="13" t="n">
        <v>57660.10095</v>
      </c>
      <c r="Y671" s="13" t="n">
        <v>54783.931106</v>
      </c>
      <c r="Z671" s="13" t="n">
        <v>63344.017968</v>
      </c>
      <c r="AA671" s="13" t="n">
        <v>63617.91435</v>
      </c>
      <c r="AB671" s="13" t="n">
        <v>60947.203614</v>
      </c>
      <c r="AC671" s="13" t="n">
        <v>66014.696</v>
      </c>
      <c r="AD671" s="13" t="n">
        <v>66631.1415</v>
      </c>
      <c r="AE671" s="13" t="n">
        <v>67384.29852</v>
      </c>
      <c r="AF671" s="13" t="n">
        <v>65535.4348</v>
      </c>
      <c r="AG671" s="13" t="n">
        <v>71698.63132</v>
      </c>
      <c r="AH671" s="13" t="n">
        <v>72999.5898</v>
      </c>
      <c r="AI671" s="13" t="n">
        <v>70671.26887</v>
      </c>
      <c r="AJ671" s="13" t="n">
        <v>73342.04193</v>
      </c>
      <c r="AK671" s="13" t="n">
        <v>69644.2242</v>
      </c>
      <c r="AL671" s="13" t="n">
        <v>70671.354786</v>
      </c>
      <c r="AM671" s="13" t="n">
        <v>69370.325074</v>
      </c>
      <c r="AN671" s="13" t="n">
        <v>66494.150915</v>
      </c>
      <c r="AO671" s="13" t="n">
        <v>72657.271282</v>
      </c>
      <c r="AP671" s="13" t="n">
        <v>68411.58456</v>
      </c>
      <c r="AQ671" s="13" t="n">
        <v>70397.379867</v>
      </c>
      <c r="AR671" s="13" t="n">
        <v>74163.797464</v>
      </c>
      <c r="AS671" s="13" t="n">
        <v>73342.064385</v>
      </c>
      <c r="AT671" s="13" t="n">
        <v>73205.167432</v>
      </c>
    </row>
    <row r="672" customFormat="false" ht="15" hidden="false" customHeight="true" outlineLevel="0" collapsed="false">
      <c r="A672" s="12" t="s">
        <v>2067</v>
      </c>
      <c r="B672" s="12" t="s">
        <v>2068</v>
      </c>
      <c r="C672" s="12" t="n">
        <v>1</v>
      </c>
      <c r="D672" s="12" t="s">
        <v>2069</v>
      </c>
      <c r="E672" s="13" t="n">
        <v>802.520676</v>
      </c>
      <c r="F672" s="13" t="n">
        <v>802.537386</v>
      </c>
      <c r="G672" s="13" t="n">
        <v>802.567302</v>
      </c>
      <c r="H672" s="13" t="n">
        <v>802.541763</v>
      </c>
      <c r="I672" s="13" t="n">
        <v>802.41322</v>
      </c>
      <c r="J672" s="13" t="n">
        <v>802.465915</v>
      </c>
      <c r="K672" s="13" t="n">
        <v>0</v>
      </c>
      <c r="L672" s="13" t="n">
        <v>0</v>
      </c>
      <c r="M672" s="13" t="n">
        <v>0</v>
      </c>
      <c r="N672" s="13" t="n">
        <v>0</v>
      </c>
      <c r="O672" s="13" t="n">
        <v>0</v>
      </c>
      <c r="P672" s="13" t="n">
        <v>0</v>
      </c>
      <c r="Q672" s="13" t="n">
        <v>0</v>
      </c>
      <c r="R672" s="13" t="n">
        <v>0</v>
      </c>
      <c r="S672" s="13" t="n">
        <v>0</v>
      </c>
      <c r="T672" s="13" t="n">
        <v>0</v>
      </c>
      <c r="U672" s="13" t="n">
        <v>0</v>
      </c>
      <c r="V672" s="13" t="n">
        <v>0</v>
      </c>
      <c r="W672" s="13" t="n">
        <v>0</v>
      </c>
      <c r="X672" s="13" t="n">
        <v>0</v>
      </c>
      <c r="Y672" s="13" t="n">
        <v>0</v>
      </c>
      <c r="Z672" s="13" t="n">
        <v>0</v>
      </c>
      <c r="AA672" s="13" t="n">
        <v>0</v>
      </c>
      <c r="AB672" s="13" t="n">
        <v>0</v>
      </c>
      <c r="AC672" s="13" t="n">
        <v>0</v>
      </c>
      <c r="AD672" s="13" t="n">
        <v>0</v>
      </c>
      <c r="AE672" s="13" t="n">
        <v>0</v>
      </c>
      <c r="AF672" s="13" t="n">
        <v>0</v>
      </c>
      <c r="AG672" s="13" t="n">
        <v>0</v>
      </c>
      <c r="AH672" s="13" t="n">
        <v>0</v>
      </c>
      <c r="AI672" s="13" t="n">
        <v>0</v>
      </c>
      <c r="AJ672" s="13" t="n">
        <v>0</v>
      </c>
      <c r="AK672" s="13" t="n">
        <v>0</v>
      </c>
      <c r="AL672" s="13" t="n">
        <v>0</v>
      </c>
      <c r="AM672" s="13" t="n">
        <v>0</v>
      </c>
      <c r="AN672" s="13" t="n">
        <v>0</v>
      </c>
      <c r="AO672" s="13" t="n">
        <v>0</v>
      </c>
      <c r="AP672" s="13" t="n">
        <v>0</v>
      </c>
      <c r="AQ672" s="13" t="n">
        <v>0</v>
      </c>
      <c r="AR672" s="13" t="n">
        <v>0</v>
      </c>
      <c r="AS672" s="13" t="n">
        <v>0</v>
      </c>
      <c r="AT672" s="13" t="n">
        <v>0</v>
      </c>
    </row>
    <row r="673" customFormat="false" ht="15" hidden="false" customHeight="true" outlineLevel="0" collapsed="false">
      <c r="A673" s="12" t="s">
        <v>2070</v>
      </c>
      <c r="B673" s="12" t="s">
        <v>2071</v>
      </c>
      <c r="C673" s="12" t="n">
        <v>1</v>
      </c>
      <c r="D673" s="12" t="s">
        <v>2072</v>
      </c>
      <c r="E673" s="13" t="n">
        <v>0</v>
      </c>
      <c r="F673" s="13" t="n">
        <v>0</v>
      </c>
      <c r="G673" s="13" t="n">
        <v>0</v>
      </c>
      <c r="H673" s="13" t="n">
        <v>0</v>
      </c>
      <c r="I673" s="13" t="n">
        <v>0</v>
      </c>
      <c r="J673" s="13" t="n">
        <v>0</v>
      </c>
      <c r="K673" s="13" t="n">
        <v>0</v>
      </c>
      <c r="L673" s="13" t="n">
        <v>28524.971818</v>
      </c>
      <c r="M673" s="13" t="n">
        <v>28560.041685</v>
      </c>
      <c r="N673" s="13" t="n">
        <v>28595.00367</v>
      </c>
      <c r="O673" s="13" t="n">
        <v>29084.964659</v>
      </c>
      <c r="P673" s="13" t="n">
        <v>26239.437385</v>
      </c>
      <c r="Q673" s="13" t="n">
        <v>29364.997176</v>
      </c>
      <c r="R673" s="13" t="n">
        <v>29259.971424</v>
      </c>
      <c r="S673" s="13" t="n">
        <v>29609.976075</v>
      </c>
      <c r="T673" s="13" t="n">
        <v>29819.91936</v>
      </c>
      <c r="U673" s="13" t="n">
        <v>29924.917629</v>
      </c>
      <c r="V673" s="13" t="n">
        <v>30029.915292</v>
      </c>
      <c r="W673" s="13" t="n">
        <v>30064.953872</v>
      </c>
      <c r="X673" s="13" t="n">
        <v>30170.04921</v>
      </c>
      <c r="Y673" s="13" t="n">
        <v>30484.95453</v>
      </c>
      <c r="Z673" s="13" t="n">
        <v>30379.918272</v>
      </c>
      <c r="AA673" s="13" t="n">
        <v>30310.01817</v>
      </c>
      <c r="AB673" s="13" t="n">
        <v>30099.955146</v>
      </c>
      <c r="AC673" s="13" t="n">
        <v>32203.1028</v>
      </c>
      <c r="AD673" s="13" t="n">
        <v>32968.9217</v>
      </c>
      <c r="AE673" s="13" t="n">
        <v>33625.29996</v>
      </c>
      <c r="AF673" s="13" t="n">
        <v>34026.5156</v>
      </c>
      <c r="AG673" s="13" t="n">
        <v>34354.68556</v>
      </c>
      <c r="AH673" s="13" t="n">
        <v>34500.6288</v>
      </c>
      <c r="AI673" s="13" t="n">
        <v>34646.44243</v>
      </c>
      <c r="AJ673" s="13" t="n">
        <v>35521.83342</v>
      </c>
      <c r="AK673" s="13" t="n">
        <v>35740.64625</v>
      </c>
      <c r="AL673" s="13" t="n">
        <v>35777.15925</v>
      </c>
      <c r="AM673" s="13" t="n">
        <v>36834.630431</v>
      </c>
      <c r="AN673" s="13" t="n">
        <v>36871.15999</v>
      </c>
      <c r="AO673" s="13" t="n">
        <v>38765.45171</v>
      </c>
      <c r="AP673" s="13" t="n">
        <v>39105.89232</v>
      </c>
      <c r="AQ673" s="13" t="n">
        <v>43338.555039</v>
      </c>
      <c r="AR673" s="13" t="n">
        <v>41508.773842</v>
      </c>
      <c r="AS673" s="13" t="n">
        <v>43639.657767</v>
      </c>
      <c r="AT673" s="13" t="n">
        <v>44058.002792</v>
      </c>
    </row>
    <row r="674" customFormat="false" ht="15" hidden="false" customHeight="true" outlineLevel="0" collapsed="false">
      <c r="A674" s="12" t="s">
        <v>2073</v>
      </c>
      <c r="B674" s="12" t="s">
        <v>2074</v>
      </c>
      <c r="C674" s="12" t="n">
        <v>1</v>
      </c>
      <c r="D674" s="12" t="s">
        <v>2075</v>
      </c>
      <c r="E674" s="13" t="n">
        <v>2246.982768</v>
      </c>
      <c r="F674" s="13" t="n">
        <v>2187.14901</v>
      </c>
      <c r="G674" s="13" t="n">
        <v>2037.369768</v>
      </c>
      <c r="H674" s="13" t="n">
        <v>1887.569568</v>
      </c>
      <c r="I674" s="13" t="n">
        <v>1857.56893</v>
      </c>
      <c r="J674" s="13" t="n">
        <v>1977.340335</v>
      </c>
      <c r="K674" s="13" t="n">
        <v>1737.763092</v>
      </c>
      <c r="L674" s="13" t="n">
        <v>1617.840721</v>
      </c>
      <c r="M674" s="13" t="n">
        <v>1498.076235</v>
      </c>
      <c r="N674" s="13" t="n">
        <v>1228.429722</v>
      </c>
      <c r="O674" s="13" t="n">
        <v>1348.238965</v>
      </c>
      <c r="P674" s="13" t="n">
        <v>1408.110109</v>
      </c>
      <c r="Q674" s="13" t="n">
        <v>1447.028604</v>
      </c>
      <c r="R674" s="13" t="n">
        <v>1415.578983</v>
      </c>
      <c r="S674" s="13" t="n">
        <v>1384.10904</v>
      </c>
      <c r="T674" s="13" t="n">
        <v>1352.72704</v>
      </c>
      <c r="U674" s="13" t="n">
        <v>1101.077182</v>
      </c>
      <c r="V674" s="13" t="n">
        <v>912.336672</v>
      </c>
      <c r="W674" s="13" t="n">
        <v>251.630368</v>
      </c>
      <c r="X674" s="13" t="n">
        <v>314.500628</v>
      </c>
      <c r="Y674" s="13" t="n">
        <v>283.104812</v>
      </c>
      <c r="Z674" s="13" t="n">
        <v>220.309936</v>
      </c>
      <c r="AA674" s="13" t="n">
        <v>220.21311</v>
      </c>
      <c r="AB674" s="13" t="n">
        <v>220.161152</v>
      </c>
      <c r="AC674" s="13" t="n">
        <v>229.548</v>
      </c>
      <c r="AD674" s="13" t="n">
        <v>0</v>
      </c>
      <c r="AE674" s="13" t="n">
        <v>0</v>
      </c>
      <c r="AF674" s="13" t="n">
        <v>0</v>
      </c>
      <c r="AG674" s="13" t="n">
        <v>0</v>
      </c>
      <c r="AH674" s="13" t="n">
        <v>0</v>
      </c>
      <c r="AI674" s="13" t="n">
        <v>0</v>
      </c>
      <c r="AJ674" s="13" t="n">
        <v>0</v>
      </c>
      <c r="AK674" s="13" t="n">
        <v>0</v>
      </c>
      <c r="AL674" s="13" t="n">
        <v>0</v>
      </c>
      <c r="AM674" s="13" t="n">
        <v>0</v>
      </c>
      <c r="AN674" s="13" t="n">
        <v>0</v>
      </c>
      <c r="AO674" s="13" t="n">
        <v>0</v>
      </c>
      <c r="AP674" s="13" t="n">
        <v>0</v>
      </c>
      <c r="AQ674" s="13" t="n">
        <v>0</v>
      </c>
      <c r="AR674" s="13" t="n">
        <v>0</v>
      </c>
      <c r="AS674" s="13" t="n">
        <v>0</v>
      </c>
      <c r="AT674" s="13" t="n">
        <v>0</v>
      </c>
    </row>
    <row r="675" customFormat="false" ht="15" hidden="false" customHeight="true" outlineLevel="0" collapsed="false">
      <c r="A675" s="12" t="s">
        <v>2076</v>
      </c>
      <c r="B675" s="12" t="s">
        <v>2077</v>
      </c>
      <c r="C675" s="12" t="n">
        <v>1</v>
      </c>
      <c r="D675" s="12" t="s">
        <v>2078</v>
      </c>
      <c r="E675" s="13" t="n">
        <v>0</v>
      </c>
      <c r="F675" s="13" t="n">
        <v>0</v>
      </c>
      <c r="G675" s="13" t="n">
        <v>0</v>
      </c>
      <c r="H675" s="13" t="n">
        <v>0</v>
      </c>
      <c r="I675" s="13" t="n">
        <v>0</v>
      </c>
      <c r="J675" s="13" t="n">
        <v>0</v>
      </c>
      <c r="K675" s="13" t="n">
        <v>0</v>
      </c>
      <c r="L675" s="13" t="n">
        <v>0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0</v>
      </c>
      <c r="X675" s="13" t="n">
        <v>0</v>
      </c>
      <c r="Y675" s="13" t="n">
        <v>0</v>
      </c>
      <c r="Z675" s="13" t="n">
        <v>0</v>
      </c>
      <c r="AA675" s="13" t="n">
        <v>0</v>
      </c>
      <c r="AB675" s="13" t="n">
        <v>0</v>
      </c>
      <c r="AC675" s="13" t="n">
        <v>0</v>
      </c>
      <c r="AD675" s="13" t="n">
        <v>0</v>
      </c>
      <c r="AE675" s="13" t="n">
        <v>0</v>
      </c>
      <c r="AF675" s="13" t="n">
        <v>0</v>
      </c>
      <c r="AG675" s="13" t="n">
        <v>0</v>
      </c>
      <c r="AH675" s="13" t="n">
        <v>0</v>
      </c>
      <c r="AI675" s="13" t="n">
        <v>0</v>
      </c>
      <c r="AJ675" s="13" t="n">
        <v>0</v>
      </c>
      <c r="AK675" s="13" t="n">
        <v>0</v>
      </c>
      <c r="AL675" s="13" t="n">
        <v>0</v>
      </c>
      <c r="AM675" s="13" t="n">
        <v>0</v>
      </c>
      <c r="AN675" s="13" t="n">
        <v>0</v>
      </c>
      <c r="AO675" s="13" t="n">
        <v>0</v>
      </c>
      <c r="AP675" s="13" t="n">
        <v>0</v>
      </c>
      <c r="AQ675" s="13" t="n">
        <v>16309.969402</v>
      </c>
      <c r="AR675" s="13" t="n">
        <v>13774.975798</v>
      </c>
      <c r="AS675" s="13" t="n">
        <v>13470.062346</v>
      </c>
      <c r="AT675" s="13" t="n">
        <v>13469.931424</v>
      </c>
    </row>
    <row r="676" customFormat="false" ht="15" hidden="false" customHeight="true" outlineLevel="0" collapsed="false">
      <c r="A676" s="12" t="s">
        <v>2079</v>
      </c>
      <c r="B676" s="12" t="s">
        <v>2080</v>
      </c>
      <c r="C676" s="12" t="n">
        <v>1</v>
      </c>
      <c r="D676" s="12" t="s">
        <v>2081</v>
      </c>
      <c r="E676" s="13" t="n">
        <v>0</v>
      </c>
      <c r="F676" s="13" t="n">
        <v>0</v>
      </c>
      <c r="G676" s="13" t="n">
        <v>0</v>
      </c>
      <c r="H676" s="13" t="n">
        <v>0</v>
      </c>
      <c r="I676" s="13" t="n">
        <v>0</v>
      </c>
      <c r="J676" s="13" t="n">
        <v>0</v>
      </c>
      <c r="K676" s="13" t="n">
        <v>0</v>
      </c>
      <c r="L676" s="13" t="n">
        <v>0</v>
      </c>
      <c r="M676" s="13" t="n">
        <v>0</v>
      </c>
      <c r="N676" s="13" t="n">
        <v>0</v>
      </c>
      <c r="O676" s="13" t="n">
        <v>0</v>
      </c>
      <c r="P676" s="13" t="n">
        <v>0</v>
      </c>
      <c r="Q676" s="13" t="n">
        <v>0</v>
      </c>
      <c r="R676" s="13" t="n">
        <v>0</v>
      </c>
      <c r="S676" s="13" t="n">
        <v>0</v>
      </c>
      <c r="T676" s="13" t="n">
        <v>0</v>
      </c>
      <c r="U676" s="13" t="n">
        <v>0</v>
      </c>
      <c r="V676" s="13" t="n">
        <v>0</v>
      </c>
      <c r="W676" s="13" t="n">
        <v>0</v>
      </c>
      <c r="X676" s="13" t="n">
        <v>0</v>
      </c>
      <c r="Y676" s="13" t="n">
        <v>0</v>
      </c>
      <c r="Z676" s="13" t="n">
        <v>0</v>
      </c>
      <c r="AA676" s="13" t="n">
        <v>0</v>
      </c>
      <c r="AB676" s="13" t="n">
        <v>834.507896</v>
      </c>
      <c r="AC676" s="13" t="n">
        <v>0</v>
      </c>
      <c r="AD676" s="13" t="n">
        <v>0</v>
      </c>
      <c r="AE676" s="13" t="n">
        <v>0</v>
      </c>
      <c r="AF676" s="13" t="n">
        <v>0</v>
      </c>
      <c r="AG676" s="13" t="n">
        <v>0</v>
      </c>
      <c r="AH676" s="13" t="n">
        <v>0</v>
      </c>
      <c r="AI676" s="13" t="n">
        <v>253.19559</v>
      </c>
      <c r="AJ676" s="13" t="n">
        <v>253.11762</v>
      </c>
      <c r="AK676" s="13" t="n">
        <v>253.161</v>
      </c>
      <c r="AL676" s="13" t="n">
        <v>253.064694</v>
      </c>
      <c r="AM676" s="13" t="n">
        <v>253.13754</v>
      </c>
      <c r="AN676" s="13" t="n">
        <v>253.204864</v>
      </c>
      <c r="AO676" s="13" t="n">
        <v>156.713418</v>
      </c>
      <c r="AP676" s="13" t="n">
        <v>156.68448</v>
      </c>
      <c r="AQ676" s="13" t="n">
        <v>156.628145</v>
      </c>
      <c r="AR676" s="13" t="n">
        <v>156.655418</v>
      </c>
      <c r="AS676" s="13" t="n">
        <v>156.652785</v>
      </c>
      <c r="AT676" s="13" t="n">
        <v>156.63932</v>
      </c>
    </row>
    <row r="677" customFormat="false" ht="15" hidden="false" customHeight="true" outlineLevel="0" collapsed="false">
      <c r="A677" s="12" t="s">
        <v>2082</v>
      </c>
      <c r="B677" s="12" t="s">
        <v>2083</v>
      </c>
      <c r="C677" s="12" t="n">
        <v>1</v>
      </c>
      <c r="D677" s="12" t="s">
        <v>2084</v>
      </c>
      <c r="E677" s="13" t="n">
        <v>0</v>
      </c>
      <c r="F677" s="13" t="n">
        <v>0</v>
      </c>
      <c r="G677" s="13" t="n">
        <v>0</v>
      </c>
      <c r="H677" s="13" t="n">
        <v>0</v>
      </c>
      <c r="I677" s="13" t="n">
        <v>0</v>
      </c>
      <c r="J677" s="13" t="n">
        <v>0</v>
      </c>
      <c r="K677" s="13" t="n">
        <v>0</v>
      </c>
      <c r="L677" s="13" t="n">
        <v>0</v>
      </c>
      <c r="M677" s="13" t="n">
        <v>0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  <c r="V677" s="13" t="n">
        <v>0</v>
      </c>
      <c r="W677" s="13" t="n">
        <v>0</v>
      </c>
      <c r="X677" s="13" t="n">
        <v>0</v>
      </c>
      <c r="Y677" s="13" t="n">
        <v>1214.909454</v>
      </c>
      <c r="Z677" s="13" t="n">
        <v>4814.944816</v>
      </c>
      <c r="AA677" s="13" t="n">
        <v>4229.96934</v>
      </c>
      <c r="AB677" s="13" t="n">
        <v>10259.954862</v>
      </c>
      <c r="AC677" s="13" t="n">
        <v>1359.71</v>
      </c>
      <c r="AD677" s="13" t="n">
        <v>1022.1887</v>
      </c>
      <c r="AE677" s="13" t="n">
        <v>1022.23296</v>
      </c>
      <c r="AF677" s="13" t="n">
        <v>1022.2718</v>
      </c>
      <c r="AG677" s="13" t="n">
        <v>1022.21506</v>
      </c>
      <c r="AH677" s="13" t="n">
        <v>1022.24505</v>
      </c>
      <c r="AI677" s="13" t="n">
        <v>1312.97045</v>
      </c>
      <c r="AJ677" s="13" t="n">
        <v>2813.37066</v>
      </c>
      <c r="AK677" s="13" t="n">
        <v>2813.3892</v>
      </c>
      <c r="AL677" s="13" t="n">
        <v>2250.69182</v>
      </c>
      <c r="AM677" s="13" t="n">
        <v>1547.440788</v>
      </c>
      <c r="AN677" s="13" t="n">
        <v>468.824631</v>
      </c>
      <c r="AO677" s="13" t="n">
        <v>632.025732</v>
      </c>
      <c r="AP677" s="13" t="n">
        <v>826.5624</v>
      </c>
      <c r="AQ677" s="13" t="n">
        <v>680.653407</v>
      </c>
      <c r="AR677" s="13" t="n">
        <v>826.607312</v>
      </c>
      <c r="AS677" s="13" t="n">
        <v>1264.127391</v>
      </c>
      <c r="AT677" s="13" t="n">
        <v>923.734448</v>
      </c>
    </row>
    <row r="678" customFormat="false" ht="15" hidden="false" customHeight="true" outlineLevel="0" collapsed="false">
      <c r="A678" s="12" t="s">
        <v>2085</v>
      </c>
      <c r="B678" s="12" t="s">
        <v>2086</v>
      </c>
      <c r="C678" s="12" t="n">
        <v>1</v>
      </c>
      <c r="D678" s="12" t="s">
        <v>2087</v>
      </c>
      <c r="E678" s="13" t="n">
        <v>0</v>
      </c>
      <c r="F678" s="13" t="n">
        <v>0</v>
      </c>
      <c r="G678" s="13" t="n">
        <v>0</v>
      </c>
      <c r="H678" s="13" t="n">
        <v>0</v>
      </c>
      <c r="I678" s="13" t="n">
        <v>0</v>
      </c>
      <c r="J678" s="13" t="n">
        <v>0</v>
      </c>
      <c r="K678" s="13" t="n">
        <v>0</v>
      </c>
      <c r="L678" s="13" t="n">
        <v>0</v>
      </c>
      <c r="M678" s="13" t="n">
        <v>0</v>
      </c>
      <c r="N678" s="13" t="n">
        <v>0</v>
      </c>
      <c r="O678" s="13" t="n">
        <v>0</v>
      </c>
      <c r="P678" s="13" t="n">
        <v>9799.925275</v>
      </c>
      <c r="Q678" s="13" t="n">
        <v>10279.946682</v>
      </c>
      <c r="R678" s="13" t="n">
        <v>10400.001177</v>
      </c>
      <c r="S678" s="13" t="n">
        <v>10440.03279</v>
      </c>
      <c r="T678" s="13" t="n">
        <v>10000.06784</v>
      </c>
      <c r="U678" s="13" t="n">
        <v>10440.056422</v>
      </c>
      <c r="V678" s="13" t="n">
        <v>10319.97954</v>
      </c>
      <c r="W678" s="13" t="n">
        <v>11280.053136</v>
      </c>
      <c r="X678" s="13" t="n">
        <v>11600.036404</v>
      </c>
      <c r="Y678" s="13" t="n">
        <v>12040.026344</v>
      </c>
      <c r="Z678" s="13" t="n">
        <v>10040.038976</v>
      </c>
      <c r="AA678" s="13" t="n">
        <v>10000.00182</v>
      </c>
      <c r="AB678" s="13" t="n">
        <v>10680.041766</v>
      </c>
      <c r="AC678" s="13" t="n">
        <v>10239.9088</v>
      </c>
      <c r="AD678" s="13" t="n">
        <v>9759.962</v>
      </c>
      <c r="AE678" s="13" t="n">
        <v>9960.0354</v>
      </c>
      <c r="AF678" s="13" t="n">
        <v>10119.923</v>
      </c>
      <c r="AG678" s="13" t="n">
        <v>10319.99146</v>
      </c>
      <c r="AH678" s="13" t="n">
        <v>10199.97735</v>
      </c>
      <c r="AI678" s="13" t="n">
        <v>10200.00408</v>
      </c>
      <c r="AJ678" s="13" t="n">
        <v>10040.08374</v>
      </c>
      <c r="AK678" s="13" t="n">
        <v>10279.98765</v>
      </c>
      <c r="AL678" s="13" t="n">
        <v>10159.976503</v>
      </c>
      <c r="AM678" s="13" t="n">
        <v>26969.970557</v>
      </c>
      <c r="AN678" s="13" t="n">
        <v>19380.062911</v>
      </c>
      <c r="AO678" s="13" t="n">
        <v>0</v>
      </c>
      <c r="AP678" s="13" t="n">
        <v>0</v>
      </c>
      <c r="AQ678" s="13" t="n">
        <v>9757.299678</v>
      </c>
      <c r="AR678" s="13" t="n">
        <v>10180.146206</v>
      </c>
      <c r="AS678" s="13" t="n">
        <v>10411.265259</v>
      </c>
      <c r="AT678" s="13" t="n">
        <v>10468.932072</v>
      </c>
    </row>
    <row r="679" customFormat="false" ht="15" hidden="false" customHeight="true" outlineLevel="0" collapsed="false">
      <c r="A679" s="12" t="s">
        <v>2088</v>
      </c>
      <c r="B679" s="12" t="s">
        <v>2089</v>
      </c>
      <c r="C679" s="12" t="n">
        <v>1</v>
      </c>
      <c r="D679" s="12" t="s">
        <v>2090</v>
      </c>
      <c r="E679" s="13" t="n">
        <v>0</v>
      </c>
      <c r="F679" s="13" t="n">
        <v>0</v>
      </c>
      <c r="G679" s="13" t="n">
        <v>0</v>
      </c>
      <c r="H679" s="13" t="n">
        <v>0</v>
      </c>
      <c r="I679" s="13" t="n">
        <v>0</v>
      </c>
      <c r="J679" s="13" t="n">
        <v>0</v>
      </c>
      <c r="K679" s="13" t="n">
        <v>0</v>
      </c>
      <c r="L679" s="13" t="n">
        <v>0</v>
      </c>
      <c r="M679" s="13" t="n">
        <v>0</v>
      </c>
      <c r="N679" s="13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1940.05504</v>
      </c>
      <c r="U679" s="13" t="n">
        <v>2279.979191</v>
      </c>
      <c r="V679" s="13" t="n">
        <v>2159.982864</v>
      </c>
      <c r="W679" s="13" t="n">
        <v>2119.920224</v>
      </c>
      <c r="X679" s="13" t="n">
        <v>2000.033628</v>
      </c>
      <c r="Y679" s="13" t="n">
        <v>2119.939232</v>
      </c>
      <c r="Z679" s="13" t="n">
        <v>2080.014464</v>
      </c>
      <c r="AA679" s="13" t="n">
        <v>2020.08282</v>
      </c>
      <c r="AB679" s="13" t="n">
        <v>2079.996766</v>
      </c>
      <c r="AC679" s="13" t="n">
        <v>2083.9236</v>
      </c>
      <c r="AD679" s="13" t="n">
        <v>2084.0003</v>
      </c>
      <c r="AE679" s="13" t="n">
        <v>2084.0652</v>
      </c>
      <c r="AF679" s="13" t="n">
        <v>2084.0952</v>
      </c>
      <c r="AG679" s="13" t="n">
        <v>2083.99102</v>
      </c>
      <c r="AH679" s="13" t="n">
        <v>2083.95975</v>
      </c>
      <c r="AI679" s="13" t="n">
        <v>0</v>
      </c>
      <c r="AJ679" s="13" t="n">
        <v>0</v>
      </c>
      <c r="AK679" s="13" t="n">
        <v>0</v>
      </c>
      <c r="AL679" s="13" t="n">
        <v>0</v>
      </c>
      <c r="AM679" s="13" t="n">
        <v>0</v>
      </c>
      <c r="AN679" s="13" t="n">
        <v>0</v>
      </c>
      <c r="AO679" s="13" t="n">
        <v>0</v>
      </c>
      <c r="AP679" s="13" t="n">
        <v>0</v>
      </c>
      <c r="AQ679" s="13" t="n">
        <v>0</v>
      </c>
      <c r="AR679" s="13" t="n">
        <v>0</v>
      </c>
      <c r="AS679" s="13" t="n">
        <v>0</v>
      </c>
      <c r="AT679" s="13" t="n">
        <v>0</v>
      </c>
    </row>
    <row r="680" customFormat="false" ht="15" hidden="false" customHeight="true" outlineLevel="0" collapsed="false">
      <c r="A680" s="12" t="s">
        <v>2091</v>
      </c>
      <c r="B680" s="12" t="s">
        <v>2092</v>
      </c>
      <c r="C680" s="12" t="n">
        <v>1</v>
      </c>
      <c r="D680" s="12" t="s">
        <v>2093</v>
      </c>
      <c r="E680" s="13" t="n">
        <v>0</v>
      </c>
      <c r="F680" s="13" t="n">
        <v>0</v>
      </c>
      <c r="G680" s="13" t="n">
        <v>0</v>
      </c>
      <c r="H680" s="13" t="n">
        <v>0</v>
      </c>
      <c r="I680" s="13" t="n">
        <v>0</v>
      </c>
      <c r="J680" s="13" t="n">
        <v>0</v>
      </c>
      <c r="K680" s="13" t="n">
        <v>0</v>
      </c>
      <c r="L680" s="13" t="n">
        <v>0</v>
      </c>
      <c r="M680" s="13" t="n">
        <v>0</v>
      </c>
      <c r="N680" s="13" t="n">
        <v>0</v>
      </c>
      <c r="O680" s="13" t="n">
        <v>0</v>
      </c>
      <c r="P680" s="13" t="n">
        <v>0</v>
      </c>
      <c r="Q680" s="13" t="n">
        <v>0</v>
      </c>
      <c r="R680" s="13" t="n">
        <v>0</v>
      </c>
      <c r="S680" s="13" t="n">
        <v>0</v>
      </c>
      <c r="T680" s="13" t="n">
        <v>0</v>
      </c>
      <c r="U680" s="13" t="n">
        <v>0</v>
      </c>
      <c r="V680" s="13" t="n">
        <v>0</v>
      </c>
      <c r="W680" s="13" t="n">
        <v>0</v>
      </c>
      <c r="X680" s="13" t="n">
        <v>0</v>
      </c>
      <c r="Y680" s="13" t="n">
        <v>0</v>
      </c>
      <c r="Z680" s="13" t="n">
        <v>0</v>
      </c>
      <c r="AA680" s="13" t="n">
        <v>0</v>
      </c>
      <c r="AB680" s="13" t="n">
        <v>0</v>
      </c>
      <c r="AC680" s="13" t="n">
        <v>0</v>
      </c>
      <c r="AD680" s="13" t="n">
        <v>0</v>
      </c>
      <c r="AE680" s="13" t="n">
        <v>0</v>
      </c>
      <c r="AF680" s="13" t="n">
        <v>0</v>
      </c>
      <c r="AG680" s="13" t="n">
        <v>0</v>
      </c>
      <c r="AH680" s="13" t="n">
        <v>0</v>
      </c>
      <c r="AI680" s="13" t="n">
        <v>0</v>
      </c>
      <c r="AJ680" s="13" t="n">
        <v>1364.93397</v>
      </c>
      <c r="AK680" s="13" t="n">
        <v>1365.05145</v>
      </c>
      <c r="AL680" s="13" t="n">
        <v>1364.965391</v>
      </c>
      <c r="AM680" s="13" t="n">
        <v>1364.924953</v>
      </c>
      <c r="AN680" s="13" t="n">
        <v>1364.93247</v>
      </c>
      <c r="AO680" s="13" t="n">
        <v>0</v>
      </c>
      <c r="AP680" s="13" t="n">
        <v>0</v>
      </c>
      <c r="AQ680" s="13" t="n">
        <v>0</v>
      </c>
      <c r="AR680" s="13" t="n">
        <v>0</v>
      </c>
      <c r="AS680" s="13" t="n">
        <v>0</v>
      </c>
      <c r="AT680" s="13" t="n">
        <v>0</v>
      </c>
    </row>
    <row r="681" customFormat="false" ht="15" hidden="false" customHeight="true" outlineLevel="0" collapsed="false">
      <c r="A681" s="12" t="s">
        <v>2094</v>
      </c>
      <c r="B681" s="12" t="s">
        <v>2095</v>
      </c>
      <c r="C681" s="12" t="n">
        <v>1</v>
      </c>
      <c r="D681" s="12" t="s">
        <v>2096</v>
      </c>
      <c r="E681" s="13" t="n">
        <v>0</v>
      </c>
      <c r="F681" s="13" t="n">
        <v>0</v>
      </c>
      <c r="G681" s="13" t="n">
        <v>0</v>
      </c>
      <c r="H681" s="13" t="n">
        <v>0</v>
      </c>
      <c r="I681" s="13" t="n">
        <v>0</v>
      </c>
      <c r="J681" s="13" t="n">
        <v>0</v>
      </c>
      <c r="K681" s="13" t="n">
        <v>0</v>
      </c>
      <c r="L681" s="13" t="n">
        <v>0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2495.796045</v>
      </c>
      <c r="T681" s="13" t="n">
        <v>2272.02304</v>
      </c>
      <c r="U681" s="13" t="n">
        <v>1631.947625</v>
      </c>
      <c r="V681" s="13" t="n">
        <v>2015.910312</v>
      </c>
      <c r="W681" s="13" t="n">
        <v>1791.975728</v>
      </c>
      <c r="X681" s="13" t="n">
        <v>2016.095766</v>
      </c>
      <c r="Y681" s="13" t="n">
        <v>1952.00571</v>
      </c>
      <c r="Z681" s="13" t="n">
        <v>2272.058976</v>
      </c>
      <c r="AA681" s="13" t="n">
        <v>2816.03382</v>
      </c>
      <c r="AB681" s="13" t="n">
        <v>2496.03659</v>
      </c>
      <c r="AC681" s="13" t="n">
        <v>2401.1548</v>
      </c>
      <c r="AD681" s="13" t="n">
        <v>2067.7816</v>
      </c>
      <c r="AE681" s="13" t="n">
        <v>1967.7168</v>
      </c>
      <c r="AF681" s="13" t="n">
        <v>2101.1298</v>
      </c>
      <c r="AG681" s="13" t="n">
        <v>3068.18902</v>
      </c>
      <c r="AH681" s="13" t="n">
        <v>2701.3104</v>
      </c>
      <c r="AI681" s="13" t="n">
        <v>2267.85805</v>
      </c>
      <c r="AJ681" s="13" t="n">
        <v>2201.07951</v>
      </c>
      <c r="AK681" s="13" t="n">
        <v>2067.66495</v>
      </c>
      <c r="AL681" s="13" t="n">
        <v>2668.045966</v>
      </c>
      <c r="AM681" s="13" t="n">
        <v>3801.832358</v>
      </c>
      <c r="AN681" s="13" t="n">
        <v>3568.426219</v>
      </c>
      <c r="AO681" s="13" t="n">
        <v>3630.958522</v>
      </c>
      <c r="AP681" s="13" t="n">
        <v>3630.83496</v>
      </c>
      <c r="AQ681" s="13" t="n">
        <v>3457.951081</v>
      </c>
      <c r="AR681" s="13" t="n">
        <v>3388.879468</v>
      </c>
      <c r="AS681" s="13" t="n">
        <v>3319.654266</v>
      </c>
      <c r="AT681" s="13" t="n">
        <v>3665.535104</v>
      </c>
    </row>
    <row r="682" customFormat="false" ht="15" hidden="false" customHeight="true" outlineLevel="0" collapsed="false">
      <c r="A682" s="12" t="s">
        <v>2097</v>
      </c>
      <c r="B682" s="12" t="s">
        <v>2098</v>
      </c>
      <c r="C682" s="12" t="n">
        <v>1</v>
      </c>
      <c r="D682" s="12" t="s">
        <v>2099</v>
      </c>
      <c r="E682" s="13" t="n">
        <v>0</v>
      </c>
      <c r="F682" s="13" t="n">
        <v>0</v>
      </c>
      <c r="G682" s="13" t="n">
        <v>0</v>
      </c>
      <c r="H682" s="13" t="n">
        <v>0</v>
      </c>
      <c r="I682" s="13" t="n">
        <v>0</v>
      </c>
      <c r="J682" s="13" t="n">
        <v>0</v>
      </c>
      <c r="K682" s="13" t="n">
        <v>0</v>
      </c>
      <c r="L682" s="13" t="n">
        <v>0</v>
      </c>
      <c r="M682" s="13" t="n">
        <v>0</v>
      </c>
      <c r="N682" s="13" t="n">
        <v>0</v>
      </c>
      <c r="O682" s="13" t="n">
        <v>0</v>
      </c>
      <c r="P682" s="13" t="n">
        <v>0</v>
      </c>
      <c r="Q682" s="13" t="n">
        <v>0</v>
      </c>
      <c r="R682" s="13" t="n">
        <v>0</v>
      </c>
      <c r="S682" s="13" t="n">
        <v>0</v>
      </c>
      <c r="T682" s="13" t="n">
        <v>0</v>
      </c>
      <c r="U682" s="13" t="n">
        <v>0</v>
      </c>
      <c r="V682" s="13" t="n">
        <v>0</v>
      </c>
      <c r="W682" s="13" t="n">
        <v>0</v>
      </c>
      <c r="X682" s="13" t="n">
        <v>0</v>
      </c>
      <c r="Y682" s="13" t="n">
        <v>0</v>
      </c>
      <c r="Z682" s="13" t="n">
        <v>0</v>
      </c>
      <c r="AA682" s="13" t="n">
        <v>8449.73418</v>
      </c>
      <c r="AB682" s="13" t="n">
        <v>8449.695978</v>
      </c>
      <c r="AC682" s="13" t="n">
        <v>8449.6412</v>
      </c>
      <c r="AD682" s="13" t="n">
        <v>8449.7374</v>
      </c>
      <c r="AE682" s="13" t="n">
        <v>8449.75152</v>
      </c>
      <c r="AF682" s="13" t="n">
        <v>8449.5532</v>
      </c>
      <c r="AG682" s="13" t="n">
        <v>8449.6293</v>
      </c>
      <c r="AH682" s="13" t="n">
        <v>8449.71555</v>
      </c>
      <c r="AI682" s="13" t="n">
        <v>8449.62744</v>
      </c>
      <c r="AJ682" s="13" t="n">
        <v>8449.61787</v>
      </c>
      <c r="AK682" s="13" t="n">
        <v>8449.707</v>
      </c>
      <c r="AL682" s="13" t="n">
        <v>8449.671737</v>
      </c>
      <c r="AM682" s="13" t="n">
        <v>0</v>
      </c>
      <c r="AN682" s="13" t="n">
        <v>0</v>
      </c>
      <c r="AO682" s="13" t="n">
        <v>0</v>
      </c>
      <c r="AP682" s="13" t="n">
        <v>0</v>
      </c>
      <c r="AQ682" s="13" t="n">
        <v>0</v>
      </c>
      <c r="AR682" s="13" t="n">
        <v>0</v>
      </c>
      <c r="AS682" s="13" t="n">
        <v>0</v>
      </c>
      <c r="AT682" s="13" t="n">
        <v>0</v>
      </c>
    </row>
    <row r="683" customFormat="false" ht="15" hidden="false" customHeight="true" outlineLevel="0" collapsed="false">
      <c r="A683" s="12" t="s">
        <v>2100</v>
      </c>
      <c r="B683" s="12" t="s">
        <v>2101</v>
      </c>
      <c r="C683" s="12" t="n">
        <v>1</v>
      </c>
      <c r="D683" s="12" t="s">
        <v>2102</v>
      </c>
      <c r="E683" s="13" t="n">
        <v>0</v>
      </c>
      <c r="F683" s="13" t="n">
        <v>0</v>
      </c>
      <c r="G683" s="13" t="n">
        <v>0</v>
      </c>
      <c r="H683" s="13" t="n">
        <v>0</v>
      </c>
      <c r="I683" s="13" t="n">
        <v>0</v>
      </c>
      <c r="J683" s="13" t="n">
        <v>0</v>
      </c>
      <c r="K683" s="13" t="n">
        <v>0</v>
      </c>
      <c r="L683" s="13" t="n">
        <v>0</v>
      </c>
      <c r="M683" s="13" t="n">
        <v>0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3" t="n">
        <v>0</v>
      </c>
      <c r="W683" s="13" t="n">
        <v>0</v>
      </c>
      <c r="X683" s="13" t="n">
        <v>0</v>
      </c>
      <c r="Y683" s="13" t="n">
        <v>0</v>
      </c>
      <c r="Z683" s="13" t="n">
        <v>0</v>
      </c>
      <c r="AA683" s="13" t="n">
        <v>0</v>
      </c>
      <c r="AB683" s="13" t="n">
        <v>0</v>
      </c>
      <c r="AC683" s="13" t="n">
        <v>0</v>
      </c>
      <c r="AD683" s="13" t="n">
        <v>0</v>
      </c>
      <c r="AE683" s="13" t="n">
        <v>0</v>
      </c>
      <c r="AF683" s="13" t="n">
        <v>0</v>
      </c>
      <c r="AG683" s="13" t="n">
        <v>0</v>
      </c>
      <c r="AH683" s="13" t="n">
        <v>0</v>
      </c>
      <c r="AI683" s="13" t="n">
        <v>0</v>
      </c>
      <c r="AJ683" s="13" t="n">
        <v>0</v>
      </c>
      <c r="AK683" s="13" t="n">
        <v>0</v>
      </c>
      <c r="AL683" s="13" t="n">
        <v>0</v>
      </c>
      <c r="AM683" s="13" t="n">
        <v>0</v>
      </c>
      <c r="AN683" s="13" t="n">
        <v>0</v>
      </c>
      <c r="AO683" s="13" t="n">
        <v>3099.960362</v>
      </c>
      <c r="AP683" s="13" t="n">
        <v>0</v>
      </c>
      <c r="AQ683" s="13" t="n">
        <v>1000.066179</v>
      </c>
      <c r="AR683" s="13" t="n">
        <v>2999.960026</v>
      </c>
      <c r="AS683" s="13" t="n">
        <v>3349.946241</v>
      </c>
      <c r="AT683" s="13" t="n">
        <v>3850.001968</v>
      </c>
    </row>
    <row r="684" customFormat="false" ht="15" hidden="false" customHeight="true" outlineLevel="0" collapsed="false">
      <c r="A684" s="12" t="s">
        <v>2103</v>
      </c>
      <c r="B684" s="12" t="s">
        <v>2104</v>
      </c>
      <c r="C684" s="12" t="n">
        <v>1</v>
      </c>
      <c r="D684" s="12" t="s">
        <v>2105</v>
      </c>
      <c r="E684" s="13" t="n">
        <v>0</v>
      </c>
      <c r="F684" s="13" t="n">
        <v>0</v>
      </c>
      <c r="G684" s="13" t="n">
        <v>0</v>
      </c>
      <c r="H684" s="13" t="n">
        <v>0</v>
      </c>
      <c r="I684" s="13" t="n">
        <v>0</v>
      </c>
      <c r="J684" s="13" t="n">
        <v>0</v>
      </c>
      <c r="K684" s="13" t="n">
        <v>0</v>
      </c>
      <c r="L684" s="13" t="n">
        <v>0</v>
      </c>
      <c r="M684" s="13" t="n">
        <v>0</v>
      </c>
      <c r="N684" s="13" t="n">
        <v>0</v>
      </c>
      <c r="O684" s="13" t="n">
        <v>0</v>
      </c>
      <c r="P684" s="13" t="n">
        <v>0</v>
      </c>
      <c r="Q684" s="13" t="n">
        <v>0</v>
      </c>
      <c r="R684" s="13" t="n">
        <v>0</v>
      </c>
      <c r="S684" s="13" t="n">
        <v>0</v>
      </c>
      <c r="T684" s="13" t="n">
        <v>0</v>
      </c>
      <c r="U684" s="13" t="n">
        <v>0</v>
      </c>
      <c r="V684" s="13" t="n">
        <v>0</v>
      </c>
      <c r="W684" s="13" t="n">
        <v>0</v>
      </c>
      <c r="X684" s="13" t="n">
        <v>0</v>
      </c>
      <c r="Y684" s="13" t="n">
        <v>0</v>
      </c>
      <c r="Z684" s="13" t="n">
        <v>0</v>
      </c>
      <c r="AA684" s="13" t="n">
        <v>0</v>
      </c>
      <c r="AB684" s="13" t="n">
        <v>0</v>
      </c>
      <c r="AC684" s="13" t="n">
        <v>0</v>
      </c>
      <c r="AD684" s="13" t="n">
        <v>1221.9456</v>
      </c>
      <c r="AE684" s="13" t="n">
        <v>2392.08228</v>
      </c>
      <c r="AF684" s="13" t="n">
        <v>1195.9464</v>
      </c>
      <c r="AG684" s="13" t="n">
        <v>1143.98544</v>
      </c>
      <c r="AH684" s="13" t="n">
        <v>1117.992</v>
      </c>
      <c r="AI684" s="13" t="n">
        <v>1143.98542</v>
      </c>
      <c r="AJ684" s="13" t="n">
        <v>1092.05901</v>
      </c>
      <c r="AK684" s="13" t="n">
        <v>1013.92815</v>
      </c>
      <c r="AL684" s="13" t="n">
        <v>987.946884</v>
      </c>
      <c r="AM684" s="13" t="n">
        <v>961.922652</v>
      </c>
      <c r="AN684" s="13" t="n">
        <v>0</v>
      </c>
      <c r="AO684" s="13" t="n">
        <v>0</v>
      </c>
      <c r="AP684" s="13" t="n">
        <v>0</v>
      </c>
      <c r="AQ684" s="13" t="n">
        <v>0</v>
      </c>
      <c r="AR684" s="13" t="n">
        <v>0</v>
      </c>
      <c r="AS684" s="13" t="n">
        <v>0</v>
      </c>
      <c r="AT684" s="13" t="n">
        <v>0</v>
      </c>
    </row>
    <row r="685" customFormat="false" ht="15" hidden="false" customHeight="true" outlineLevel="0" collapsed="false">
      <c r="A685" s="12" t="s">
        <v>2106</v>
      </c>
      <c r="B685" s="12" t="s">
        <v>2107</v>
      </c>
      <c r="C685" s="12" t="n">
        <v>1</v>
      </c>
      <c r="D685" s="12" t="s">
        <v>2108</v>
      </c>
      <c r="E685" s="13" t="n">
        <v>0</v>
      </c>
      <c r="F685" s="13" t="n">
        <v>0</v>
      </c>
      <c r="G685" s="13" t="n">
        <v>0</v>
      </c>
      <c r="H685" s="13" t="n">
        <v>0</v>
      </c>
      <c r="I685" s="13" t="n">
        <v>0</v>
      </c>
      <c r="J685" s="13" t="n">
        <v>1440.02517</v>
      </c>
      <c r="K685" s="13" t="n">
        <v>1056.041952</v>
      </c>
      <c r="L685" s="13" t="n">
        <v>1007.947759</v>
      </c>
      <c r="M685" s="13" t="n">
        <v>911.99511</v>
      </c>
      <c r="N685" s="13" t="n">
        <v>912.062544</v>
      </c>
      <c r="O685" s="13" t="n">
        <v>912.0187</v>
      </c>
      <c r="P685" s="13" t="n">
        <v>959.944342</v>
      </c>
      <c r="Q685" s="13" t="n">
        <v>1360.838718</v>
      </c>
      <c r="R685" s="13" t="n">
        <v>1411.134465</v>
      </c>
      <c r="S685" s="13" t="n">
        <v>1159.15824</v>
      </c>
      <c r="T685" s="13" t="n">
        <v>1159.16416</v>
      </c>
      <c r="U685" s="13" t="n">
        <v>0</v>
      </c>
      <c r="V685" s="13" t="n">
        <v>0</v>
      </c>
      <c r="W685" s="13" t="n">
        <v>0</v>
      </c>
      <c r="X685" s="13" t="n">
        <v>0</v>
      </c>
      <c r="Y685" s="13" t="n">
        <v>0</v>
      </c>
      <c r="Z685" s="13" t="n">
        <v>0</v>
      </c>
      <c r="AA685" s="13" t="n">
        <v>0</v>
      </c>
      <c r="AB685" s="13" t="n">
        <v>0</v>
      </c>
      <c r="AC685" s="13" t="n">
        <v>0</v>
      </c>
      <c r="AD685" s="13" t="n">
        <v>0</v>
      </c>
      <c r="AE685" s="13" t="n">
        <v>0</v>
      </c>
      <c r="AF685" s="13" t="n">
        <v>0</v>
      </c>
      <c r="AG685" s="13" t="n">
        <v>0</v>
      </c>
      <c r="AH685" s="13" t="n">
        <v>0</v>
      </c>
      <c r="AI685" s="13" t="n">
        <v>0</v>
      </c>
      <c r="AJ685" s="13" t="n">
        <v>0</v>
      </c>
      <c r="AK685" s="13" t="n">
        <v>0</v>
      </c>
      <c r="AL685" s="13" t="n">
        <v>0</v>
      </c>
      <c r="AM685" s="13" t="n">
        <v>0</v>
      </c>
      <c r="AN685" s="13" t="n">
        <v>0</v>
      </c>
      <c r="AO685" s="13" t="n">
        <v>0</v>
      </c>
      <c r="AP685" s="13" t="n">
        <v>0</v>
      </c>
      <c r="AQ685" s="13" t="n">
        <v>0</v>
      </c>
      <c r="AR685" s="13" t="n">
        <v>0</v>
      </c>
      <c r="AS685" s="13" t="n">
        <v>0</v>
      </c>
      <c r="AT685" s="13" t="n">
        <v>0</v>
      </c>
    </row>
    <row r="686" customFormat="false" ht="15" hidden="false" customHeight="true" outlineLevel="0" collapsed="false">
      <c r="A686" s="12" t="s">
        <v>2109</v>
      </c>
      <c r="B686" s="12" t="s">
        <v>2110</v>
      </c>
      <c r="C686" s="12" t="n">
        <v>1</v>
      </c>
      <c r="D686" s="12" t="s">
        <v>2111</v>
      </c>
      <c r="E686" s="13" t="n">
        <v>0</v>
      </c>
      <c r="F686" s="13" t="n">
        <v>0</v>
      </c>
      <c r="G686" s="13" t="n">
        <v>0</v>
      </c>
      <c r="H686" s="13" t="n">
        <v>0</v>
      </c>
      <c r="I686" s="13" t="n">
        <v>0</v>
      </c>
      <c r="J686" s="13" t="n">
        <v>0</v>
      </c>
      <c r="K686" s="13" t="n">
        <v>0</v>
      </c>
      <c r="L686" s="13" t="n">
        <v>0</v>
      </c>
      <c r="M686" s="13" t="n">
        <v>0</v>
      </c>
      <c r="N686" s="13" t="n">
        <v>0</v>
      </c>
      <c r="O686" s="13" t="n">
        <v>0</v>
      </c>
      <c r="P686" s="13" t="n">
        <v>0</v>
      </c>
      <c r="Q686" s="13" t="n">
        <v>0</v>
      </c>
      <c r="R686" s="13" t="n">
        <v>0</v>
      </c>
      <c r="S686" s="13" t="n">
        <v>0</v>
      </c>
      <c r="T686" s="13" t="n">
        <v>0</v>
      </c>
      <c r="U686" s="13" t="n">
        <v>0</v>
      </c>
      <c r="V686" s="13" t="n">
        <v>0</v>
      </c>
      <c r="W686" s="13" t="n">
        <v>0</v>
      </c>
      <c r="X686" s="13" t="n">
        <v>0</v>
      </c>
      <c r="Y686" s="13" t="n">
        <v>0</v>
      </c>
      <c r="Z686" s="13" t="n">
        <v>419.97208</v>
      </c>
      <c r="AA686" s="13" t="n">
        <v>420.01722</v>
      </c>
      <c r="AB686" s="13" t="n">
        <v>359.987766</v>
      </c>
      <c r="AC686" s="13" t="n">
        <v>420.0108</v>
      </c>
      <c r="AD686" s="13" t="n">
        <v>420.0438</v>
      </c>
      <c r="AE686" s="13" t="n">
        <v>420.07896</v>
      </c>
      <c r="AF686" s="13" t="n">
        <v>419.991</v>
      </c>
      <c r="AG686" s="13" t="n">
        <v>359.9077</v>
      </c>
      <c r="AH686" s="13" t="n">
        <v>420.0024</v>
      </c>
      <c r="AI686" s="13" t="n">
        <v>359.96255</v>
      </c>
      <c r="AJ686" s="13" t="n">
        <v>419.93667</v>
      </c>
      <c r="AK686" s="13" t="n">
        <v>419.91705</v>
      </c>
      <c r="AL686" s="13" t="n">
        <v>360.073855</v>
      </c>
      <c r="AM686" s="13" t="n">
        <v>239.930364</v>
      </c>
      <c r="AN686" s="13" t="n">
        <v>240.077055</v>
      </c>
      <c r="AO686" s="13" t="n">
        <v>248.776086</v>
      </c>
      <c r="AP686" s="13" t="n">
        <v>248.83152</v>
      </c>
      <c r="AQ686" s="13" t="n">
        <v>248.794302</v>
      </c>
      <c r="AR686" s="13" t="n">
        <v>248.754068</v>
      </c>
      <c r="AS686" s="13" t="n">
        <v>248.913486</v>
      </c>
      <c r="AT686" s="13" t="n">
        <v>248.872752</v>
      </c>
    </row>
    <row r="687" customFormat="false" ht="15" hidden="false" customHeight="true" outlineLevel="0" collapsed="false">
      <c r="A687" s="12" t="s">
        <v>2112</v>
      </c>
      <c r="B687" s="12" t="s">
        <v>2113</v>
      </c>
      <c r="C687" s="12" t="n">
        <v>1</v>
      </c>
      <c r="D687" s="12" t="s">
        <v>2114</v>
      </c>
      <c r="E687" s="13" t="n">
        <v>0</v>
      </c>
      <c r="F687" s="13" t="n">
        <v>0</v>
      </c>
      <c r="G687" s="13" t="n">
        <v>0</v>
      </c>
      <c r="H687" s="13" t="n">
        <v>0</v>
      </c>
      <c r="I687" s="13" t="n">
        <v>0</v>
      </c>
      <c r="J687" s="13" t="n">
        <v>0</v>
      </c>
      <c r="K687" s="13" t="n">
        <v>0</v>
      </c>
      <c r="L687" s="13" t="n">
        <v>0</v>
      </c>
      <c r="M687" s="13" t="n">
        <v>0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2521.931322</v>
      </c>
      <c r="V687" s="13" t="n">
        <v>364.050336</v>
      </c>
      <c r="W687" s="13" t="n">
        <v>2638.931296</v>
      </c>
      <c r="X687" s="13" t="n">
        <v>8865.90358</v>
      </c>
      <c r="Y687" s="13" t="n">
        <v>10361.084872</v>
      </c>
      <c r="Z687" s="13" t="n">
        <v>13350.9024</v>
      </c>
      <c r="AA687" s="13" t="n">
        <v>12154.98813</v>
      </c>
      <c r="AB687" s="13" t="n">
        <v>14430.066094</v>
      </c>
      <c r="AC687" s="13" t="n">
        <v>16910.4496</v>
      </c>
      <c r="AD687" s="13" t="n">
        <v>19674.5149</v>
      </c>
      <c r="AE687" s="13" t="n">
        <v>22316.84784</v>
      </c>
      <c r="AF687" s="13" t="n">
        <v>30473.9204</v>
      </c>
      <c r="AG687" s="13" t="n">
        <v>41856.01114</v>
      </c>
      <c r="AH687" s="13" t="n">
        <v>60554.94135</v>
      </c>
      <c r="AI687" s="13" t="n">
        <v>63806.98041</v>
      </c>
      <c r="AJ687" s="13" t="n">
        <v>64430.17686</v>
      </c>
      <c r="AK687" s="13" t="n">
        <v>69294.75195</v>
      </c>
      <c r="AL687" s="13" t="n">
        <v>69186.303383</v>
      </c>
      <c r="AM687" s="13" t="n">
        <v>79142.534716</v>
      </c>
      <c r="AN687" s="13" t="n">
        <v>89118.04148</v>
      </c>
      <c r="AO687" s="13" t="n">
        <v>83716.859582</v>
      </c>
      <c r="AP687" s="13" t="n">
        <v>95148.03096</v>
      </c>
      <c r="AQ687" s="13" t="n">
        <v>101420.073738</v>
      </c>
      <c r="AR687" s="13" t="n">
        <v>99800.026826</v>
      </c>
      <c r="AS687" s="13" t="n">
        <v>90520.037568</v>
      </c>
      <c r="AT687" s="13" t="n">
        <v>92499.981368</v>
      </c>
    </row>
    <row r="688" customFormat="false" ht="15" hidden="false" customHeight="true" outlineLevel="0" collapsed="false">
      <c r="A688" s="12" t="s">
        <v>2115</v>
      </c>
      <c r="B688" s="12" t="s">
        <v>2116</v>
      </c>
      <c r="C688" s="12" t="n">
        <v>1</v>
      </c>
      <c r="D688" s="12" t="s">
        <v>2117</v>
      </c>
      <c r="E688" s="13" t="n">
        <v>0</v>
      </c>
      <c r="F688" s="13" t="n">
        <v>0</v>
      </c>
      <c r="G688" s="13" t="n">
        <v>0</v>
      </c>
      <c r="H688" s="13" t="n">
        <v>0</v>
      </c>
      <c r="I688" s="13" t="n">
        <v>2624.987036</v>
      </c>
      <c r="J688" s="13" t="n">
        <v>7775.075315</v>
      </c>
      <c r="K688" s="13" t="n">
        <v>8200.012224</v>
      </c>
      <c r="L688" s="13" t="n">
        <v>9049.927362</v>
      </c>
      <c r="M688" s="13" t="n">
        <v>9174.94578</v>
      </c>
      <c r="N688" s="13" t="n">
        <v>9350.0865</v>
      </c>
      <c r="O688" s="13" t="n">
        <v>9375.035999</v>
      </c>
      <c r="P688" s="13" t="n">
        <v>9750.01629</v>
      </c>
      <c r="Q688" s="13" t="n">
        <v>13098.802356</v>
      </c>
      <c r="R688" s="13" t="n">
        <v>12783.801312</v>
      </c>
      <c r="S688" s="13" t="n">
        <v>12468.725115</v>
      </c>
      <c r="T688" s="13" t="n">
        <v>12993.73824</v>
      </c>
      <c r="U688" s="13" t="n">
        <v>13623.753103</v>
      </c>
      <c r="V688" s="13" t="n">
        <v>13807.56702</v>
      </c>
      <c r="W688" s="13" t="n">
        <v>14647.437472</v>
      </c>
      <c r="X688" s="13" t="n">
        <v>14463.657822</v>
      </c>
      <c r="Y688" s="13" t="n">
        <v>14122.559516</v>
      </c>
      <c r="Z688" s="13" t="n">
        <v>14647.503552</v>
      </c>
      <c r="AA688" s="13" t="n">
        <v>15644.92713</v>
      </c>
      <c r="AB688" s="13" t="n">
        <v>15776.327256</v>
      </c>
      <c r="AC688" s="13" t="n">
        <v>16744.3892</v>
      </c>
      <c r="AD688" s="13" t="n">
        <v>17482.9374</v>
      </c>
      <c r="AE688" s="13" t="n">
        <v>15968.71584</v>
      </c>
      <c r="AF688" s="13" t="n">
        <v>14796.4102</v>
      </c>
      <c r="AG688" s="13" t="n">
        <v>8570.43478</v>
      </c>
      <c r="AH688" s="13" t="n">
        <v>7606.68915</v>
      </c>
      <c r="AI688" s="13" t="n">
        <v>7293.98788</v>
      </c>
      <c r="AJ688" s="13" t="n">
        <v>6981.42384</v>
      </c>
      <c r="AK688" s="13" t="n">
        <v>7085.5728</v>
      </c>
      <c r="AL688" s="13" t="n">
        <v>6851.164838</v>
      </c>
      <c r="AM688" s="13" t="n">
        <v>6851.22255</v>
      </c>
      <c r="AN688" s="13" t="n">
        <v>6773.050279</v>
      </c>
      <c r="AO688" s="13" t="n">
        <v>7103.652008</v>
      </c>
      <c r="AP688" s="13" t="n">
        <v>7076.6856</v>
      </c>
      <c r="AQ688" s="13" t="n">
        <v>7103.674863</v>
      </c>
      <c r="AR688" s="13" t="n">
        <v>7454.72787</v>
      </c>
      <c r="AS688" s="13" t="n">
        <v>7481.771631</v>
      </c>
      <c r="AT688" s="13" t="n">
        <v>7616.871336</v>
      </c>
    </row>
    <row r="689" customFormat="false" ht="15" hidden="false" customHeight="true" outlineLevel="0" collapsed="false">
      <c r="A689" s="12" t="s">
        <v>2118</v>
      </c>
      <c r="B689" s="12" t="s">
        <v>2119</v>
      </c>
      <c r="C689" s="12" t="n">
        <v>1</v>
      </c>
      <c r="D689" s="12" t="s">
        <v>2120</v>
      </c>
      <c r="E689" s="13" t="n">
        <v>0</v>
      </c>
      <c r="F689" s="13" t="n">
        <v>0</v>
      </c>
      <c r="G689" s="13" t="n">
        <v>0</v>
      </c>
      <c r="H689" s="13" t="n">
        <v>0</v>
      </c>
      <c r="I689" s="13" t="n">
        <v>0</v>
      </c>
      <c r="J689" s="13" t="n">
        <v>507.03666</v>
      </c>
      <c r="K689" s="13" t="n">
        <v>546.044448</v>
      </c>
      <c r="L689" s="13" t="n">
        <v>545.92286</v>
      </c>
      <c r="M689" s="13" t="n">
        <v>585.023535</v>
      </c>
      <c r="N689" s="13" t="n">
        <v>624.061812</v>
      </c>
      <c r="O689" s="13" t="n">
        <v>623.958454</v>
      </c>
      <c r="P689" s="13" t="n">
        <v>623.946904</v>
      </c>
      <c r="Q689" s="13" t="n">
        <v>696.215115</v>
      </c>
      <c r="R689" s="13" t="n">
        <v>818.987913</v>
      </c>
      <c r="S689" s="13" t="n">
        <v>737.04468</v>
      </c>
      <c r="T689" s="13" t="n">
        <v>696.11136</v>
      </c>
      <c r="U689" s="13" t="n">
        <v>778.078717</v>
      </c>
      <c r="V689" s="13" t="n">
        <v>860.013648</v>
      </c>
      <c r="W689" s="13" t="n">
        <v>778.1416</v>
      </c>
      <c r="X689" s="13" t="n">
        <v>860.018426</v>
      </c>
      <c r="Y689" s="13" t="n">
        <v>859.945632</v>
      </c>
      <c r="Z689" s="13" t="n">
        <v>859.99056</v>
      </c>
      <c r="AA689" s="13" t="n">
        <v>819.01317</v>
      </c>
      <c r="AB689" s="13" t="n">
        <v>818.926638</v>
      </c>
      <c r="AC689" s="13" t="n">
        <v>853.4636</v>
      </c>
      <c r="AD689" s="13" t="n">
        <v>896.1345</v>
      </c>
      <c r="AE689" s="13" t="n">
        <v>938.74788</v>
      </c>
      <c r="AF689" s="13" t="n">
        <v>938.6652</v>
      </c>
      <c r="AG689" s="13" t="n">
        <v>938.65472</v>
      </c>
      <c r="AH689" s="13" t="n">
        <v>896.09325</v>
      </c>
      <c r="AI689" s="13" t="n">
        <v>896.05299</v>
      </c>
      <c r="AJ689" s="13" t="n">
        <v>938.66004</v>
      </c>
      <c r="AK689" s="13" t="n">
        <v>938.71365</v>
      </c>
      <c r="AL689" s="13" t="n">
        <v>938.770557</v>
      </c>
      <c r="AM689" s="13" t="n">
        <v>896.070205</v>
      </c>
      <c r="AN689" s="13" t="n">
        <v>896.107839</v>
      </c>
      <c r="AO689" s="13" t="n">
        <v>929.074378</v>
      </c>
      <c r="AP689" s="13" t="n">
        <v>973.2384</v>
      </c>
      <c r="AQ689" s="13" t="n">
        <v>973.267375</v>
      </c>
      <c r="AR689" s="13" t="n">
        <v>973.263448</v>
      </c>
      <c r="AS689" s="13" t="n">
        <v>973.324431</v>
      </c>
      <c r="AT689" s="13" t="n">
        <v>1017.543024</v>
      </c>
    </row>
    <row r="690" customFormat="false" ht="15" hidden="false" customHeight="true" outlineLevel="0" collapsed="false">
      <c r="A690" s="12" t="s">
        <v>2121</v>
      </c>
      <c r="B690" s="12" t="s">
        <v>2122</v>
      </c>
      <c r="C690" s="12" t="n">
        <v>1</v>
      </c>
      <c r="D690" s="12" t="s">
        <v>2123</v>
      </c>
      <c r="E690" s="13" t="n">
        <v>0</v>
      </c>
      <c r="F690" s="13" t="n">
        <v>0</v>
      </c>
      <c r="G690" s="13" t="n">
        <v>0</v>
      </c>
      <c r="H690" s="13" t="n">
        <v>0</v>
      </c>
      <c r="I690" s="13" t="n">
        <v>0</v>
      </c>
      <c r="J690" s="13" t="n">
        <v>0</v>
      </c>
      <c r="K690" s="13" t="n">
        <v>0</v>
      </c>
      <c r="L690" s="13" t="n">
        <v>720.0823</v>
      </c>
      <c r="M690" s="13" t="n">
        <v>720.042525</v>
      </c>
      <c r="N690" s="13" t="n">
        <v>720.00183</v>
      </c>
      <c r="O690" s="13" t="n">
        <v>765.063234</v>
      </c>
      <c r="P690" s="13" t="n">
        <v>765.045526</v>
      </c>
      <c r="Q690" s="13" t="n">
        <v>850.567122</v>
      </c>
      <c r="R690" s="13" t="n">
        <v>897.792636</v>
      </c>
      <c r="S690" s="13" t="n">
        <v>850.51251</v>
      </c>
      <c r="T690" s="13" t="n">
        <v>756.03584</v>
      </c>
      <c r="U690" s="13" t="n">
        <v>850.477848</v>
      </c>
      <c r="V690" s="13" t="n">
        <v>803.26896</v>
      </c>
      <c r="W690" s="13" t="n">
        <v>803.267136</v>
      </c>
      <c r="X690" s="13" t="n">
        <v>803.305198</v>
      </c>
      <c r="Y690" s="13" t="n">
        <v>803.24592</v>
      </c>
      <c r="Z690" s="13" t="n">
        <v>803.259248</v>
      </c>
      <c r="AA690" s="13" t="n">
        <v>803.29824</v>
      </c>
      <c r="AB690" s="13" t="n">
        <v>803.34538</v>
      </c>
      <c r="AC690" s="13" t="n">
        <v>803.2112</v>
      </c>
      <c r="AD690" s="13" t="n">
        <v>0</v>
      </c>
      <c r="AE690" s="13" t="n">
        <v>0</v>
      </c>
      <c r="AF690" s="13" t="n">
        <v>0</v>
      </c>
      <c r="AG690" s="13" t="n">
        <v>0</v>
      </c>
      <c r="AH690" s="13" t="n">
        <v>0</v>
      </c>
      <c r="AI690" s="13" t="n">
        <v>0</v>
      </c>
      <c r="AJ690" s="13" t="n">
        <v>0</v>
      </c>
      <c r="AK690" s="13" t="n">
        <v>0</v>
      </c>
      <c r="AL690" s="13" t="n">
        <v>0</v>
      </c>
      <c r="AM690" s="13" t="n">
        <v>0</v>
      </c>
      <c r="AN690" s="13" t="n">
        <v>0</v>
      </c>
      <c r="AO690" s="13" t="n">
        <v>0</v>
      </c>
      <c r="AP690" s="13" t="n">
        <v>0</v>
      </c>
      <c r="AQ690" s="13" t="n">
        <v>0</v>
      </c>
      <c r="AR690" s="13" t="n">
        <v>0</v>
      </c>
      <c r="AS690" s="13" t="n">
        <v>0</v>
      </c>
      <c r="AT690" s="13" t="n">
        <v>0</v>
      </c>
    </row>
    <row r="691" customFormat="false" ht="15" hidden="false" customHeight="true" outlineLevel="0" collapsed="false">
      <c r="A691" s="12" t="s">
        <v>2124</v>
      </c>
      <c r="B691" s="12" t="s">
        <v>1682</v>
      </c>
      <c r="C691" s="12" t="n">
        <v>1</v>
      </c>
      <c r="D691" s="12" t="s">
        <v>2125</v>
      </c>
      <c r="E691" s="13" t="n">
        <v>0</v>
      </c>
      <c r="F691" s="13" t="n">
        <v>0</v>
      </c>
      <c r="G691" s="13" t="n">
        <v>0</v>
      </c>
      <c r="H691" s="13" t="n">
        <v>0</v>
      </c>
      <c r="I691" s="13" t="n">
        <v>0</v>
      </c>
      <c r="J691" s="13" t="n">
        <v>0</v>
      </c>
      <c r="K691" s="13" t="n">
        <v>0</v>
      </c>
      <c r="L691" s="13" t="n">
        <v>60620.044695</v>
      </c>
      <c r="M691" s="13" t="n">
        <v>60660.013365</v>
      </c>
      <c r="N691" s="13" t="n">
        <v>42350.01981</v>
      </c>
      <c r="O691" s="13" t="n">
        <v>27445.051789</v>
      </c>
      <c r="P691" s="13" t="n">
        <v>22734.980723</v>
      </c>
      <c r="Q691" s="13" t="n">
        <v>33575.939694</v>
      </c>
      <c r="R691" s="13" t="n">
        <v>22523.962509</v>
      </c>
      <c r="S691" s="13" t="n">
        <v>19786.07691</v>
      </c>
      <c r="T691" s="13" t="n">
        <v>7356.0704</v>
      </c>
      <c r="U691" s="13" t="n">
        <v>8174.997895</v>
      </c>
      <c r="V691" s="13" t="n">
        <v>9950.954832</v>
      </c>
      <c r="W691" s="13" t="n">
        <v>31123.976464</v>
      </c>
      <c r="X691" s="13" t="n">
        <v>30594.010334</v>
      </c>
      <c r="Y691" s="13" t="n">
        <v>30303.042954</v>
      </c>
      <c r="Z691" s="13" t="n">
        <v>31706.989952</v>
      </c>
      <c r="AA691" s="13" t="n">
        <v>31367.00028</v>
      </c>
      <c r="AB691" s="13" t="n">
        <v>26954.969278</v>
      </c>
      <c r="AC691" s="13" t="n">
        <v>5913.0324</v>
      </c>
      <c r="AD691" s="13" t="n">
        <v>15905.0016</v>
      </c>
      <c r="AE691" s="13" t="n">
        <v>18069.92712</v>
      </c>
      <c r="AF691" s="13" t="n">
        <v>14550.0938</v>
      </c>
      <c r="AG691" s="13" t="n">
        <v>14800.02216</v>
      </c>
      <c r="AH691" s="13" t="n">
        <v>17760.02055</v>
      </c>
      <c r="AI691" s="13" t="n">
        <v>16359.96895</v>
      </c>
      <c r="AJ691" s="13" t="n">
        <v>16160.013</v>
      </c>
      <c r="AK691" s="13" t="n">
        <v>6929.82375</v>
      </c>
      <c r="AL691" s="13" t="n">
        <v>11659.946567</v>
      </c>
      <c r="AM691" s="13" t="n">
        <v>10179.981201</v>
      </c>
      <c r="AN691" s="13" t="n">
        <v>9955.015381</v>
      </c>
      <c r="AO691" s="13" t="n">
        <v>9985.006634</v>
      </c>
      <c r="AP691" s="13" t="n">
        <v>9005.0436</v>
      </c>
      <c r="AQ691" s="13" t="n">
        <v>9184.927925</v>
      </c>
      <c r="AR691" s="13" t="n">
        <v>9090.049042</v>
      </c>
      <c r="AS691" s="13" t="n">
        <v>8544.933405</v>
      </c>
      <c r="AT691" s="13" t="n">
        <v>8585.059848</v>
      </c>
    </row>
    <row r="692" customFormat="false" ht="15" hidden="false" customHeight="true" outlineLevel="0" collapsed="false">
      <c r="A692" s="12" t="s">
        <v>2126</v>
      </c>
      <c r="B692" s="12" t="s">
        <v>2127</v>
      </c>
      <c r="C692" s="12" t="n">
        <v>1</v>
      </c>
      <c r="D692" s="12" t="s">
        <v>2128</v>
      </c>
      <c r="E692" s="13" t="n">
        <v>0</v>
      </c>
      <c r="F692" s="13" t="n">
        <v>0</v>
      </c>
      <c r="G692" s="13" t="n">
        <v>0</v>
      </c>
      <c r="H692" s="13" t="n">
        <v>0</v>
      </c>
      <c r="I692" s="13" t="n">
        <v>0</v>
      </c>
      <c r="J692" s="13" t="n">
        <v>0</v>
      </c>
      <c r="K692" s="13" t="n">
        <v>0</v>
      </c>
      <c r="L692" s="13" t="n">
        <v>0</v>
      </c>
      <c r="M692" s="13" t="n">
        <v>0</v>
      </c>
      <c r="N692" s="13" t="n">
        <v>0</v>
      </c>
      <c r="O692" s="13" t="n">
        <v>0</v>
      </c>
      <c r="P692" s="13" t="n">
        <v>0</v>
      </c>
      <c r="Q692" s="13" t="n">
        <v>0</v>
      </c>
      <c r="R692" s="13" t="n">
        <v>0</v>
      </c>
      <c r="S692" s="13" t="n">
        <v>0</v>
      </c>
      <c r="T692" s="13" t="n">
        <v>0</v>
      </c>
      <c r="U692" s="13" t="n">
        <v>0</v>
      </c>
      <c r="V692" s="13" t="n">
        <v>0</v>
      </c>
      <c r="W692" s="13" t="n">
        <v>0</v>
      </c>
      <c r="X692" s="13" t="n">
        <v>0</v>
      </c>
      <c r="Y692" s="13" t="n">
        <v>0</v>
      </c>
      <c r="Z692" s="13" t="n">
        <v>0</v>
      </c>
      <c r="AA692" s="13" t="n">
        <v>0</v>
      </c>
      <c r="AB692" s="13" t="n">
        <v>0</v>
      </c>
      <c r="AC692" s="13" t="n">
        <v>0</v>
      </c>
      <c r="AD692" s="13" t="n">
        <v>0</v>
      </c>
      <c r="AE692" s="13" t="n">
        <v>0</v>
      </c>
      <c r="AF692" s="13" t="n">
        <v>0</v>
      </c>
      <c r="AG692" s="13" t="n">
        <v>0</v>
      </c>
      <c r="AH692" s="13" t="n">
        <v>0</v>
      </c>
      <c r="AI692" s="13" t="n">
        <v>0</v>
      </c>
      <c r="AJ692" s="13" t="n">
        <v>0</v>
      </c>
      <c r="AK692" s="13" t="n">
        <v>0</v>
      </c>
      <c r="AL692" s="13" t="n">
        <v>0</v>
      </c>
      <c r="AM692" s="13" t="n">
        <v>0</v>
      </c>
      <c r="AN692" s="13" t="n">
        <v>0</v>
      </c>
      <c r="AO692" s="13" t="n">
        <v>1234.915526</v>
      </c>
      <c r="AP692" s="13" t="n">
        <v>1364.9496</v>
      </c>
      <c r="AQ692" s="13" t="n">
        <v>1364.928274</v>
      </c>
      <c r="AR692" s="13" t="n">
        <v>0</v>
      </c>
      <c r="AS692" s="13" t="n">
        <v>0</v>
      </c>
      <c r="AT692" s="13" t="n">
        <v>0</v>
      </c>
    </row>
    <row r="693" customFormat="false" ht="15" hidden="false" customHeight="true" outlineLevel="0" collapsed="false">
      <c r="A693" s="12" t="s">
        <v>2129</v>
      </c>
      <c r="B693" s="12" t="s">
        <v>2130</v>
      </c>
      <c r="C693" s="12" t="n">
        <v>1</v>
      </c>
      <c r="D693" s="12" t="s">
        <v>2131</v>
      </c>
      <c r="E693" s="13" t="n">
        <v>0</v>
      </c>
      <c r="F693" s="13" t="n">
        <v>0</v>
      </c>
      <c r="G693" s="13" t="n">
        <v>0</v>
      </c>
      <c r="H693" s="13" t="n">
        <v>0</v>
      </c>
      <c r="I693" s="13" t="n">
        <v>0</v>
      </c>
      <c r="J693" s="13" t="n">
        <v>0</v>
      </c>
      <c r="K693" s="13" t="n">
        <v>0</v>
      </c>
      <c r="L693" s="13" t="n">
        <v>0</v>
      </c>
      <c r="M693" s="13" t="n">
        <v>0</v>
      </c>
      <c r="N693" s="1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0</v>
      </c>
      <c r="X693" s="13" t="n">
        <v>504.073516</v>
      </c>
      <c r="Y693" s="13" t="n">
        <v>503.99744</v>
      </c>
      <c r="Z693" s="13" t="n">
        <v>503.966496</v>
      </c>
      <c r="AA693" s="13" t="n">
        <v>503.89821</v>
      </c>
      <c r="AB693" s="13" t="n">
        <v>504.063814</v>
      </c>
      <c r="AC693" s="13" t="n">
        <v>503.9716</v>
      </c>
      <c r="AD693" s="13" t="n">
        <v>504.0115</v>
      </c>
      <c r="AE693" s="13" t="n">
        <v>503.97228</v>
      </c>
      <c r="AF693" s="13" t="n">
        <v>503.9892</v>
      </c>
      <c r="AG693" s="13" t="n">
        <v>504.06376</v>
      </c>
      <c r="AH693" s="13" t="n">
        <v>504.04065</v>
      </c>
      <c r="AI693" s="13" t="n">
        <v>503.94757</v>
      </c>
      <c r="AJ693" s="13" t="n">
        <v>0</v>
      </c>
      <c r="AK693" s="13" t="n">
        <v>0</v>
      </c>
      <c r="AL693" s="13" t="n">
        <v>0</v>
      </c>
      <c r="AM693" s="13" t="n">
        <v>0</v>
      </c>
      <c r="AN693" s="13" t="n">
        <v>0</v>
      </c>
      <c r="AO693" s="13" t="n">
        <v>0</v>
      </c>
      <c r="AP693" s="13" t="n">
        <v>0</v>
      </c>
      <c r="AQ693" s="13" t="n">
        <v>0</v>
      </c>
      <c r="AR693" s="13" t="n">
        <v>0</v>
      </c>
      <c r="AS693" s="13" t="n">
        <v>0</v>
      </c>
      <c r="AT693" s="13" t="n">
        <v>0</v>
      </c>
    </row>
    <row r="694" customFormat="false" ht="15" hidden="false" customHeight="true" outlineLevel="0" collapsed="false">
      <c r="A694" s="12" t="s">
        <v>2132</v>
      </c>
      <c r="B694" s="12" t="s">
        <v>2133</v>
      </c>
      <c r="C694" s="12" t="n">
        <v>1</v>
      </c>
      <c r="D694" s="12" t="s">
        <v>2134</v>
      </c>
      <c r="E694" s="13" t="n">
        <v>0</v>
      </c>
      <c r="F694" s="13" t="n">
        <v>0</v>
      </c>
      <c r="G694" s="13" t="n">
        <v>0</v>
      </c>
      <c r="H694" s="13" t="n">
        <v>0</v>
      </c>
      <c r="I694" s="13" t="n">
        <v>0</v>
      </c>
      <c r="J694" s="13" t="n">
        <v>0</v>
      </c>
      <c r="K694" s="13" t="n">
        <v>0</v>
      </c>
      <c r="L694" s="13" t="n">
        <v>0</v>
      </c>
      <c r="M694" s="13" t="n">
        <v>0</v>
      </c>
      <c r="N694" s="13" t="n">
        <v>0</v>
      </c>
      <c r="O694" s="13" t="n">
        <v>0</v>
      </c>
      <c r="P694" s="13" t="n">
        <v>0</v>
      </c>
      <c r="Q694" s="13" t="n">
        <v>0</v>
      </c>
      <c r="R694" s="13" t="n">
        <v>1566.008823</v>
      </c>
      <c r="S694" s="13" t="n">
        <v>1538.92812</v>
      </c>
      <c r="T694" s="13" t="n">
        <v>1566.03776</v>
      </c>
      <c r="U694" s="13" t="n">
        <v>1647.037842</v>
      </c>
      <c r="V694" s="13" t="n">
        <v>1673.968296</v>
      </c>
      <c r="W694" s="13" t="n">
        <v>1647.035136</v>
      </c>
      <c r="X694" s="13" t="n">
        <v>1620.09466</v>
      </c>
      <c r="Y694" s="13" t="n">
        <v>1592.907534</v>
      </c>
      <c r="Z694" s="13" t="n">
        <v>1647.012224</v>
      </c>
      <c r="AA694" s="13" t="n">
        <v>1565.98257</v>
      </c>
      <c r="AB694" s="13" t="n">
        <v>1566.017606</v>
      </c>
      <c r="AC694" s="13" t="n">
        <v>2194.9752</v>
      </c>
      <c r="AD694" s="13" t="n">
        <v>2222.9884</v>
      </c>
      <c r="AE694" s="13" t="n">
        <v>2251.23948</v>
      </c>
      <c r="AF694" s="13" t="n">
        <v>2251.1126</v>
      </c>
      <c r="AG694" s="13" t="n">
        <v>2279.28678</v>
      </c>
      <c r="AH694" s="13" t="n">
        <v>2448.2514</v>
      </c>
      <c r="AI694" s="13" t="n">
        <v>2363.72275</v>
      </c>
      <c r="AJ694" s="13" t="n">
        <v>2391.94287</v>
      </c>
      <c r="AK694" s="13" t="n">
        <v>2335.6854</v>
      </c>
      <c r="AL694" s="13" t="n">
        <v>2251.244363</v>
      </c>
      <c r="AM694" s="13" t="n">
        <v>2279.338458</v>
      </c>
      <c r="AN694" s="13" t="n">
        <v>1913.602953</v>
      </c>
      <c r="AO694" s="13" t="n">
        <v>0</v>
      </c>
      <c r="AP694" s="13" t="n">
        <v>0</v>
      </c>
      <c r="AQ694" s="13" t="n">
        <v>0</v>
      </c>
      <c r="AR694" s="13" t="n">
        <v>0</v>
      </c>
      <c r="AS694" s="13" t="n">
        <v>0</v>
      </c>
      <c r="AT694" s="13" t="n">
        <v>0</v>
      </c>
    </row>
    <row r="695" customFormat="false" ht="15" hidden="false" customHeight="true" outlineLevel="0" collapsed="false">
      <c r="A695" s="12" t="s">
        <v>2135</v>
      </c>
      <c r="B695" s="12" t="s">
        <v>2136</v>
      </c>
      <c r="C695" s="12" t="n">
        <v>1</v>
      </c>
      <c r="D695" s="12" t="s">
        <v>2137</v>
      </c>
      <c r="E695" s="13" t="n">
        <v>0</v>
      </c>
      <c r="F695" s="13" t="n">
        <v>0</v>
      </c>
      <c r="G695" s="13" t="n">
        <v>0</v>
      </c>
      <c r="H695" s="13" t="n">
        <v>0</v>
      </c>
      <c r="I695" s="13" t="n">
        <v>0</v>
      </c>
      <c r="J695" s="13" t="n">
        <v>0</v>
      </c>
      <c r="K695" s="13" t="n">
        <v>0</v>
      </c>
      <c r="L695" s="13" t="n">
        <v>0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8058.082077</v>
      </c>
      <c r="S695" s="13" t="n">
        <v>8534.070975</v>
      </c>
      <c r="T695" s="13" t="n">
        <v>4233.0176</v>
      </c>
      <c r="U695" s="13" t="n">
        <v>4556.058663</v>
      </c>
      <c r="V695" s="13" t="n">
        <v>9146.027748</v>
      </c>
      <c r="W695" s="13" t="n">
        <v>9146.070112</v>
      </c>
      <c r="X695" s="13" t="n">
        <v>9180.007612</v>
      </c>
      <c r="Y695" s="13" t="n">
        <v>4352.096644</v>
      </c>
      <c r="Z695" s="13" t="n">
        <v>4232.997824</v>
      </c>
      <c r="AA695" s="13" t="n">
        <v>13107.06798</v>
      </c>
      <c r="AB695" s="13" t="n">
        <v>4301.03427</v>
      </c>
      <c r="AC695" s="13" t="n">
        <v>0</v>
      </c>
      <c r="AD695" s="13" t="n">
        <v>4128.7883</v>
      </c>
      <c r="AE695" s="13" t="n">
        <v>3738.86604</v>
      </c>
      <c r="AF695" s="13" t="n">
        <v>3526.358</v>
      </c>
      <c r="AG695" s="13" t="n">
        <v>3331.41374</v>
      </c>
      <c r="AH695" s="13" t="n">
        <v>3083.35395</v>
      </c>
      <c r="AI695" s="13" t="n">
        <v>3100.94109</v>
      </c>
      <c r="AJ695" s="13" t="n">
        <v>3065.55633</v>
      </c>
      <c r="AK695" s="13" t="n">
        <v>4050.02565</v>
      </c>
      <c r="AL695" s="13" t="n">
        <v>2519.964442</v>
      </c>
      <c r="AM695" s="13" t="n">
        <v>3660.038649</v>
      </c>
      <c r="AN695" s="13" t="n">
        <v>3659.961216</v>
      </c>
      <c r="AO695" s="13" t="n">
        <v>4011.966942</v>
      </c>
      <c r="AP695" s="13" t="n">
        <v>2948.36016</v>
      </c>
      <c r="AQ695" s="13" t="n">
        <v>3203.362443</v>
      </c>
      <c r="AR695" s="13" t="n">
        <v>3125.565042</v>
      </c>
      <c r="AS695" s="13" t="n">
        <v>2705.679207</v>
      </c>
      <c r="AT695" s="13" t="n">
        <v>2394.743928</v>
      </c>
    </row>
    <row r="696" customFormat="false" ht="15" hidden="false" customHeight="true" outlineLevel="0" collapsed="false">
      <c r="A696" s="12" t="s">
        <v>2138</v>
      </c>
      <c r="B696" s="12" t="s">
        <v>2139</v>
      </c>
      <c r="C696" s="12" t="n">
        <v>1</v>
      </c>
      <c r="D696" s="12" t="s">
        <v>2140</v>
      </c>
      <c r="E696" s="13" t="n">
        <v>0</v>
      </c>
      <c r="F696" s="13" t="n">
        <v>0</v>
      </c>
      <c r="G696" s="13" t="n">
        <v>0</v>
      </c>
      <c r="H696" s="13" t="n">
        <v>0</v>
      </c>
      <c r="I696" s="13" t="n">
        <v>0</v>
      </c>
      <c r="J696" s="13" t="n">
        <v>0</v>
      </c>
      <c r="K696" s="13" t="n">
        <v>0</v>
      </c>
      <c r="L696" s="13" t="n">
        <v>0</v>
      </c>
      <c r="M696" s="13" t="n">
        <v>0</v>
      </c>
      <c r="N696" s="13" t="n">
        <v>0</v>
      </c>
      <c r="O696" s="13" t="n">
        <v>0</v>
      </c>
      <c r="P696" s="13" t="n">
        <v>0</v>
      </c>
      <c r="Q696" s="13" t="n">
        <v>0</v>
      </c>
      <c r="R696" s="13" t="n">
        <v>0</v>
      </c>
      <c r="S696" s="13" t="n">
        <v>2999.950485</v>
      </c>
      <c r="T696" s="13" t="n">
        <v>2999.96928</v>
      </c>
      <c r="U696" s="13" t="n">
        <v>3000.070782</v>
      </c>
      <c r="V696" s="13" t="n">
        <v>2999.914788</v>
      </c>
      <c r="W696" s="13" t="n">
        <v>0</v>
      </c>
      <c r="X696" s="13" t="n">
        <v>0</v>
      </c>
      <c r="Y696" s="13" t="n">
        <v>0</v>
      </c>
      <c r="Z696" s="13" t="n">
        <v>0</v>
      </c>
      <c r="AA696" s="13" t="n">
        <v>0</v>
      </c>
      <c r="AB696" s="13" t="n">
        <v>0</v>
      </c>
      <c r="AC696" s="13" t="n">
        <v>0</v>
      </c>
      <c r="AD696" s="13" t="n">
        <v>0</v>
      </c>
      <c r="AE696" s="13" t="n">
        <v>0</v>
      </c>
      <c r="AF696" s="13" t="n">
        <v>0</v>
      </c>
      <c r="AG696" s="13" t="n">
        <v>0</v>
      </c>
      <c r="AH696" s="13" t="n">
        <v>0</v>
      </c>
      <c r="AI696" s="13" t="n">
        <v>0</v>
      </c>
      <c r="AJ696" s="13" t="n">
        <v>0</v>
      </c>
      <c r="AK696" s="13" t="n">
        <v>0</v>
      </c>
      <c r="AL696" s="13" t="n">
        <v>0</v>
      </c>
      <c r="AM696" s="13" t="n">
        <v>0</v>
      </c>
      <c r="AN696" s="13" t="n">
        <v>0</v>
      </c>
      <c r="AO696" s="13" t="n">
        <v>0</v>
      </c>
      <c r="AP696" s="13" t="n">
        <v>0</v>
      </c>
      <c r="AQ696" s="13" t="n">
        <v>0</v>
      </c>
      <c r="AR696" s="13" t="n">
        <v>0</v>
      </c>
      <c r="AS696" s="13" t="n">
        <v>0</v>
      </c>
      <c r="AT696" s="13" t="n">
        <v>0</v>
      </c>
    </row>
    <row r="697" customFormat="false" ht="15" hidden="false" customHeight="true" outlineLevel="0" collapsed="false">
      <c r="A697" s="12" t="s">
        <v>2141</v>
      </c>
      <c r="B697" s="12" t="s">
        <v>2142</v>
      </c>
      <c r="C697" s="12" t="n">
        <v>1</v>
      </c>
      <c r="D697" s="12" t="s">
        <v>2143</v>
      </c>
      <c r="E697" s="13" t="n">
        <v>0</v>
      </c>
      <c r="F697" s="13" t="n">
        <v>0</v>
      </c>
      <c r="G697" s="13" t="n">
        <v>0</v>
      </c>
      <c r="H697" s="13" t="n">
        <v>0</v>
      </c>
      <c r="I697" s="13" t="n">
        <v>0</v>
      </c>
      <c r="J697" s="13" t="n">
        <v>0</v>
      </c>
      <c r="K697" s="13" t="n">
        <v>0</v>
      </c>
      <c r="L697" s="13" t="n">
        <v>0</v>
      </c>
      <c r="M697" s="13" t="n">
        <v>0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1200.01986</v>
      </c>
      <c r="S697" s="13" t="n">
        <v>899.968605</v>
      </c>
      <c r="T697" s="13" t="n">
        <v>900.05888</v>
      </c>
      <c r="U697" s="13" t="n">
        <v>899.987324</v>
      </c>
      <c r="V697" s="13" t="n">
        <v>899.99286</v>
      </c>
      <c r="W697" s="13" t="n">
        <v>900.0192</v>
      </c>
      <c r="X697" s="13" t="n">
        <v>1860.03524</v>
      </c>
      <c r="Y697" s="13" t="n">
        <v>1499.983006</v>
      </c>
      <c r="Z697" s="13" t="n">
        <v>1500.072112</v>
      </c>
      <c r="AA697" s="13" t="n">
        <v>1500.0615</v>
      </c>
      <c r="AB697" s="13" t="n">
        <v>1500.050202</v>
      </c>
      <c r="AC697" s="13" t="n">
        <v>1563.2012</v>
      </c>
      <c r="AD697" s="13" t="n">
        <v>1563.1542</v>
      </c>
      <c r="AE697" s="13" t="n">
        <v>1563.15096</v>
      </c>
      <c r="AF697" s="13" t="n">
        <v>0</v>
      </c>
      <c r="AG697" s="13" t="n">
        <v>0</v>
      </c>
      <c r="AH697" s="13" t="n">
        <v>0</v>
      </c>
      <c r="AI697" s="13" t="n">
        <v>0</v>
      </c>
      <c r="AJ697" s="13" t="n">
        <v>0</v>
      </c>
      <c r="AK697" s="13" t="n">
        <v>0</v>
      </c>
      <c r="AL697" s="13" t="n">
        <v>0</v>
      </c>
      <c r="AM697" s="13" t="n">
        <v>0</v>
      </c>
      <c r="AN697" s="13" t="n">
        <v>0</v>
      </c>
      <c r="AO697" s="13" t="n">
        <v>0</v>
      </c>
      <c r="AP697" s="13" t="n">
        <v>0</v>
      </c>
      <c r="AQ697" s="13" t="n">
        <v>0</v>
      </c>
      <c r="AR697" s="13" t="n">
        <v>0</v>
      </c>
      <c r="AS697" s="13" t="n">
        <v>0</v>
      </c>
      <c r="AT697" s="13" t="n">
        <v>0</v>
      </c>
    </row>
    <row r="698" customFormat="false" ht="15" hidden="false" customHeight="true" outlineLevel="0" collapsed="false">
      <c r="A698" s="12" t="s">
        <v>2144</v>
      </c>
      <c r="B698" s="12" t="s">
        <v>2145</v>
      </c>
      <c r="C698" s="12" t="n">
        <v>1</v>
      </c>
      <c r="D698" s="12" t="s">
        <v>2146</v>
      </c>
      <c r="E698" s="13" t="n">
        <v>0</v>
      </c>
      <c r="F698" s="13" t="n">
        <v>0</v>
      </c>
      <c r="G698" s="13" t="n">
        <v>0</v>
      </c>
      <c r="H698" s="13" t="n">
        <v>0</v>
      </c>
      <c r="I698" s="13" t="n">
        <v>0</v>
      </c>
      <c r="J698" s="13" t="n">
        <v>0</v>
      </c>
      <c r="K698" s="13" t="n">
        <v>0</v>
      </c>
      <c r="L698" s="13" t="n">
        <v>0</v>
      </c>
      <c r="M698" s="13" t="n">
        <v>0</v>
      </c>
      <c r="N698" s="13" t="n">
        <v>0</v>
      </c>
      <c r="O698" s="13" t="n">
        <v>0</v>
      </c>
      <c r="P698" s="13" t="n">
        <v>0</v>
      </c>
      <c r="Q698" s="13" t="n">
        <v>0</v>
      </c>
      <c r="R698" s="13" t="n">
        <v>0</v>
      </c>
      <c r="S698" s="13" t="n">
        <v>0</v>
      </c>
      <c r="T698" s="13" t="n">
        <v>1820.03584</v>
      </c>
      <c r="U698" s="13" t="n">
        <v>4657.960016</v>
      </c>
      <c r="V698" s="13" t="n">
        <v>2211.937416</v>
      </c>
      <c r="W698" s="13" t="n">
        <v>2211.984688</v>
      </c>
      <c r="X698" s="13" t="n">
        <v>2436.09093</v>
      </c>
      <c r="Y698" s="13" t="n">
        <v>2057.923922</v>
      </c>
      <c r="Z698" s="13" t="n">
        <v>2100.060864</v>
      </c>
      <c r="AA698" s="13" t="n">
        <v>2450.10045</v>
      </c>
      <c r="AB698" s="13" t="n">
        <v>2170.044296</v>
      </c>
      <c r="AC698" s="13" t="n">
        <v>2296.1004</v>
      </c>
      <c r="AD698" s="13" t="n">
        <v>2421.9241</v>
      </c>
      <c r="AE698" s="13" t="n">
        <v>2002.00896</v>
      </c>
      <c r="AF698" s="13" t="n">
        <v>2170.0514</v>
      </c>
      <c r="AG698" s="13" t="n">
        <v>2072.02626</v>
      </c>
      <c r="AH698" s="13" t="n">
        <v>2533.9893</v>
      </c>
      <c r="AI698" s="13" t="n">
        <v>2463.91076</v>
      </c>
      <c r="AJ698" s="13" t="n">
        <v>2366.03466</v>
      </c>
      <c r="AK698" s="13" t="n">
        <v>2057.9421</v>
      </c>
      <c r="AL698" s="13" t="n">
        <v>2142.02503</v>
      </c>
      <c r="AM698" s="13" t="n">
        <v>2030.053011</v>
      </c>
      <c r="AN698" s="13" t="n">
        <v>2029.954904</v>
      </c>
      <c r="AO698" s="13" t="n">
        <v>2127.957886</v>
      </c>
      <c r="AP698" s="13" t="n">
        <v>2338.01544</v>
      </c>
      <c r="AQ698" s="13" t="n">
        <v>2562.001877</v>
      </c>
      <c r="AR698" s="13" t="n">
        <v>2688.052598</v>
      </c>
      <c r="AS698" s="13" t="n">
        <v>2352.042036</v>
      </c>
      <c r="AT698" s="13" t="n">
        <v>2254.031064</v>
      </c>
    </row>
    <row r="699" customFormat="false" ht="15" hidden="false" customHeight="true" outlineLevel="0" collapsed="false">
      <c r="A699" s="12" t="s">
        <v>2147</v>
      </c>
      <c r="B699" s="12" t="s">
        <v>2148</v>
      </c>
      <c r="C699" s="12" t="n">
        <v>1</v>
      </c>
      <c r="D699" s="12" t="s">
        <v>2149</v>
      </c>
      <c r="E699" s="13" t="n">
        <v>16497.218268</v>
      </c>
      <c r="F699" s="13" t="n">
        <v>14021.308992</v>
      </c>
      <c r="G699" s="13" t="n">
        <v>13381.370787</v>
      </c>
      <c r="H699" s="13" t="n">
        <v>13381.468434</v>
      </c>
      <c r="I699" s="13" t="n">
        <v>13158.869836</v>
      </c>
      <c r="J699" s="13" t="n">
        <v>12685.83827</v>
      </c>
      <c r="K699" s="13" t="n">
        <v>12296.513772</v>
      </c>
      <c r="L699" s="13" t="n">
        <v>12352.090821</v>
      </c>
      <c r="M699" s="13" t="n">
        <v>11267.035065</v>
      </c>
      <c r="N699" s="13" t="n">
        <v>11406.20214</v>
      </c>
      <c r="O699" s="13" t="n">
        <v>12463.337812</v>
      </c>
      <c r="P699" s="13" t="n">
        <v>13270.206971</v>
      </c>
      <c r="Q699" s="13" t="n">
        <v>13407.849756</v>
      </c>
      <c r="R699" s="13" t="n">
        <v>11392.325292</v>
      </c>
      <c r="S699" s="13" t="n">
        <v>10282.23642</v>
      </c>
      <c r="T699" s="13" t="n">
        <v>10165.37088</v>
      </c>
      <c r="U699" s="13" t="n">
        <v>9844.077627</v>
      </c>
      <c r="V699" s="13" t="n">
        <v>9844.097952</v>
      </c>
      <c r="W699" s="13" t="n">
        <v>9873.398128</v>
      </c>
      <c r="X699" s="13" t="n">
        <v>10048.552852</v>
      </c>
      <c r="Y699" s="13" t="n">
        <v>10603.239892</v>
      </c>
      <c r="Z699" s="13" t="n">
        <v>11537.905984</v>
      </c>
      <c r="AA699" s="13" t="n">
        <v>12501.94113</v>
      </c>
      <c r="AB699" s="13" t="n">
        <v>12268.115958</v>
      </c>
      <c r="AC699" s="13" t="n">
        <v>12967.394</v>
      </c>
      <c r="AD699" s="13" t="n">
        <v>11019.2722</v>
      </c>
      <c r="AE699" s="13" t="n">
        <v>11110.65984</v>
      </c>
      <c r="AF699" s="13" t="n">
        <v>11171.5648</v>
      </c>
      <c r="AG699" s="13" t="n">
        <v>11171.41922</v>
      </c>
      <c r="AH699" s="13" t="n">
        <v>12297.72315</v>
      </c>
      <c r="AI699" s="13" t="n">
        <v>12510.90726</v>
      </c>
      <c r="AJ699" s="13" t="n">
        <v>12449.92005</v>
      </c>
      <c r="AK699" s="13" t="n">
        <v>11932.50525</v>
      </c>
      <c r="AL699" s="13" t="n">
        <v>11841.180671</v>
      </c>
      <c r="AM699" s="13" t="n">
        <v>11871.600327</v>
      </c>
      <c r="AN699" s="13" t="n">
        <v>12541.193754</v>
      </c>
      <c r="AO699" s="13" t="n">
        <v>11961.25076</v>
      </c>
      <c r="AP699" s="13" t="n">
        <v>9720.47736</v>
      </c>
      <c r="AQ699" s="13" t="n">
        <v>9215.529262</v>
      </c>
      <c r="AR699" s="13" t="n">
        <v>7700.675122</v>
      </c>
      <c r="AS699" s="13" t="n">
        <v>7195.64229</v>
      </c>
      <c r="AT699" s="13" t="n">
        <v>0</v>
      </c>
    </row>
    <row r="700" customFormat="false" ht="15" hidden="false" customHeight="true" outlineLevel="0" collapsed="false">
      <c r="A700" s="12" t="s">
        <v>2150</v>
      </c>
      <c r="B700" s="12" t="s">
        <v>2151</v>
      </c>
      <c r="C700" s="12" t="n">
        <v>1</v>
      </c>
      <c r="D700" s="12" t="s">
        <v>2152</v>
      </c>
      <c r="E700" s="13" t="n">
        <v>0</v>
      </c>
      <c r="F700" s="13" t="n">
        <v>0</v>
      </c>
      <c r="G700" s="13" t="n">
        <v>0</v>
      </c>
      <c r="H700" s="13" t="n">
        <v>0</v>
      </c>
      <c r="I700" s="13" t="n">
        <v>0</v>
      </c>
      <c r="J700" s="13" t="n">
        <v>0</v>
      </c>
      <c r="K700" s="13" t="n">
        <v>0</v>
      </c>
      <c r="L700" s="13" t="n">
        <v>600.012763</v>
      </c>
      <c r="M700" s="13" t="n">
        <v>600.00606</v>
      </c>
      <c r="N700" s="13" t="n">
        <v>600.031638</v>
      </c>
      <c r="O700" s="13" t="n">
        <v>600.039473</v>
      </c>
      <c r="P700" s="13" t="n">
        <v>0</v>
      </c>
      <c r="Q700" s="13" t="n">
        <v>0</v>
      </c>
      <c r="R700" s="13" t="n">
        <v>0</v>
      </c>
      <c r="S700" s="13" t="n">
        <v>0</v>
      </c>
      <c r="T700" s="13" t="n">
        <v>0</v>
      </c>
      <c r="U700" s="13" t="n">
        <v>0</v>
      </c>
      <c r="V700" s="13" t="n">
        <v>0</v>
      </c>
      <c r="W700" s="13" t="n">
        <v>0</v>
      </c>
      <c r="X700" s="13" t="n">
        <v>0</v>
      </c>
      <c r="Y700" s="13" t="n">
        <v>0</v>
      </c>
      <c r="Z700" s="13" t="n">
        <v>0</v>
      </c>
      <c r="AA700" s="13" t="n">
        <v>0</v>
      </c>
      <c r="AB700" s="13" t="n">
        <v>0</v>
      </c>
      <c r="AC700" s="13" t="n">
        <v>0</v>
      </c>
      <c r="AD700" s="13" t="n">
        <v>0</v>
      </c>
      <c r="AE700" s="13" t="n">
        <v>0</v>
      </c>
      <c r="AF700" s="13" t="n">
        <v>0</v>
      </c>
      <c r="AG700" s="13" t="n">
        <v>0</v>
      </c>
      <c r="AH700" s="13" t="n">
        <v>0</v>
      </c>
      <c r="AI700" s="13" t="n">
        <v>0</v>
      </c>
      <c r="AJ700" s="13" t="n">
        <v>0</v>
      </c>
      <c r="AK700" s="13" t="n">
        <v>0</v>
      </c>
      <c r="AL700" s="13" t="n">
        <v>0</v>
      </c>
      <c r="AM700" s="13" t="n">
        <v>0</v>
      </c>
      <c r="AN700" s="13" t="n">
        <v>0</v>
      </c>
      <c r="AO700" s="13" t="n">
        <v>0</v>
      </c>
      <c r="AP700" s="13" t="n">
        <v>0</v>
      </c>
      <c r="AQ700" s="13" t="n">
        <v>0</v>
      </c>
      <c r="AR700" s="13" t="n">
        <v>0</v>
      </c>
      <c r="AS700" s="13" t="n">
        <v>0</v>
      </c>
      <c r="AT700" s="13" t="n">
        <v>0</v>
      </c>
    </row>
    <row r="701" customFormat="false" ht="15" hidden="false" customHeight="true" outlineLevel="0" collapsed="false">
      <c r="A701" s="12" t="s">
        <v>2153</v>
      </c>
      <c r="B701" s="12" t="s">
        <v>2151</v>
      </c>
      <c r="C701" s="12" t="n">
        <v>1</v>
      </c>
      <c r="D701" s="12" t="s">
        <v>2154</v>
      </c>
      <c r="E701" s="13" t="n">
        <v>0</v>
      </c>
      <c r="F701" s="13" t="n">
        <v>0</v>
      </c>
      <c r="G701" s="13" t="n">
        <v>0</v>
      </c>
      <c r="H701" s="13" t="n">
        <v>0</v>
      </c>
      <c r="I701" s="13" t="n">
        <v>0</v>
      </c>
      <c r="J701" s="13" t="n">
        <v>599.924955</v>
      </c>
      <c r="K701" s="13" t="n">
        <v>719.937576</v>
      </c>
      <c r="L701" s="13" t="n">
        <v>0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  <c r="V701" s="13" t="n">
        <v>0</v>
      </c>
      <c r="W701" s="13" t="n">
        <v>0</v>
      </c>
      <c r="X701" s="13" t="n">
        <v>0</v>
      </c>
      <c r="Y701" s="13" t="n">
        <v>0</v>
      </c>
      <c r="Z701" s="13" t="n">
        <v>0</v>
      </c>
      <c r="AA701" s="13" t="n">
        <v>0</v>
      </c>
      <c r="AB701" s="13" t="n">
        <v>0</v>
      </c>
      <c r="AC701" s="13" t="n">
        <v>0</v>
      </c>
      <c r="AD701" s="13" t="n">
        <v>0</v>
      </c>
      <c r="AE701" s="13" t="n">
        <v>0</v>
      </c>
      <c r="AF701" s="13" t="n">
        <v>0</v>
      </c>
      <c r="AG701" s="13" t="n">
        <v>0</v>
      </c>
      <c r="AH701" s="13" t="n">
        <v>0</v>
      </c>
      <c r="AI701" s="13" t="n">
        <v>0</v>
      </c>
      <c r="AJ701" s="13" t="n">
        <v>0</v>
      </c>
      <c r="AK701" s="13" t="n">
        <v>0</v>
      </c>
      <c r="AL701" s="13" t="n">
        <v>0</v>
      </c>
      <c r="AM701" s="13" t="n">
        <v>0</v>
      </c>
      <c r="AN701" s="13" t="n">
        <v>0</v>
      </c>
      <c r="AO701" s="13" t="n">
        <v>0</v>
      </c>
      <c r="AP701" s="13" t="n">
        <v>0</v>
      </c>
      <c r="AQ701" s="13" t="n">
        <v>0</v>
      </c>
      <c r="AR701" s="13" t="n">
        <v>0</v>
      </c>
      <c r="AS701" s="13" t="n">
        <v>0</v>
      </c>
      <c r="AT701" s="13" t="n">
        <v>0</v>
      </c>
    </row>
    <row r="702" customFormat="false" ht="15" hidden="false" customHeight="true" outlineLevel="0" collapsed="false">
      <c r="A702" s="12" t="s">
        <v>2155</v>
      </c>
      <c r="B702" s="12" t="s">
        <v>2156</v>
      </c>
      <c r="C702" s="12" t="n">
        <v>1</v>
      </c>
      <c r="D702" s="12" t="s">
        <v>2157</v>
      </c>
      <c r="E702" s="13" t="n">
        <v>0</v>
      </c>
      <c r="F702" s="13" t="n">
        <v>0</v>
      </c>
      <c r="G702" s="13" t="n">
        <v>0</v>
      </c>
      <c r="H702" s="13" t="n">
        <v>0</v>
      </c>
      <c r="I702" s="13" t="n">
        <v>0</v>
      </c>
      <c r="J702" s="13" t="n">
        <v>0</v>
      </c>
      <c r="K702" s="13" t="n">
        <v>0</v>
      </c>
      <c r="L702" s="13" t="n">
        <v>0</v>
      </c>
      <c r="M702" s="13" t="n">
        <v>0</v>
      </c>
      <c r="N702" s="13" t="n">
        <v>0</v>
      </c>
      <c r="O702" s="13" t="n">
        <v>0</v>
      </c>
      <c r="P702" s="13" t="n">
        <v>0</v>
      </c>
      <c r="Q702" s="13" t="n">
        <v>0</v>
      </c>
      <c r="R702" s="13" t="n">
        <v>0</v>
      </c>
      <c r="S702" s="13" t="n">
        <v>0</v>
      </c>
      <c r="T702" s="13" t="n">
        <v>0</v>
      </c>
      <c r="U702" s="13" t="n">
        <v>0</v>
      </c>
      <c r="V702" s="13" t="n">
        <v>0</v>
      </c>
      <c r="W702" s="13" t="n">
        <v>0</v>
      </c>
      <c r="X702" s="13" t="n">
        <v>0</v>
      </c>
      <c r="Y702" s="13" t="n">
        <v>0</v>
      </c>
      <c r="Z702" s="13" t="n">
        <v>0</v>
      </c>
      <c r="AA702" s="13" t="n">
        <v>0</v>
      </c>
      <c r="AB702" s="13" t="n">
        <v>0</v>
      </c>
      <c r="AC702" s="13" t="n">
        <v>0</v>
      </c>
      <c r="AD702" s="13" t="n">
        <v>0</v>
      </c>
      <c r="AE702" s="13" t="n">
        <v>0</v>
      </c>
      <c r="AF702" s="13" t="n">
        <v>0</v>
      </c>
      <c r="AG702" s="13" t="n">
        <v>0</v>
      </c>
      <c r="AH702" s="13" t="n">
        <v>0</v>
      </c>
      <c r="AI702" s="13" t="n">
        <v>0</v>
      </c>
      <c r="AJ702" s="13" t="n">
        <v>0</v>
      </c>
      <c r="AK702" s="13" t="n">
        <v>0</v>
      </c>
      <c r="AL702" s="13" t="n">
        <v>0</v>
      </c>
      <c r="AM702" s="13" t="n">
        <v>0</v>
      </c>
      <c r="AN702" s="13" t="n">
        <v>0</v>
      </c>
      <c r="AO702" s="13" t="n">
        <v>0</v>
      </c>
      <c r="AP702" s="13" t="n">
        <v>4900.01376</v>
      </c>
      <c r="AQ702" s="13" t="n">
        <v>3700.045682</v>
      </c>
      <c r="AR702" s="13" t="n">
        <v>3649.913356</v>
      </c>
      <c r="AS702" s="13" t="n">
        <v>3699.948375</v>
      </c>
      <c r="AT702" s="13" t="n">
        <v>3949.936104</v>
      </c>
    </row>
    <row r="703" customFormat="false" ht="15" hidden="false" customHeight="true" outlineLevel="0" collapsed="false">
      <c r="A703" s="12" t="s">
        <v>2158</v>
      </c>
      <c r="B703" s="12" t="s">
        <v>2159</v>
      </c>
      <c r="C703" s="12" t="n">
        <v>1</v>
      </c>
      <c r="D703" s="12" t="s">
        <v>2160</v>
      </c>
      <c r="E703" s="13" t="n">
        <v>0</v>
      </c>
      <c r="F703" s="13" t="n">
        <v>0</v>
      </c>
      <c r="G703" s="13" t="n">
        <v>0</v>
      </c>
      <c r="H703" s="13" t="n">
        <v>0</v>
      </c>
      <c r="I703" s="13" t="n">
        <v>0</v>
      </c>
      <c r="J703" s="13" t="n">
        <v>0</v>
      </c>
      <c r="K703" s="13" t="n">
        <v>0</v>
      </c>
      <c r="L703" s="13" t="n">
        <v>0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0</v>
      </c>
      <c r="X703" s="13" t="n">
        <v>0</v>
      </c>
      <c r="Y703" s="13" t="n">
        <v>0</v>
      </c>
      <c r="Z703" s="13" t="n">
        <v>0</v>
      </c>
      <c r="AA703" s="13" t="n">
        <v>0</v>
      </c>
      <c r="AB703" s="13" t="n">
        <v>0</v>
      </c>
      <c r="AC703" s="13" t="n">
        <v>0</v>
      </c>
      <c r="AD703" s="13" t="n">
        <v>0</v>
      </c>
      <c r="AE703" s="13" t="n">
        <v>0</v>
      </c>
      <c r="AF703" s="13" t="n">
        <v>0</v>
      </c>
      <c r="AG703" s="13" t="n">
        <v>0</v>
      </c>
      <c r="AH703" s="13" t="n">
        <v>0</v>
      </c>
      <c r="AI703" s="13" t="n">
        <v>1140.03805</v>
      </c>
      <c r="AJ703" s="13" t="n">
        <v>1139.96124</v>
      </c>
      <c r="AK703" s="13" t="n">
        <v>0</v>
      </c>
      <c r="AL703" s="13" t="n">
        <v>2247.929105</v>
      </c>
      <c r="AM703" s="13" t="n">
        <v>2207.983021</v>
      </c>
      <c r="AN703" s="13" t="n">
        <v>2329.916348</v>
      </c>
      <c r="AO703" s="13" t="n">
        <v>2413.972804</v>
      </c>
      <c r="AP703" s="13" t="n">
        <v>3169.9272</v>
      </c>
      <c r="AQ703" s="13" t="n">
        <v>3352.023376</v>
      </c>
      <c r="AR703" s="13" t="n">
        <v>3268.010954</v>
      </c>
      <c r="AS703" s="13" t="n">
        <v>3233.971251</v>
      </c>
      <c r="AT703" s="13" t="n">
        <v>3382.009184</v>
      </c>
    </row>
    <row r="704" customFormat="false" ht="15" hidden="false" customHeight="true" outlineLevel="0" collapsed="false">
      <c r="A704" s="12" t="s">
        <v>2161</v>
      </c>
      <c r="B704" s="12" t="s">
        <v>2162</v>
      </c>
      <c r="C704" s="12" t="n">
        <v>1</v>
      </c>
      <c r="D704" s="12" t="s">
        <v>2163</v>
      </c>
      <c r="E704" s="13" t="n">
        <v>3081.619296</v>
      </c>
      <c r="F704" s="13" t="n">
        <v>3916.257306</v>
      </c>
      <c r="G704" s="13" t="n">
        <v>4773.04911</v>
      </c>
      <c r="H704" s="13" t="n">
        <v>4686.634647</v>
      </c>
      <c r="I704" s="13" t="n">
        <v>5135.974837</v>
      </c>
      <c r="J704" s="13" t="n">
        <v>5585.443315</v>
      </c>
      <c r="K704" s="13" t="n">
        <v>5456.939916</v>
      </c>
      <c r="L704" s="13" t="n">
        <v>5778.074344</v>
      </c>
      <c r="M704" s="13" t="n">
        <v>5906.463885</v>
      </c>
      <c r="N704" s="13" t="n">
        <v>6227.428626</v>
      </c>
      <c r="O704" s="13" t="n">
        <v>6741.022746</v>
      </c>
      <c r="P704" s="13" t="n">
        <v>7190.446683</v>
      </c>
      <c r="Q704" s="13" t="n">
        <v>8667.06264</v>
      </c>
      <c r="R704" s="13" t="n">
        <v>9886.830291</v>
      </c>
      <c r="S704" s="13" t="n">
        <v>9373.17054</v>
      </c>
      <c r="T704" s="13" t="n">
        <v>1091.40864</v>
      </c>
      <c r="U704" s="13" t="n">
        <v>1091.412661</v>
      </c>
      <c r="V704" s="13" t="n">
        <v>1091.414064</v>
      </c>
      <c r="W704" s="13" t="n">
        <v>2311.174304</v>
      </c>
      <c r="X704" s="13" t="n">
        <v>4044.684306</v>
      </c>
      <c r="Y704" s="13" t="n">
        <v>3595.116114</v>
      </c>
      <c r="Z704" s="13" t="n">
        <v>3595.121376</v>
      </c>
      <c r="AA704" s="13" t="n">
        <v>3595.24944</v>
      </c>
      <c r="AB704" s="13" t="n">
        <v>3595.223518</v>
      </c>
      <c r="AC704" s="13" t="n">
        <v>6556.1804</v>
      </c>
      <c r="AD704" s="13" t="n">
        <v>6890.6892</v>
      </c>
      <c r="AE704" s="13" t="n">
        <v>7827.38964</v>
      </c>
      <c r="AF704" s="13" t="n">
        <v>7827.3008</v>
      </c>
      <c r="AG704" s="13" t="n">
        <v>7492.83446</v>
      </c>
      <c r="AH704" s="13" t="n">
        <v>7492.8126</v>
      </c>
      <c r="AI704" s="13" t="n">
        <v>7158.27354</v>
      </c>
      <c r="AJ704" s="13" t="n">
        <v>6823.7379</v>
      </c>
      <c r="AK704" s="13" t="n">
        <v>6556.1361</v>
      </c>
      <c r="AL704" s="13" t="n">
        <v>6556.291057</v>
      </c>
      <c r="AM704" s="13" t="n">
        <v>6689.984943</v>
      </c>
      <c r="AN704" s="13" t="n">
        <v>9566.755934</v>
      </c>
      <c r="AO704" s="13" t="n">
        <v>10128.100294</v>
      </c>
      <c r="AP704" s="13" t="n">
        <v>9434.37288</v>
      </c>
      <c r="AQ704" s="13" t="n">
        <v>10058.60515</v>
      </c>
      <c r="AR704" s="13" t="n">
        <v>9989.282718</v>
      </c>
      <c r="AS704" s="13" t="n">
        <v>10128.078567</v>
      </c>
      <c r="AT704" s="13" t="n">
        <v>10058.694568</v>
      </c>
    </row>
    <row r="705" customFormat="false" ht="15" hidden="false" customHeight="true" outlineLevel="0" collapsed="false">
      <c r="A705" s="12" t="s">
        <v>2164</v>
      </c>
      <c r="B705" s="12" t="s">
        <v>2165</v>
      </c>
      <c r="C705" s="12" t="n">
        <v>1</v>
      </c>
      <c r="D705" s="12" t="s">
        <v>2166</v>
      </c>
      <c r="E705" s="13" t="n">
        <v>0</v>
      </c>
      <c r="F705" s="13" t="n">
        <v>0</v>
      </c>
      <c r="G705" s="13" t="n">
        <v>0</v>
      </c>
      <c r="H705" s="13" t="n">
        <v>0</v>
      </c>
      <c r="I705" s="13" t="n">
        <v>0</v>
      </c>
      <c r="J705" s="13" t="n">
        <v>0</v>
      </c>
      <c r="K705" s="13" t="n">
        <v>0</v>
      </c>
      <c r="L705" s="13" t="n">
        <v>0</v>
      </c>
      <c r="M705" s="13" t="n">
        <v>0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0</v>
      </c>
      <c r="U705" s="13" t="n">
        <v>0</v>
      </c>
      <c r="V705" s="13" t="n">
        <v>0</v>
      </c>
      <c r="W705" s="13" t="n">
        <v>0</v>
      </c>
      <c r="X705" s="13" t="n">
        <v>0</v>
      </c>
      <c r="Y705" s="13" t="n">
        <v>0</v>
      </c>
      <c r="Z705" s="13" t="n">
        <v>0</v>
      </c>
      <c r="AA705" s="13" t="n">
        <v>0</v>
      </c>
      <c r="AB705" s="13" t="n">
        <v>0</v>
      </c>
      <c r="AC705" s="13" t="n">
        <v>0</v>
      </c>
      <c r="AD705" s="13" t="n">
        <v>0</v>
      </c>
      <c r="AE705" s="13" t="n">
        <v>0</v>
      </c>
      <c r="AF705" s="13" t="n">
        <v>0</v>
      </c>
      <c r="AG705" s="13" t="n">
        <v>0</v>
      </c>
      <c r="AH705" s="13" t="n">
        <v>8703.90765</v>
      </c>
      <c r="AI705" s="13" t="n">
        <v>8737.97342</v>
      </c>
      <c r="AJ705" s="13" t="n">
        <v>8737.9632</v>
      </c>
      <c r="AK705" s="13" t="n">
        <v>8738.0904</v>
      </c>
      <c r="AL705" s="13" t="n">
        <v>8737.915002</v>
      </c>
      <c r="AM705" s="13" t="n">
        <v>8738.014388</v>
      </c>
      <c r="AN705" s="13" t="n">
        <v>8738.08547</v>
      </c>
      <c r="AO705" s="13" t="n">
        <v>9061.793924</v>
      </c>
      <c r="AP705" s="13" t="n">
        <v>9061.81584</v>
      </c>
      <c r="AQ705" s="13" t="n">
        <v>9061.798285</v>
      </c>
      <c r="AR705" s="13" t="n">
        <v>9061.805456</v>
      </c>
      <c r="AS705" s="13" t="n">
        <v>9061.801047</v>
      </c>
      <c r="AT705" s="13" t="n">
        <v>9061.803432</v>
      </c>
    </row>
    <row r="706" customFormat="false" ht="15" hidden="false" customHeight="true" outlineLevel="0" collapsed="false">
      <c r="A706" s="12" t="s">
        <v>2167</v>
      </c>
      <c r="B706" s="12" t="s">
        <v>2168</v>
      </c>
      <c r="C706" s="12" t="n">
        <v>1</v>
      </c>
      <c r="D706" s="12" t="s">
        <v>2169</v>
      </c>
      <c r="E706" s="13" t="n">
        <v>0</v>
      </c>
      <c r="F706" s="13" t="n">
        <v>0</v>
      </c>
      <c r="G706" s="13" t="n">
        <v>0</v>
      </c>
      <c r="H706" s="13" t="n">
        <v>0</v>
      </c>
      <c r="I706" s="13" t="n">
        <v>0</v>
      </c>
      <c r="J706" s="13" t="n">
        <v>0</v>
      </c>
      <c r="K706" s="13" t="n">
        <v>0</v>
      </c>
      <c r="L706" s="13" t="n">
        <v>0</v>
      </c>
      <c r="M706" s="13" t="n">
        <v>0</v>
      </c>
      <c r="N706" s="13" t="n">
        <v>0</v>
      </c>
      <c r="O706" s="13" t="n">
        <v>0</v>
      </c>
      <c r="P706" s="13" t="n">
        <v>0</v>
      </c>
      <c r="Q706" s="13" t="n">
        <v>0</v>
      </c>
      <c r="R706" s="13" t="n">
        <v>0</v>
      </c>
      <c r="S706" s="13" t="n">
        <v>0</v>
      </c>
      <c r="T706" s="13" t="n">
        <v>0</v>
      </c>
      <c r="U706" s="13" t="n">
        <v>0</v>
      </c>
      <c r="V706" s="13" t="n">
        <v>0</v>
      </c>
      <c r="W706" s="13" t="n">
        <v>0</v>
      </c>
      <c r="X706" s="13" t="n">
        <v>0</v>
      </c>
      <c r="Y706" s="13" t="n">
        <v>0</v>
      </c>
      <c r="Z706" s="13" t="n">
        <v>0</v>
      </c>
      <c r="AA706" s="13" t="n">
        <v>0</v>
      </c>
      <c r="AB706" s="13" t="n">
        <v>0</v>
      </c>
      <c r="AC706" s="13" t="n">
        <v>0</v>
      </c>
      <c r="AD706" s="13" t="n">
        <v>0</v>
      </c>
      <c r="AE706" s="13" t="n">
        <v>0</v>
      </c>
      <c r="AF706" s="13" t="n">
        <v>0</v>
      </c>
      <c r="AG706" s="13" t="n">
        <v>0</v>
      </c>
      <c r="AH706" s="13" t="n">
        <v>0</v>
      </c>
      <c r="AI706" s="13" t="n">
        <v>0</v>
      </c>
      <c r="AJ706" s="13" t="n">
        <v>0</v>
      </c>
      <c r="AK706" s="13" t="n">
        <v>0</v>
      </c>
      <c r="AL706" s="13" t="n">
        <v>0</v>
      </c>
      <c r="AM706" s="13" t="n">
        <v>0</v>
      </c>
      <c r="AN706" s="13" t="n">
        <v>0</v>
      </c>
      <c r="AO706" s="13" t="n">
        <v>0</v>
      </c>
      <c r="AP706" s="13" t="n">
        <v>1154.94408</v>
      </c>
      <c r="AQ706" s="13" t="n">
        <v>1209.929786</v>
      </c>
      <c r="AR706" s="13" t="n">
        <v>1264.996886</v>
      </c>
      <c r="AS706" s="13" t="n">
        <v>1209.94803</v>
      </c>
      <c r="AT706" s="13" t="n">
        <v>1210.060624</v>
      </c>
    </row>
    <row r="707" customFormat="false" ht="15" hidden="false" customHeight="true" outlineLevel="0" collapsed="false">
      <c r="A707" s="12" t="s">
        <v>2170</v>
      </c>
      <c r="B707" s="12" t="s">
        <v>2171</v>
      </c>
      <c r="C707" s="12" t="n">
        <v>1</v>
      </c>
      <c r="D707" s="12" t="s">
        <v>2172</v>
      </c>
      <c r="E707" s="13" t="n">
        <v>0</v>
      </c>
      <c r="F707" s="13" t="n">
        <v>0</v>
      </c>
      <c r="G707" s="13" t="n">
        <v>0</v>
      </c>
      <c r="H707" s="13" t="n">
        <v>0</v>
      </c>
      <c r="I707" s="13" t="n">
        <v>0</v>
      </c>
      <c r="J707" s="13" t="n">
        <v>0</v>
      </c>
      <c r="K707" s="13" t="n">
        <v>0</v>
      </c>
      <c r="L707" s="13" t="n">
        <v>0</v>
      </c>
      <c r="M707" s="13" t="n">
        <v>0</v>
      </c>
      <c r="N707" s="13" t="n">
        <v>0</v>
      </c>
      <c r="O707" s="13" t="n">
        <v>0</v>
      </c>
      <c r="P707" s="13" t="n">
        <v>0</v>
      </c>
      <c r="Q707" s="13" t="n">
        <v>4088.01033</v>
      </c>
      <c r="R707" s="13" t="n">
        <v>6621.989934</v>
      </c>
      <c r="S707" s="13" t="n">
        <v>0</v>
      </c>
      <c r="T707" s="13" t="n">
        <v>2799.93728</v>
      </c>
      <c r="U707" s="13" t="n">
        <v>2086.010559</v>
      </c>
      <c r="V707" s="13" t="n">
        <v>2674.001304</v>
      </c>
      <c r="W707" s="13" t="n">
        <v>2673.994544</v>
      </c>
      <c r="X707" s="13" t="n">
        <v>0</v>
      </c>
      <c r="Y707" s="13" t="n">
        <v>0</v>
      </c>
      <c r="Z707" s="13" t="n">
        <v>2729.918752</v>
      </c>
      <c r="AA707" s="13" t="n">
        <v>0</v>
      </c>
      <c r="AB707" s="13" t="n">
        <v>2702.032962</v>
      </c>
      <c r="AC707" s="13" t="n">
        <v>2771.9472</v>
      </c>
      <c r="AD707" s="13" t="n">
        <v>2758.0002</v>
      </c>
      <c r="AE707" s="13" t="n">
        <v>2463.93252</v>
      </c>
      <c r="AF707" s="13" t="n">
        <v>2435.9478</v>
      </c>
      <c r="AG707" s="13" t="n">
        <v>5861.96048</v>
      </c>
      <c r="AH707" s="13" t="n">
        <v>2506.0395</v>
      </c>
      <c r="AI707" s="13" t="n">
        <v>2562.0311</v>
      </c>
      <c r="AJ707" s="13" t="n">
        <v>6089.92047</v>
      </c>
      <c r="AK707" s="13" t="n">
        <v>5207.96205</v>
      </c>
      <c r="AL707" s="13" t="n">
        <v>2296.000346</v>
      </c>
      <c r="AM707" s="13" t="n">
        <v>5124.017422</v>
      </c>
      <c r="AN707" s="13" t="n">
        <v>1959.999867</v>
      </c>
      <c r="AO707" s="13" t="n">
        <v>2323.97896</v>
      </c>
      <c r="AP707" s="13" t="n">
        <v>2436.02952</v>
      </c>
      <c r="AQ707" s="13" t="n">
        <v>2533.935562</v>
      </c>
      <c r="AR707" s="13" t="n">
        <v>2548.06265</v>
      </c>
      <c r="AS707" s="13" t="n">
        <v>2519.946126</v>
      </c>
      <c r="AT707" s="13" t="n">
        <v>2492.052824</v>
      </c>
    </row>
    <row r="708" customFormat="false" ht="15" hidden="false" customHeight="true" outlineLevel="0" collapsed="false">
      <c r="A708" s="12" t="s">
        <v>2173</v>
      </c>
      <c r="B708" s="12" t="s">
        <v>2174</v>
      </c>
      <c r="C708" s="12" t="n">
        <v>1</v>
      </c>
      <c r="D708" s="12" t="s">
        <v>2175</v>
      </c>
      <c r="E708" s="13" t="n">
        <v>6414.343236</v>
      </c>
      <c r="F708" s="13" t="n">
        <v>6414.410256</v>
      </c>
      <c r="G708" s="13" t="n">
        <v>6414.384314</v>
      </c>
      <c r="H708" s="13" t="n">
        <v>6414.381333</v>
      </c>
      <c r="I708" s="13" t="n">
        <v>35095.504024</v>
      </c>
      <c r="J708" s="13" t="n">
        <v>35095.524335</v>
      </c>
      <c r="K708" s="13" t="n">
        <v>35095.538316</v>
      </c>
      <c r="L708" s="13" t="n">
        <v>35095.471614</v>
      </c>
      <c r="M708" s="13" t="n">
        <v>35095.41909</v>
      </c>
      <c r="N708" s="13" t="n">
        <v>35095.436754</v>
      </c>
      <c r="O708" s="13" t="n">
        <v>15507.587401</v>
      </c>
      <c r="P708" s="13" t="n">
        <v>15507.482963</v>
      </c>
      <c r="Q708" s="13" t="n">
        <v>15507.483453</v>
      </c>
      <c r="R708" s="13" t="n">
        <v>15507.436131</v>
      </c>
      <c r="S708" s="13" t="n">
        <v>15507.545775</v>
      </c>
      <c r="T708" s="13" t="n">
        <v>15507.50208</v>
      </c>
      <c r="U708" s="13" t="n">
        <v>0</v>
      </c>
      <c r="V708" s="13" t="n">
        <v>0</v>
      </c>
      <c r="W708" s="13" t="n">
        <v>0</v>
      </c>
      <c r="X708" s="13" t="n">
        <v>0</v>
      </c>
      <c r="Y708" s="13" t="n">
        <v>0</v>
      </c>
      <c r="Z708" s="13" t="n">
        <v>0</v>
      </c>
      <c r="AA708" s="13" t="n">
        <v>0</v>
      </c>
      <c r="AB708" s="13" t="n">
        <v>0</v>
      </c>
      <c r="AC708" s="13" t="n">
        <v>0</v>
      </c>
      <c r="AD708" s="13" t="n">
        <v>0</v>
      </c>
      <c r="AE708" s="13" t="n">
        <v>0</v>
      </c>
      <c r="AF708" s="13" t="n">
        <v>0</v>
      </c>
      <c r="AG708" s="13" t="n">
        <v>0</v>
      </c>
      <c r="AH708" s="13" t="n">
        <v>0</v>
      </c>
      <c r="AI708" s="13" t="n">
        <v>0</v>
      </c>
      <c r="AJ708" s="13" t="n">
        <v>0</v>
      </c>
      <c r="AK708" s="13" t="n">
        <v>0</v>
      </c>
      <c r="AL708" s="13" t="n">
        <v>0</v>
      </c>
      <c r="AM708" s="13" t="n">
        <v>0</v>
      </c>
      <c r="AN708" s="13" t="n">
        <v>0</v>
      </c>
      <c r="AO708" s="13" t="n">
        <v>0</v>
      </c>
      <c r="AP708" s="13" t="n">
        <v>0</v>
      </c>
      <c r="AQ708" s="13" t="n">
        <v>0</v>
      </c>
      <c r="AR708" s="13" t="n">
        <v>0</v>
      </c>
      <c r="AS708" s="13" t="n">
        <v>0</v>
      </c>
      <c r="AT708" s="13" t="n">
        <v>0</v>
      </c>
    </row>
    <row r="709" customFormat="false" ht="15" hidden="false" customHeight="true" outlineLevel="0" collapsed="false">
      <c r="A709" s="12" t="s">
        <v>2176</v>
      </c>
      <c r="B709" s="12" t="s">
        <v>2177</v>
      </c>
      <c r="C709" s="12" t="n">
        <v>1</v>
      </c>
      <c r="D709" s="12" t="s">
        <v>2178</v>
      </c>
      <c r="E709" s="13" t="n">
        <v>6120.041832</v>
      </c>
      <c r="F709" s="13" t="n">
        <v>6119.968656</v>
      </c>
      <c r="G709" s="13" t="n">
        <v>6120.073436</v>
      </c>
      <c r="H709" s="13" t="n">
        <v>6119.989749</v>
      </c>
      <c r="I709" s="13" t="n">
        <v>6120.079861</v>
      </c>
      <c r="J709" s="13" t="n">
        <v>6120.02144</v>
      </c>
      <c r="K709" s="13" t="n">
        <v>6119.970048</v>
      </c>
      <c r="L709" s="13" t="n">
        <v>6120.029706</v>
      </c>
      <c r="M709" s="13" t="n">
        <v>6119.9208</v>
      </c>
      <c r="N709" s="13" t="n">
        <v>6119.925216</v>
      </c>
      <c r="O709" s="13" t="n">
        <v>6119.989635</v>
      </c>
      <c r="P709" s="13" t="n">
        <v>5959.978724</v>
      </c>
      <c r="Q709" s="13" t="n">
        <v>6280.014861</v>
      </c>
      <c r="R709" s="13" t="n">
        <v>26919.932697</v>
      </c>
      <c r="S709" s="13" t="n">
        <v>1220.02728</v>
      </c>
      <c r="T709" s="13" t="n">
        <v>1419.97184</v>
      </c>
      <c r="U709" s="13" t="n">
        <v>1699.938378</v>
      </c>
      <c r="V709" s="13" t="n">
        <v>1739.924784</v>
      </c>
      <c r="W709" s="13" t="n">
        <v>1519.907424</v>
      </c>
      <c r="X709" s="13" t="n">
        <v>0</v>
      </c>
      <c r="Y709" s="13" t="n">
        <v>0</v>
      </c>
      <c r="Z709" s="13" t="n">
        <v>0</v>
      </c>
      <c r="AA709" s="13" t="n">
        <v>0</v>
      </c>
      <c r="AB709" s="13" t="n">
        <v>0</v>
      </c>
      <c r="AC709" s="13" t="n">
        <v>0</v>
      </c>
      <c r="AD709" s="13" t="n">
        <v>0</v>
      </c>
      <c r="AE709" s="13" t="n">
        <v>0</v>
      </c>
      <c r="AF709" s="13" t="n">
        <v>0</v>
      </c>
      <c r="AG709" s="13" t="n">
        <v>0</v>
      </c>
      <c r="AH709" s="13" t="n">
        <v>0</v>
      </c>
      <c r="AI709" s="13" t="n">
        <v>0</v>
      </c>
      <c r="AJ709" s="13" t="n">
        <v>0</v>
      </c>
      <c r="AK709" s="13" t="n">
        <v>0</v>
      </c>
      <c r="AL709" s="13" t="n">
        <v>0</v>
      </c>
      <c r="AM709" s="13" t="n">
        <v>0</v>
      </c>
      <c r="AN709" s="13" t="n">
        <v>0</v>
      </c>
      <c r="AO709" s="13" t="n">
        <v>0</v>
      </c>
      <c r="AP709" s="13" t="n">
        <v>0</v>
      </c>
      <c r="AQ709" s="13" t="n">
        <v>0</v>
      </c>
      <c r="AR709" s="13" t="n">
        <v>0</v>
      </c>
      <c r="AS709" s="13" t="n">
        <v>0</v>
      </c>
      <c r="AT709" s="13" t="n">
        <v>0</v>
      </c>
    </row>
    <row r="710" customFormat="false" ht="15" hidden="false" customHeight="true" outlineLevel="0" collapsed="false">
      <c r="A710" s="12" t="s">
        <v>2179</v>
      </c>
      <c r="B710" s="12" t="s">
        <v>2180</v>
      </c>
      <c r="C710" s="12" t="n">
        <v>1</v>
      </c>
      <c r="D710" s="12" t="s">
        <v>2181</v>
      </c>
      <c r="E710" s="13" t="n">
        <v>0</v>
      </c>
      <c r="F710" s="13" t="n">
        <v>0</v>
      </c>
      <c r="G710" s="13" t="n">
        <v>0</v>
      </c>
      <c r="H710" s="13" t="n">
        <v>0</v>
      </c>
      <c r="I710" s="13" t="n">
        <v>0</v>
      </c>
      <c r="J710" s="13" t="n">
        <v>0</v>
      </c>
      <c r="K710" s="13" t="n">
        <v>0</v>
      </c>
      <c r="L710" s="13" t="n">
        <v>0</v>
      </c>
      <c r="M710" s="13" t="n">
        <v>0</v>
      </c>
      <c r="N710" s="13" t="n">
        <v>0</v>
      </c>
      <c r="O710" s="13" t="n">
        <v>0</v>
      </c>
      <c r="P710" s="13" t="n">
        <v>0</v>
      </c>
      <c r="Q710" s="13" t="n">
        <v>0</v>
      </c>
      <c r="R710" s="13" t="n">
        <v>0</v>
      </c>
      <c r="S710" s="13" t="n">
        <v>0</v>
      </c>
      <c r="T710" s="13" t="n">
        <v>0</v>
      </c>
      <c r="U710" s="13" t="n">
        <v>0</v>
      </c>
      <c r="V710" s="13" t="n">
        <v>0</v>
      </c>
      <c r="W710" s="13" t="n">
        <v>0</v>
      </c>
      <c r="X710" s="13" t="n">
        <v>0</v>
      </c>
      <c r="Y710" s="13" t="n">
        <v>0</v>
      </c>
      <c r="Z710" s="13" t="n">
        <v>0</v>
      </c>
      <c r="AA710" s="13" t="n">
        <v>0</v>
      </c>
      <c r="AB710" s="13" t="n">
        <v>0</v>
      </c>
      <c r="AC710" s="13" t="n">
        <v>0</v>
      </c>
      <c r="AD710" s="13" t="n">
        <v>0</v>
      </c>
      <c r="AE710" s="13" t="n">
        <v>0</v>
      </c>
      <c r="AF710" s="13" t="n">
        <v>0</v>
      </c>
      <c r="AG710" s="13" t="n">
        <v>0</v>
      </c>
      <c r="AH710" s="13" t="n">
        <v>0</v>
      </c>
      <c r="AI710" s="13" t="n">
        <v>0</v>
      </c>
      <c r="AJ710" s="13" t="n">
        <v>0</v>
      </c>
      <c r="AK710" s="13" t="n">
        <v>0</v>
      </c>
      <c r="AL710" s="13" t="n">
        <v>0</v>
      </c>
      <c r="AM710" s="13" t="n">
        <v>0</v>
      </c>
      <c r="AN710" s="13" t="n">
        <v>0</v>
      </c>
      <c r="AO710" s="13" t="n">
        <v>81.02894</v>
      </c>
      <c r="AP710" s="13" t="n">
        <v>80.93064</v>
      </c>
      <c r="AQ710" s="13" t="n">
        <v>80.939631</v>
      </c>
      <c r="AR710" s="13" t="n">
        <v>81.046812</v>
      </c>
      <c r="AS710" s="13" t="n">
        <v>81.009396</v>
      </c>
      <c r="AT710" s="13" t="n">
        <v>81.032408</v>
      </c>
    </row>
    <row r="711" customFormat="false" ht="15" hidden="false" customHeight="true" outlineLevel="0" collapsed="false">
      <c r="A711" s="12" t="s">
        <v>2182</v>
      </c>
      <c r="B711" s="12" t="s">
        <v>2183</v>
      </c>
      <c r="C711" s="12" t="n">
        <v>1</v>
      </c>
      <c r="D711" s="12" t="s">
        <v>2184</v>
      </c>
      <c r="E711" s="13" t="n">
        <v>0</v>
      </c>
      <c r="F711" s="13" t="n">
        <v>0</v>
      </c>
      <c r="G711" s="13" t="n">
        <v>0</v>
      </c>
      <c r="H711" s="13" t="n">
        <v>0</v>
      </c>
      <c r="I711" s="13" t="n">
        <v>0</v>
      </c>
      <c r="J711" s="13" t="n">
        <v>0</v>
      </c>
      <c r="K711" s="13" t="n">
        <v>0</v>
      </c>
      <c r="L711" s="13" t="n">
        <v>0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2075.005725</v>
      </c>
      <c r="T711" s="13" t="n">
        <v>3100.0704</v>
      </c>
      <c r="U711" s="13" t="n">
        <v>2225.044019</v>
      </c>
      <c r="V711" s="13" t="n">
        <v>1799.98572</v>
      </c>
      <c r="W711" s="13" t="n">
        <v>800.079568</v>
      </c>
      <c r="X711" s="13" t="n">
        <v>699.99194</v>
      </c>
      <c r="Y711" s="13" t="n">
        <v>700.083944</v>
      </c>
      <c r="Z711" s="13" t="n">
        <v>0</v>
      </c>
      <c r="AA711" s="13" t="n">
        <v>0</v>
      </c>
      <c r="AB711" s="13" t="n">
        <v>0</v>
      </c>
      <c r="AC711" s="13" t="n">
        <v>0</v>
      </c>
      <c r="AD711" s="13" t="n">
        <v>0</v>
      </c>
      <c r="AE711" s="13" t="n">
        <v>0</v>
      </c>
      <c r="AF711" s="13" t="n">
        <v>0</v>
      </c>
      <c r="AG711" s="13" t="n">
        <v>0</v>
      </c>
      <c r="AH711" s="13" t="n">
        <v>0</v>
      </c>
      <c r="AI711" s="13" t="n">
        <v>0</v>
      </c>
      <c r="AJ711" s="13" t="n">
        <v>0</v>
      </c>
      <c r="AK711" s="13" t="n">
        <v>0</v>
      </c>
      <c r="AL711" s="13" t="n">
        <v>0</v>
      </c>
      <c r="AM711" s="13" t="n">
        <v>0</v>
      </c>
      <c r="AN711" s="13" t="n">
        <v>0</v>
      </c>
      <c r="AO711" s="13" t="n">
        <v>0</v>
      </c>
      <c r="AP711" s="13" t="n">
        <v>0</v>
      </c>
      <c r="AQ711" s="13" t="n">
        <v>0</v>
      </c>
      <c r="AR711" s="13" t="n">
        <v>0</v>
      </c>
      <c r="AS711" s="13" t="n">
        <v>0</v>
      </c>
      <c r="AT711" s="13" t="n">
        <v>0</v>
      </c>
    </row>
    <row r="712" customFormat="false" ht="15" hidden="false" customHeight="true" outlineLevel="0" collapsed="false">
      <c r="A712" s="12" t="s">
        <v>2185</v>
      </c>
      <c r="B712" s="12" t="s">
        <v>2186</v>
      </c>
      <c r="C712" s="12" t="n">
        <v>1</v>
      </c>
      <c r="D712" s="12" t="s">
        <v>2187</v>
      </c>
      <c r="E712" s="13" t="n">
        <v>0</v>
      </c>
      <c r="F712" s="13" t="n">
        <v>0</v>
      </c>
      <c r="G712" s="13" t="n">
        <v>0</v>
      </c>
      <c r="H712" s="13" t="n">
        <v>0</v>
      </c>
      <c r="I712" s="13" t="n">
        <v>0</v>
      </c>
      <c r="J712" s="13" t="n">
        <v>0</v>
      </c>
      <c r="K712" s="13" t="n">
        <v>0</v>
      </c>
      <c r="L712" s="13" t="n">
        <v>0</v>
      </c>
      <c r="M712" s="13" t="n">
        <v>0</v>
      </c>
      <c r="N712" s="13" t="n">
        <v>0</v>
      </c>
      <c r="O712" s="13" t="n">
        <v>0</v>
      </c>
      <c r="P712" s="13" t="n">
        <v>53.969377</v>
      </c>
      <c r="Q712" s="13" t="n">
        <v>54.083295</v>
      </c>
      <c r="R712" s="13" t="n">
        <v>54.017988</v>
      </c>
      <c r="S712" s="13" t="n">
        <v>36.05829</v>
      </c>
      <c r="T712" s="13" t="n">
        <v>35.92064</v>
      </c>
      <c r="U712" s="13" t="n">
        <v>28.82401</v>
      </c>
      <c r="V712" s="13" t="n">
        <v>28.740816</v>
      </c>
      <c r="W712" s="13" t="n">
        <v>36.000768</v>
      </c>
      <c r="X712" s="13" t="n">
        <v>36.090236</v>
      </c>
      <c r="Y712" s="13" t="n">
        <v>36.027942</v>
      </c>
      <c r="Z712" s="13" t="n">
        <v>36.08352</v>
      </c>
      <c r="AA712" s="13" t="n">
        <v>0</v>
      </c>
      <c r="AB712" s="13" t="n">
        <v>0</v>
      </c>
      <c r="AC712" s="13" t="n">
        <v>0</v>
      </c>
      <c r="AD712" s="13" t="n">
        <v>0</v>
      </c>
      <c r="AE712" s="13" t="n">
        <v>0</v>
      </c>
      <c r="AF712" s="13" t="n">
        <v>0</v>
      </c>
      <c r="AG712" s="13" t="n">
        <v>0</v>
      </c>
      <c r="AH712" s="13" t="n">
        <v>0</v>
      </c>
      <c r="AI712" s="13" t="n">
        <v>0</v>
      </c>
      <c r="AJ712" s="13" t="n">
        <v>0</v>
      </c>
      <c r="AK712" s="13" t="n">
        <v>0</v>
      </c>
      <c r="AL712" s="13" t="n">
        <v>0</v>
      </c>
      <c r="AM712" s="13" t="n">
        <v>0</v>
      </c>
      <c r="AN712" s="13" t="n">
        <v>0</v>
      </c>
      <c r="AO712" s="13" t="n">
        <v>0</v>
      </c>
      <c r="AP712" s="13" t="n">
        <v>0</v>
      </c>
      <c r="AQ712" s="13" t="n">
        <v>0</v>
      </c>
      <c r="AR712" s="13" t="n">
        <v>0</v>
      </c>
      <c r="AS712" s="13" t="n">
        <v>0</v>
      </c>
      <c r="AT712" s="13" t="n">
        <v>0</v>
      </c>
    </row>
    <row r="713" customFormat="false" ht="15" hidden="false" customHeight="true" outlineLevel="0" collapsed="false">
      <c r="A713" s="12" t="s">
        <v>2188</v>
      </c>
      <c r="B713" s="12" t="s">
        <v>2189</v>
      </c>
      <c r="C713" s="12" t="n">
        <v>1</v>
      </c>
      <c r="D713" s="12" t="s">
        <v>2190</v>
      </c>
      <c r="E713" s="13" t="n">
        <v>0</v>
      </c>
      <c r="F713" s="13" t="n">
        <v>0</v>
      </c>
      <c r="G713" s="13" t="n">
        <v>0</v>
      </c>
      <c r="H713" s="13" t="n">
        <v>0</v>
      </c>
      <c r="I713" s="13" t="n">
        <v>0</v>
      </c>
      <c r="J713" s="13" t="n">
        <v>0</v>
      </c>
      <c r="K713" s="13" t="n">
        <v>0</v>
      </c>
      <c r="L713" s="13" t="n">
        <v>0</v>
      </c>
      <c r="M713" s="13" t="n">
        <v>0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  <c r="V713" s="13" t="n">
        <v>0</v>
      </c>
      <c r="W713" s="13" t="n">
        <v>0</v>
      </c>
      <c r="X713" s="13" t="n">
        <v>0</v>
      </c>
      <c r="Y713" s="13" t="n">
        <v>0</v>
      </c>
      <c r="Z713" s="13" t="n">
        <v>0</v>
      </c>
      <c r="AA713" s="13" t="n">
        <v>0</v>
      </c>
      <c r="AB713" s="13" t="n">
        <v>0</v>
      </c>
      <c r="AC713" s="13" t="n">
        <v>0</v>
      </c>
      <c r="AD713" s="13" t="n">
        <v>0</v>
      </c>
      <c r="AE713" s="13" t="n">
        <v>0</v>
      </c>
      <c r="AF713" s="13" t="n">
        <v>0</v>
      </c>
      <c r="AG713" s="13" t="n">
        <v>0</v>
      </c>
      <c r="AH713" s="13" t="n">
        <v>0</v>
      </c>
      <c r="AI713" s="13" t="n">
        <v>0</v>
      </c>
      <c r="AJ713" s="13" t="n">
        <v>0</v>
      </c>
      <c r="AK713" s="13" t="n">
        <v>0</v>
      </c>
      <c r="AL713" s="13" t="n">
        <v>0</v>
      </c>
      <c r="AM713" s="13" t="n">
        <v>0</v>
      </c>
      <c r="AN713" s="13" t="n">
        <v>0</v>
      </c>
      <c r="AO713" s="13" t="n">
        <v>0</v>
      </c>
      <c r="AP713" s="13" t="n">
        <v>0</v>
      </c>
      <c r="AQ713" s="13" t="n">
        <v>1274.934993</v>
      </c>
      <c r="AR713" s="13" t="n">
        <v>1340.079214</v>
      </c>
      <c r="AS713" s="13" t="n">
        <v>1989.923112</v>
      </c>
      <c r="AT713" s="13" t="n">
        <v>3264.92348</v>
      </c>
    </row>
    <row r="714" customFormat="false" ht="15" hidden="false" customHeight="true" outlineLevel="0" collapsed="false">
      <c r="A714" s="12" t="s">
        <v>2191</v>
      </c>
      <c r="B714" s="12" t="s">
        <v>2192</v>
      </c>
      <c r="C714" s="12" t="n">
        <v>1</v>
      </c>
      <c r="D714" s="12" t="s">
        <v>2193</v>
      </c>
      <c r="E714" s="13" t="n">
        <v>0</v>
      </c>
      <c r="F714" s="13" t="n">
        <v>0</v>
      </c>
      <c r="G714" s="13" t="n">
        <v>0</v>
      </c>
      <c r="H714" s="13" t="n">
        <v>0</v>
      </c>
      <c r="I714" s="13" t="n">
        <v>0</v>
      </c>
      <c r="J714" s="13" t="n">
        <v>0</v>
      </c>
      <c r="K714" s="13" t="n">
        <v>0</v>
      </c>
      <c r="L714" s="13" t="n">
        <v>0</v>
      </c>
      <c r="M714" s="13" t="n">
        <v>0</v>
      </c>
      <c r="N714" s="13" t="n">
        <v>0</v>
      </c>
      <c r="O714" s="13" t="n">
        <v>0</v>
      </c>
      <c r="P714" s="13" t="n">
        <v>0</v>
      </c>
      <c r="Q714" s="13" t="n">
        <v>0</v>
      </c>
      <c r="R714" s="13" t="n">
        <v>0</v>
      </c>
      <c r="S714" s="13" t="n">
        <v>0</v>
      </c>
      <c r="T714" s="13" t="n">
        <v>0</v>
      </c>
      <c r="U714" s="13" t="n">
        <v>0</v>
      </c>
      <c r="V714" s="13" t="n">
        <v>0</v>
      </c>
      <c r="W714" s="13" t="n">
        <v>0</v>
      </c>
      <c r="X714" s="13" t="n">
        <v>0</v>
      </c>
      <c r="Y714" s="13" t="n">
        <v>0</v>
      </c>
      <c r="Z714" s="13" t="n">
        <v>0</v>
      </c>
      <c r="AA714" s="13" t="n">
        <v>0</v>
      </c>
      <c r="AB714" s="13" t="n">
        <v>0</v>
      </c>
      <c r="AC714" s="13" t="n">
        <v>0</v>
      </c>
      <c r="AD714" s="13" t="n">
        <v>0</v>
      </c>
      <c r="AE714" s="13" t="n">
        <v>0</v>
      </c>
      <c r="AF714" s="13" t="n">
        <v>0</v>
      </c>
      <c r="AG714" s="13" t="n">
        <v>0</v>
      </c>
      <c r="AH714" s="13" t="n">
        <v>0</v>
      </c>
      <c r="AI714" s="13" t="n">
        <v>1869.92556</v>
      </c>
      <c r="AJ714" s="13" t="n">
        <v>1925.03592</v>
      </c>
      <c r="AK714" s="13" t="n">
        <v>1649.9493</v>
      </c>
      <c r="AL714" s="13" t="n">
        <v>1760.033636</v>
      </c>
      <c r="AM714" s="13" t="n">
        <v>1815.069535</v>
      </c>
      <c r="AN714" s="13" t="n">
        <v>1704.996673</v>
      </c>
      <c r="AO714" s="13" t="n">
        <v>1824.87517</v>
      </c>
      <c r="AP714" s="13" t="n">
        <v>1881.93936</v>
      </c>
      <c r="AQ714" s="13" t="n">
        <v>1825.034767</v>
      </c>
      <c r="AR714" s="13" t="n">
        <v>1881.970128</v>
      </c>
      <c r="AS714" s="13" t="n">
        <v>2167.17444</v>
      </c>
      <c r="AT714" s="13" t="n">
        <v>1653.9012</v>
      </c>
    </row>
    <row r="715" customFormat="false" ht="15" hidden="false" customHeight="true" outlineLevel="0" collapsed="false">
      <c r="A715" s="12" t="s">
        <v>2194</v>
      </c>
      <c r="B715" s="12" t="s">
        <v>2195</v>
      </c>
      <c r="C715" s="12" t="n">
        <v>1</v>
      </c>
      <c r="D715" s="12" t="s">
        <v>2196</v>
      </c>
      <c r="E715" s="13" t="n">
        <v>0</v>
      </c>
      <c r="F715" s="13" t="n">
        <v>0</v>
      </c>
      <c r="G715" s="13" t="n">
        <v>0</v>
      </c>
      <c r="H715" s="13" t="n">
        <v>0</v>
      </c>
      <c r="I715" s="13" t="n">
        <v>0</v>
      </c>
      <c r="J715" s="13" t="n">
        <v>0</v>
      </c>
      <c r="K715" s="13" t="n">
        <v>0</v>
      </c>
      <c r="L715" s="13" t="n">
        <v>0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  <c r="V715" s="13" t="n">
        <v>17000.008428</v>
      </c>
      <c r="W715" s="13" t="n">
        <v>17000.05016</v>
      </c>
      <c r="X715" s="13" t="n">
        <v>17000.08754</v>
      </c>
      <c r="Y715" s="13" t="n">
        <v>17000.0699</v>
      </c>
      <c r="Z715" s="13" t="n">
        <v>16999.948592</v>
      </c>
      <c r="AA715" s="13" t="n">
        <v>17000.08473</v>
      </c>
      <c r="AB715" s="13" t="n">
        <v>16999.961894</v>
      </c>
      <c r="AC715" s="13" t="n">
        <v>16999.994</v>
      </c>
      <c r="AD715" s="13" t="n">
        <v>17000.0718</v>
      </c>
      <c r="AE715" s="13" t="n">
        <v>16999.93008</v>
      </c>
      <c r="AF715" s="13" t="n">
        <v>16999.9434</v>
      </c>
      <c r="AG715" s="13" t="n">
        <v>16999.99416</v>
      </c>
      <c r="AH715" s="13" t="n">
        <v>17000.08815</v>
      </c>
      <c r="AI715" s="13" t="n">
        <v>17000.0068</v>
      </c>
      <c r="AJ715" s="13" t="n">
        <v>17000.07273</v>
      </c>
      <c r="AK715" s="13" t="n">
        <v>16999.9446</v>
      </c>
      <c r="AL715" s="13" t="n">
        <v>17000.090481</v>
      </c>
      <c r="AM715" s="13" t="n">
        <v>17000.020141</v>
      </c>
      <c r="AN715" s="13" t="n">
        <v>20400.075687</v>
      </c>
      <c r="AO715" s="13" t="n">
        <v>22201.92956</v>
      </c>
      <c r="AP715" s="13" t="n">
        <v>22847.97936</v>
      </c>
      <c r="AQ715" s="13" t="n">
        <v>23783.033185</v>
      </c>
      <c r="AR715" s="13" t="n">
        <v>21164.971474</v>
      </c>
      <c r="AS715" s="13" t="n">
        <v>20994.93513</v>
      </c>
      <c r="AT715" s="13" t="n">
        <v>26354.959376</v>
      </c>
    </row>
    <row r="716" customFormat="false" ht="15" hidden="false" customHeight="true" outlineLevel="0" collapsed="false">
      <c r="A716" s="12" t="s">
        <v>2197</v>
      </c>
      <c r="B716" s="12" t="s">
        <v>2198</v>
      </c>
      <c r="C716" s="12" t="n">
        <v>1</v>
      </c>
      <c r="D716" s="12" t="s">
        <v>2199</v>
      </c>
      <c r="E716" s="13" t="n">
        <v>0</v>
      </c>
      <c r="F716" s="13" t="n">
        <v>0</v>
      </c>
      <c r="G716" s="13" t="n">
        <v>0</v>
      </c>
      <c r="H716" s="13" t="n">
        <v>0</v>
      </c>
      <c r="I716" s="13" t="n">
        <v>0</v>
      </c>
      <c r="J716" s="13" t="n">
        <v>0</v>
      </c>
      <c r="K716" s="13" t="n">
        <v>0</v>
      </c>
      <c r="L716" s="13" t="n">
        <v>0</v>
      </c>
      <c r="M716" s="13" t="n">
        <v>0</v>
      </c>
      <c r="N716" s="13" t="n">
        <v>0</v>
      </c>
      <c r="O716" s="13" t="n">
        <v>0</v>
      </c>
      <c r="P716" s="13" t="n">
        <v>0</v>
      </c>
      <c r="Q716" s="13" t="n">
        <v>0</v>
      </c>
      <c r="R716" s="13" t="n">
        <v>0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0</v>
      </c>
      <c r="X716" s="13" t="n">
        <v>0</v>
      </c>
      <c r="Y716" s="13" t="n">
        <v>0</v>
      </c>
      <c r="Z716" s="13" t="n">
        <v>0</v>
      </c>
      <c r="AA716" s="13" t="n">
        <v>0</v>
      </c>
      <c r="AB716" s="13" t="n">
        <v>0</v>
      </c>
      <c r="AC716" s="13" t="n">
        <v>0</v>
      </c>
      <c r="AD716" s="13" t="n">
        <v>0</v>
      </c>
      <c r="AE716" s="13" t="n">
        <v>0</v>
      </c>
      <c r="AF716" s="13" t="n">
        <v>0</v>
      </c>
      <c r="AG716" s="13" t="n">
        <v>0</v>
      </c>
      <c r="AH716" s="13" t="n">
        <v>0</v>
      </c>
      <c r="AI716" s="13" t="n">
        <v>0</v>
      </c>
      <c r="AJ716" s="13" t="n">
        <v>0</v>
      </c>
      <c r="AK716" s="13" t="n">
        <v>0</v>
      </c>
      <c r="AL716" s="13" t="n">
        <v>0</v>
      </c>
      <c r="AM716" s="13" t="n">
        <v>0</v>
      </c>
      <c r="AN716" s="13" t="n">
        <v>0</v>
      </c>
      <c r="AO716" s="13" t="n">
        <v>0</v>
      </c>
      <c r="AP716" s="13" t="n">
        <v>0</v>
      </c>
      <c r="AQ716" s="13" t="n">
        <v>0</v>
      </c>
      <c r="AR716" s="13" t="n">
        <v>0</v>
      </c>
      <c r="AS716" s="13" t="n">
        <v>0</v>
      </c>
      <c r="AT716" s="13" t="n">
        <v>0</v>
      </c>
    </row>
    <row r="717" customFormat="false" ht="15" hidden="false" customHeight="true" outlineLevel="0" collapsed="false">
      <c r="A717" s="12" t="s">
        <v>2200</v>
      </c>
      <c r="B717" s="12" t="s">
        <v>2201</v>
      </c>
      <c r="C717" s="12" t="n">
        <v>1</v>
      </c>
      <c r="D717" s="12" t="s">
        <v>2202</v>
      </c>
      <c r="E717" s="13" t="n">
        <v>0</v>
      </c>
      <c r="F717" s="13" t="n">
        <v>0</v>
      </c>
      <c r="G717" s="13" t="n">
        <v>0</v>
      </c>
      <c r="H717" s="13" t="n">
        <v>0</v>
      </c>
      <c r="I717" s="13" t="n">
        <v>0</v>
      </c>
      <c r="J717" s="13" t="n">
        <v>0</v>
      </c>
      <c r="K717" s="13" t="n">
        <v>0</v>
      </c>
      <c r="L717" s="13" t="n">
        <v>0</v>
      </c>
      <c r="M717" s="13" t="n">
        <v>0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2400.02655</v>
      </c>
      <c r="T717" s="13" t="n">
        <v>2520.06272</v>
      </c>
      <c r="U717" s="13" t="n">
        <v>2460.044477</v>
      </c>
      <c r="V717" s="13" t="n">
        <v>2500.08252</v>
      </c>
      <c r="W717" s="13" t="n">
        <v>2479.927904</v>
      </c>
      <c r="X717" s="13" t="n">
        <v>2539.999082</v>
      </c>
      <c r="Y717" s="13" t="n">
        <v>2780.057754</v>
      </c>
      <c r="Z717" s="13" t="n">
        <v>2780.034752</v>
      </c>
      <c r="AA717" s="13" t="n">
        <v>2799.91071</v>
      </c>
      <c r="AB717" s="13" t="n">
        <v>2820.005344</v>
      </c>
      <c r="AC717" s="13" t="n">
        <v>3000.8748</v>
      </c>
      <c r="AD717" s="13" t="n">
        <v>3063.4866</v>
      </c>
      <c r="AE717" s="13" t="n">
        <v>3063.43296</v>
      </c>
      <c r="AF717" s="13" t="n">
        <v>3125.947</v>
      </c>
      <c r="AG717" s="13" t="n">
        <v>3209.45038</v>
      </c>
      <c r="AH717" s="13" t="n">
        <v>3063.5247</v>
      </c>
      <c r="AI717" s="13" t="n">
        <v>3021.80572</v>
      </c>
      <c r="AJ717" s="13" t="n">
        <v>3105.07101</v>
      </c>
      <c r="AK717" s="13" t="n">
        <v>3063.43155</v>
      </c>
      <c r="AL717" s="13" t="n">
        <v>3188.541472</v>
      </c>
      <c r="AM717" s="13" t="n">
        <v>3021.875242</v>
      </c>
      <c r="AN717" s="13" t="n">
        <v>2959.331848</v>
      </c>
      <c r="AO717" s="13" t="n">
        <v>3155.129002</v>
      </c>
      <c r="AP717" s="13" t="n">
        <v>3241.5396</v>
      </c>
      <c r="AQ717" s="13" t="n">
        <v>3306.39298</v>
      </c>
      <c r="AR717" s="13" t="n">
        <v>3457.64646</v>
      </c>
      <c r="AS717" s="13" t="n">
        <v>3392.7012</v>
      </c>
      <c r="AT717" s="13" t="n">
        <v>3565.600968</v>
      </c>
    </row>
    <row r="718" customFormat="false" ht="15" hidden="false" customHeight="true" outlineLevel="0" collapsed="false">
      <c r="A718" s="12" t="s">
        <v>2203</v>
      </c>
      <c r="B718" s="12" t="s">
        <v>2204</v>
      </c>
      <c r="C718" s="12" t="n">
        <v>1</v>
      </c>
      <c r="D718" s="12" t="s">
        <v>2205</v>
      </c>
      <c r="E718" s="13" t="n">
        <v>0</v>
      </c>
      <c r="F718" s="13" t="n">
        <v>0</v>
      </c>
      <c r="G718" s="13" t="n">
        <v>0</v>
      </c>
      <c r="H718" s="13" t="n">
        <v>0</v>
      </c>
      <c r="I718" s="13" t="n">
        <v>0</v>
      </c>
      <c r="J718" s="13" t="n">
        <v>0</v>
      </c>
      <c r="K718" s="13" t="n">
        <v>0</v>
      </c>
      <c r="L718" s="13" t="n">
        <v>0</v>
      </c>
      <c r="M718" s="13" t="n">
        <v>0</v>
      </c>
      <c r="N718" s="13" t="n">
        <v>0</v>
      </c>
      <c r="O718" s="13" t="n">
        <v>0</v>
      </c>
      <c r="P718" s="13" t="n">
        <v>0</v>
      </c>
      <c r="Q718" s="13" t="n">
        <v>0</v>
      </c>
      <c r="R718" s="13" t="n">
        <v>0</v>
      </c>
      <c r="S718" s="13" t="n">
        <v>0</v>
      </c>
      <c r="T718" s="13" t="n">
        <v>0</v>
      </c>
      <c r="U718" s="13" t="n">
        <v>0</v>
      </c>
      <c r="V718" s="13" t="n">
        <v>0</v>
      </c>
      <c r="W718" s="13" t="n">
        <v>0</v>
      </c>
      <c r="X718" s="13" t="n">
        <v>0</v>
      </c>
      <c r="Y718" s="13" t="n">
        <v>0</v>
      </c>
      <c r="Z718" s="13" t="n">
        <v>0</v>
      </c>
      <c r="AA718" s="13" t="n">
        <v>0</v>
      </c>
      <c r="AB718" s="13" t="n">
        <v>50380.07538</v>
      </c>
      <c r="AC718" s="13" t="n">
        <v>56580.0664</v>
      </c>
      <c r="AD718" s="13" t="n">
        <v>53839.925</v>
      </c>
      <c r="AE718" s="13" t="n">
        <v>21579.97464</v>
      </c>
      <c r="AF718" s="13" t="n">
        <v>51400.0454</v>
      </c>
      <c r="AG718" s="13" t="n">
        <v>45569.91124</v>
      </c>
      <c r="AH718" s="13" t="n">
        <v>45570.07155</v>
      </c>
      <c r="AI718" s="13" t="n">
        <v>44900.01796</v>
      </c>
      <c r="AJ718" s="13" t="n">
        <v>45399.94425</v>
      </c>
      <c r="AK718" s="13" t="n">
        <v>45100.0818</v>
      </c>
      <c r="AL718" s="13" t="n">
        <v>45840.072366</v>
      </c>
      <c r="AM718" s="13" t="n">
        <v>45900.072724</v>
      </c>
      <c r="AN718" s="13" t="n">
        <v>46479.996846</v>
      </c>
      <c r="AO718" s="13" t="n">
        <v>49180.084128</v>
      </c>
      <c r="AP718" s="13" t="n">
        <v>49399.95912</v>
      </c>
      <c r="AQ718" s="13" t="n">
        <v>52319.956912</v>
      </c>
      <c r="AR718" s="13" t="n">
        <v>53879.990788</v>
      </c>
      <c r="AS718" s="13" t="n">
        <v>57039.962022</v>
      </c>
      <c r="AT718" s="13" t="n">
        <v>61440.066864</v>
      </c>
    </row>
    <row r="719" customFormat="false" ht="15" hidden="false" customHeight="true" outlineLevel="0" collapsed="false">
      <c r="A719" s="12" t="s">
        <v>2206</v>
      </c>
      <c r="B719" s="12" t="s">
        <v>2207</v>
      </c>
      <c r="C719" s="12" t="n">
        <v>1</v>
      </c>
      <c r="D719" s="12" t="s">
        <v>2208</v>
      </c>
      <c r="E719" s="13" t="n">
        <v>1574.991432</v>
      </c>
      <c r="F719" s="13" t="n">
        <v>1575.078534</v>
      </c>
      <c r="G719" s="13" t="n">
        <v>1575.088106</v>
      </c>
      <c r="H719" s="13" t="n">
        <v>1574.958897</v>
      </c>
      <c r="I719" s="13" t="n">
        <v>1574.956873</v>
      </c>
      <c r="J719" s="13" t="n">
        <v>1574.995455</v>
      </c>
      <c r="K719" s="13" t="n">
        <v>1575.051192</v>
      </c>
      <c r="L719" s="13" t="n">
        <v>1574.970705</v>
      </c>
      <c r="M719" s="13" t="n">
        <v>1506.536955</v>
      </c>
      <c r="N719" s="13" t="n">
        <v>1506.493164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0</v>
      </c>
      <c r="X719" s="13" t="n">
        <v>0</v>
      </c>
      <c r="Y719" s="13" t="n">
        <v>0</v>
      </c>
      <c r="Z719" s="13" t="n">
        <v>0</v>
      </c>
      <c r="AA719" s="13" t="n">
        <v>0</v>
      </c>
      <c r="AB719" s="13" t="n">
        <v>0</v>
      </c>
      <c r="AC719" s="13" t="n">
        <v>0</v>
      </c>
      <c r="AD719" s="13" t="n">
        <v>0</v>
      </c>
      <c r="AE719" s="13" t="n">
        <v>0</v>
      </c>
      <c r="AF719" s="13" t="n">
        <v>1569.9244</v>
      </c>
      <c r="AG719" s="13" t="n">
        <v>1569.8923</v>
      </c>
      <c r="AH719" s="13" t="n">
        <v>0</v>
      </c>
      <c r="AI719" s="13" t="n">
        <v>0</v>
      </c>
      <c r="AJ719" s="13" t="n">
        <v>0</v>
      </c>
      <c r="AK719" s="13" t="n">
        <v>0</v>
      </c>
      <c r="AL719" s="13" t="n">
        <v>0</v>
      </c>
      <c r="AM719" s="13" t="n">
        <v>0</v>
      </c>
      <c r="AN719" s="13" t="n">
        <v>0</v>
      </c>
      <c r="AO719" s="13" t="n">
        <v>0</v>
      </c>
      <c r="AP719" s="13" t="n">
        <v>0</v>
      </c>
      <c r="AQ719" s="13" t="n">
        <v>0</v>
      </c>
      <c r="AR719" s="13" t="n">
        <v>0</v>
      </c>
      <c r="AS719" s="13" t="n">
        <v>0</v>
      </c>
      <c r="AT719" s="13" t="n">
        <v>0</v>
      </c>
    </row>
    <row r="720" customFormat="false" ht="15" hidden="false" customHeight="true" outlineLevel="0" collapsed="false">
      <c r="A720" s="12" t="s">
        <v>2209</v>
      </c>
      <c r="B720" s="12" t="s">
        <v>2210</v>
      </c>
      <c r="C720" s="12" t="n">
        <v>1</v>
      </c>
      <c r="D720" s="12" t="s">
        <v>2211</v>
      </c>
      <c r="E720" s="13" t="n">
        <v>0</v>
      </c>
      <c r="F720" s="13" t="n">
        <v>0</v>
      </c>
      <c r="G720" s="13" t="n">
        <v>0</v>
      </c>
      <c r="H720" s="13" t="n">
        <v>0</v>
      </c>
      <c r="I720" s="13" t="n">
        <v>0</v>
      </c>
      <c r="J720" s="13" t="n">
        <v>0</v>
      </c>
      <c r="K720" s="13" t="n">
        <v>0</v>
      </c>
      <c r="L720" s="13" t="n">
        <v>0</v>
      </c>
      <c r="M720" s="13" t="n">
        <v>0</v>
      </c>
      <c r="N720" s="13" t="n">
        <v>0</v>
      </c>
      <c r="O720" s="13" t="n">
        <v>0</v>
      </c>
      <c r="P720" s="13" t="n">
        <v>0</v>
      </c>
      <c r="Q720" s="13" t="n">
        <v>0</v>
      </c>
      <c r="R720" s="13" t="n">
        <v>0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0</v>
      </c>
      <c r="X720" s="13" t="n">
        <v>0</v>
      </c>
      <c r="Y720" s="13" t="n">
        <v>0</v>
      </c>
      <c r="Z720" s="13" t="n">
        <v>0</v>
      </c>
      <c r="AA720" s="13" t="n">
        <v>0</v>
      </c>
      <c r="AB720" s="13" t="n">
        <v>0</v>
      </c>
      <c r="AC720" s="13" t="n">
        <v>0</v>
      </c>
      <c r="AD720" s="13" t="n">
        <v>0</v>
      </c>
      <c r="AE720" s="13" t="n">
        <v>0</v>
      </c>
      <c r="AF720" s="13" t="n">
        <v>0</v>
      </c>
      <c r="AG720" s="13" t="n">
        <v>0</v>
      </c>
      <c r="AH720" s="13" t="n">
        <v>0</v>
      </c>
      <c r="AI720" s="13" t="n">
        <v>0</v>
      </c>
      <c r="AJ720" s="13" t="n">
        <v>0</v>
      </c>
      <c r="AK720" s="13" t="n">
        <v>0</v>
      </c>
      <c r="AL720" s="13" t="n">
        <v>0</v>
      </c>
      <c r="AM720" s="13" t="n">
        <v>0</v>
      </c>
      <c r="AN720" s="13" t="n">
        <v>0</v>
      </c>
      <c r="AO720" s="13" t="n">
        <v>0</v>
      </c>
      <c r="AP720" s="13" t="n">
        <v>0</v>
      </c>
      <c r="AQ720" s="13" t="n">
        <v>31109.971057</v>
      </c>
      <c r="AR720" s="13" t="n">
        <v>30803.92847</v>
      </c>
      <c r="AS720" s="13" t="n">
        <v>29478.072906</v>
      </c>
      <c r="AT720" s="13" t="n">
        <v>30039.046176</v>
      </c>
    </row>
    <row r="721" customFormat="false" ht="15" hidden="false" customHeight="true" outlineLevel="0" collapsed="false">
      <c r="A721" s="12" t="s">
        <v>2212</v>
      </c>
      <c r="B721" s="12" t="s">
        <v>2213</v>
      </c>
      <c r="C721" s="12" t="n">
        <v>1</v>
      </c>
      <c r="D721" s="12" t="s">
        <v>2214</v>
      </c>
      <c r="E721" s="13" t="n">
        <v>0</v>
      </c>
      <c r="F721" s="13" t="n">
        <v>0</v>
      </c>
      <c r="G721" s="13" t="n">
        <v>0</v>
      </c>
      <c r="H721" s="13" t="n">
        <v>0</v>
      </c>
      <c r="I721" s="13" t="n">
        <v>0</v>
      </c>
      <c r="J721" s="13" t="n">
        <v>0</v>
      </c>
      <c r="K721" s="13" t="n">
        <v>0</v>
      </c>
      <c r="L721" s="13" t="n">
        <v>0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  <c r="V721" s="13" t="n">
        <v>0</v>
      </c>
      <c r="W721" s="13" t="n">
        <v>0</v>
      </c>
      <c r="X721" s="13" t="n">
        <v>0</v>
      </c>
      <c r="Y721" s="13" t="n">
        <v>0</v>
      </c>
      <c r="Z721" s="13" t="n">
        <v>0</v>
      </c>
      <c r="AA721" s="13" t="n">
        <v>0</v>
      </c>
      <c r="AB721" s="13" t="n">
        <v>0</v>
      </c>
      <c r="AC721" s="13" t="n">
        <v>0</v>
      </c>
      <c r="AD721" s="13" t="n">
        <v>0</v>
      </c>
      <c r="AE721" s="13" t="n">
        <v>0</v>
      </c>
      <c r="AF721" s="13" t="n">
        <v>0</v>
      </c>
      <c r="AG721" s="13" t="n">
        <v>0</v>
      </c>
      <c r="AH721" s="13" t="n">
        <v>0</v>
      </c>
      <c r="AI721" s="13" t="n">
        <v>0</v>
      </c>
      <c r="AJ721" s="13" t="n">
        <v>0</v>
      </c>
      <c r="AK721" s="13" t="n">
        <v>0</v>
      </c>
      <c r="AL721" s="13" t="n">
        <v>0</v>
      </c>
      <c r="AM721" s="13" t="n">
        <v>0</v>
      </c>
      <c r="AN721" s="13" t="n">
        <v>0</v>
      </c>
      <c r="AO721" s="13" t="n">
        <v>559.961696</v>
      </c>
      <c r="AP721" s="13" t="n">
        <v>70.05936</v>
      </c>
      <c r="AQ721" s="13" t="n">
        <v>560.058789</v>
      </c>
      <c r="AR721" s="13" t="n">
        <v>559.959792</v>
      </c>
      <c r="AS721" s="13" t="n">
        <v>559.968795</v>
      </c>
      <c r="AT721" s="13" t="n">
        <v>560.0512</v>
      </c>
    </row>
    <row r="722" customFormat="false" ht="15" hidden="false" customHeight="true" outlineLevel="0" collapsed="false">
      <c r="A722" s="12" t="s">
        <v>2215</v>
      </c>
      <c r="B722" s="12" t="s">
        <v>2216</v>
      </c>
      <c r="C722" s="12" t="n">
        <v>1</v>
      </c>
      <c r="D722" s="12" t="s">
        <v>2217</v>
      </c>
      <c r="E722" s="13" t="n">
        <v>0</v>
      </c>
      <c r="F722" s="13" t="n">
        <v>0</v>
      </c>
      <c r="G722" s="13" t="n">
        <v>7384.017385</v>
      </c>
      <c r="H722" s="13" t="n">
        <v>7488.044757</v>
      </c>
      <c r="I722" s="13" t="n">
        <v>7617.976786</v>
      </c>
      <c r="J722" s="13" t="n">
        <v>7540.032005</v>
      </c>
      <c r="K722" s="13" t="n">
        <v>7487.918196</v>
      </c>
      <c r="L722" s="13" t="n">
        <v>7462.06216</v>
      </c>
      <c r="M722" s="13" t="n">
        <v>7123.92624</v>
      </c>
      <c r="N722" s="13" t="n">
        <v>7254.041022</v>
      </c>
      <c r="O722" s="13" t="n">
        <v>7903.932628</v>
      </c>
      <c r="P722" s="13" t="n">
        <v>8189.979847</v>
      </c>
      <c r="Q722" s="13" t="n">
        <v>8080.731045</v>
      </c>
      <c r="R722" s="13" t="n">
        <v>7452.943857</v>
      </c>
      <c r="S722" s="13" t="n">
        <v>7343.65119</v>
      </c>
      <c r="T722" s="13" t="n">
        <v>7043.33952</v>
      </c>
      <c r="U722" s="13" t="n">
        <v>7097.997239</v>
      </c>
      <c r="V722" s="13" t="n">
        <v>6988.808424</v>
      </c>
      <c r="W722" s="13" t="n">
        <v>6661.267104</v>
      </c>
      <c r="X722" s="13" t="n">
        <v>6470.067144</v>
      </c>
      <c r="Y722" s="13" t="n">
        <v>6524.798108</v>
      </c>
      <c r="Z722" s="13" t="n">
        <v>6688.48136</v>
      </c>
      <c r="AA722" s="13" t="n">
        <v>6524.7573</v>
      </c>
      <c r="AB722" s="13" t="n">
        <v>6661.291326</v>
      </c>
      <c r="AC722" s="13" t="n">
        <v>6827.9156</v>
      </c>
      <c r="AD722" s="13" t="n">
        <v>6799.536</v>
      </c>
      <c r="AE722" s="13" t="n">
        <v>6884.9676</v>
      </c>
      <c r="AF722" s="13" t="n">
        <v>6628.809</v>
      </c>
      <c r="AG722" s="13" t="n">
        <v>6515.0048</v>
      </c>
      <c r="AH722" s="13" t="n">
        <v>5974.4586</v>
      </c>
      <c r="AI722" s="13" t="n">
        <v>5889.1001</v>
      </c>
      <c r="AJ722" s="13" t="n">
        <v>6002.87634</v>
      </c>
      <c r="AK722" s="13" t="n">
        <v>6031.4691</v>
      </c>
      <c r="AL722" s="13" t="n">
        <v>6230.474868</v>
      </c>
      <c r="AM722" s="13" t="n">
        <v>6714.198099</v>
      </c>
      <c r="AN722" s="13" t="n">
        <v>6657.237827</v>
      </c>
      <c r="AO722" s="13" t="n">
        <v>6460.420146</v>
      </c>
      <c r="AP722" s="13" t="n">
        <v>6253.91952</v>
      </c>
      <c r="AQ722" s="13" t="n">
        <v>6136.020751</v>
      </c>
      <c r="AR722" s="13" t="n">
        <v>6224.465332</v>
      </c>
      <c r="AS722" s="13" t="n">
        <v>6224.56812</v>
      </c>
      <c r="AT722" s="13" t="n">
        <v>6313.002136</v>
      </c>
    </row>
    <row r="723" customFormat="false" ht="15" hidden="false" customHeight="true" outlineLevel="0" collapsed="false">
      <c r="A723" s="12" t="s">
        <v>2218</v>
      </c>
      <c r="B723" s="12" t="s">
        <v>2219</v>
      </c>
      <c r="C723" s="12" t="n">
        <v>1</v>
      </c>
      <c r="D723" s="12" t="s">
        <v>2220</v>
      </c>
      <c r="E723" s="13" t="n">
        <v>0</v>
      </c>
      <c r="F723" s="13" t="n">
        <v>0</v>
      </c>
      <c r="G723" s="13" t="n">
        <v>0</v>
      </c>
      <c r="H723" s="13" t="n">
        <v>0</v>
      </c>
      <c r="I723" s="13" t="n">
        <v>0</v>
      </c>
      <c r="J723" s="13" t="n">
        <v>0</v>
      </c>
      <c r="K723" s="13" t="n">
        <v>0</v>
      </c>
      <c r="L723" s="13" t="n">
        <v>0</v>
      </c>
      <c r="M723" s="13" t="n">
        <v>0</v>
      </c>
      <c r="N723" s="1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3" t="n">
        <v>0</v>
      </c>
      <c r="W723" s="13" t="n">
        <v>0</v>
      </c>
      <c r="X723" s="13" t="n">
        <v>6840.091212</v>
      </c>
      <c r="Y723" s="13" t="n">
        <v>8120.06813</v>
      </c>
      <c r="Z723" s="13" t="n">
        <v>8599.9056</v>
      </c>
      <c r="AA723" s="13" t="n">
        <v>9199.96902</v>
      </c>
      <c r="AB723" s="13" t="n">
        <v>9680.008298</v>
      </c>
      <c r="AC723" s="13" t="n">
        <v>10211.5772</v>
      </c>
      <c r="AD723" s="13" t="n">
        <v>10211.622</v>
      </c>
      <c r="AE723" s="13" t="n">
        <v>10753.44984</v>
      </c>
      <c r="AF723" s="13" t="n">
        <v>10420.0844</v>
      </c>
      <c r="AG723" s="13" t="n">
        <v>10586.68982</v>
      </c>
      <c r="AH723" s="13" t="n">
        <v>15678.51585</v>
      </c>
      <c r="AI723" s="13" t="n">
        <v>17879.14249</v>
      </c>
      <c r="AJ723" s="13" t="n">
        <v>18666.02655</v>
      </c>
      <c r="AK723" s="13" t="n">
        <v>18414.16065</v>
      </c>
      <c r="AL723" s="13" t="n">
        <v>19892.837267</v>
      </c>
      <c r="AM723" s="13" t="n">
        <v>20863.119121</v>
      </c>
      <c r="AN723" s="13" t="n">
        <v>20543.042922</v>
      </c>
      <c r="AO723" s="13" t="n">
        <v>21463.18699</v>
      </c>
      <c r="AP723" s="13" t="n">
        <v>20527.91016</v>
      </c>
      <c r="AQ723" s="13" t="n">
        <v>23084.815697</v>
      </c>
      <c r="AR723" s="13" t="n">
        <v>22623.287812</v>
      </c>
      <c r="AS723" s="13" t="n">
        <v>22222.019763</v>
      </c>
      <c r="AT723" s="13" t="n">
        <v>25684.648096</v>
      </c>
    </row>
    <row r="724" customFormat="false" ht="15" hidden="false" customHeight="true" outlineLevel="0" collapsed="false">
      <c r="A724" s="12" t="s">
        <v>2221</v>
      </c>
      <c r="B724" s="12" t="s">
        <v>2222</v>
      </c>
      <c r="C724" s="12" t="n">
        <v>1</v>
      </c>
      <c r="D724" s="12" t="s">
        <v>2223</v>
      </c>
      <c r="E724" s="13" t="n">
        <v>7704.04824</v>
      </c>
      <c r="F724" s="13" t="n">
        <v>7768.289538</v>
      </c>
      <c r="G724" s="13" t="n">
        <v>7768.286754</v>
      </c>
      <c r="H724" s="13" t="n">
        <v>7447.277295</v>
      </c>
      <c r="I724" s="13" t="n">
        <v>6612.662602</v>
      </c>
      <c r="J724" s="13" t="n">
        <v>6805.136765</v>
      </c>
      <c r="K724" s="13" t="n">
        <v>6612.611616</v>
      </c>
      <c r="L724" s="13" t="n">
        <v>6869.417681</v>
      </c>
      <c r="M724" s="13" t="n">
        <v>6612.581475</v>
      </c>
      <c r="N724" s="13" t="n">
        <v>6676.774812</v>
      </c>
      <c r="O724" s="13" t="n">
        <v>6548.466345</v>
      </c>
      <c r="P724" s="13" t="n">
        <v>5970.637253</v>
      </c>
      <c r="Q724" s="13" t="n">
        <v>5970.624075</v>
      </c>
      <c r="R724" s="13" t="n">
        <v>5970.526161</v>
      </c>
      <c r="S724" s="13" t="n">
        <v>5521.2189</v>
      </c>
      <c r="T724" s="13" t="n">
        <v>5071.79008</v>
      </c>
      <c r="U724" s="13" t="n">
        <v>2568.049738</v>
      </c>
      <c r="V724" s="13" t="n">
        <v>2118.529764</v>
      </c>
      <c r="W724" s="13" t="n">
        <v>2118.607696</v>
      </c>
      <c r="X724" s="13" t="n">
        <v>2182.864384</v>
      </c>
      <c r="Y724" s="13" t="n">
        <v>1926.018342</v>
      </c>
      <c r="Z724" s="13" t="n">
        <v>1990.206592</v>
      </c>
      <c r="AA724" s="13" t="n">
        <v>2054.36994</v>
      </c>
      <c r="AB724" s="13" t="n">
        <v>2182.792598</v>
      </c>
      <c r="AC724" s="13" t="n">
        <v>2274.5932</v>
      </c>
      <c r="AD724" s="13" t="n">
        <v>2207.7962</v>
      </c>
      <c r="AE724" s="13" t="n">
        <v>2274.50916</v>
      </c>
      <c r="AF724" s="13" t="n">
        <v>2140.8772</v>
      </c>
      <c r="AG724" s="13" t="n">
        <v>2073.95606</v>
      </c>
      <c r="AH724" s="13" t="n">
        <v>2140.8036</v>
      </c>
      <c r="AI724" s="13" t="n">
        <v>2207.70765</v>
      </c>
      <c r="AJ724" s="13" t="n">
        <v>2408.34519</v>
      </c>
      <c r="AK724" s="13" t="n">
        <v>2341.5558</v>
      </c>
      <c r="AL724" s="13" t="n">
        <v>2542.250343</v>
      </c>
      <c r="AM724" s="13" t="n">
        <v>2408.47529</v>
      </c>
      <c r="AN724" s="13" t="n">
        <v>2408.323536</v>
      </c>
      <c r="AO724" s="13" t="n">
        <v>2497.24297</v>
      </c>
      <c r="AP724" s="13" t="n">
        <v>2219.81184</v>
      </c>
      <c r="AQ724" s="13" t="n">
        <v>2358.656898</v>
      </c>
      <c r="AR724" s="13" t="n">
        <v>2289.133874</v>
      </c>
      <c r="AS724" s="13" t="n">
        <v>2150.384031</v>
      </c>
      <c r="AT724" s="13" t="n">
        <v>2011.80892</v>
      </c>
    </row>
    <row r="725" customFormat="false" ht="15" hidden="false" customHeight="true" outlineLevel="0" collapsed="false">
      <c r="A725" s="12" t="s">
        <v>2224</v>
      </c>
      <c r="B725" s="12" t="s">
        <v>2225</v>
      </c>
      <c r="C725" s="12" t="n">
        <v>1</v>
      </c>
      <c r="D725" s="12" t="s">
        <v>2226</v>
      </c>
      <c r="E725" s="13" t="n">
        <v>0</v>
      </c>
      <c r="F725" s="13" t="n">
        <v>0</v>
      </c>
      <c r="G725" s="13" t="n">
        <v>0</v>
      </c>
      <c r="H725" s="13" t="n">
        <v>0</v>
      </c>
      <c r="I725" s="13" t="n">
        <v>0</v>
      </c>
      <c r="J725" s="13" t="n">
        <v>0</v>
      </c>
      <c r="K725" s="13" t="n">
        <v>0</v>
      </c>
      <c r="L725" s="13" t="n">
        <v>0</v>
      </c>
      <c r="M725" s="13" t="n">
        <v>0</v>
      </c>
      <c r="N725" s="13" t="n">
        <v>0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  <c r="V725" s="13" t="n">
        <v>0</v>
      </c>
      <c r="W725" s="13" t="n">
        <v>0</v>
      </c>
      <c r="X725" s="13" t="n">
        <v>0</v>
      </c>
      <c r="Y725" s="13" t="n">
        <v>0</v>
      </c>
      <c r="Z725" s="13" t="n">
        <v>0</v>
      </c>
      <c r="AA725" s="13" t="n">
        <v>0</v>
      </c>
      <c r="AB725" s="13" t="n">
        <v>0</v>
      </c>
      <c r="AC725" s="13" t="n">
        <v>0</v>
      </c>
      <c r="AD725" s="13" t="n">
        <v>0</v>
      </c>
      <c r="AE725" s="13" t="n">
        <v>0</v>
      </c>
      <c r="AF725" s="13" t="n">
        <v>0</v>
      </c>
      <c r="AG725" s="13" t="n">
        <v>0</v>
      </c>
      <c r="AH725" s="13" t="n">
        <v>0</v>
      </c>
      <c r="AI725" s="13" t="n">
        <v>0</v>
      </c>
      <c r="AJ725" s="13" t="n">
        <v>0</v>
      </c>
      <c r="AK725" s="13" t="n">
        <v>0</v>
      </c>
      <c r="AL725" s="13" t="n">
        <v>0</v>
      </c>
      <c r="AM725" s="13" t="n">
        <v>0</v>
      </c>
      <c r="AN725" s="13" t="n">
        <v>0</v>
      </c>
      <c r="AO725" s="13" t="n">
        <v>0</v>
      </c>
      <c r="AP725" s="13" t="n">
        <v>0</v>
      </c>
      <c r="AQ725" s="13" t="n">
        <v>0</v>
      </c>
      <c r="AR725" s="13" t="n">
        <v>0</v>
      </c>
      <c r="AS725" s="13" t="n">
        <v>75.643389</v>
      </c>
      <c r="AT725" s="13" t="n">
        <v>75.606912</v>
      </c>
    </row>
    <row r="726" customFormat="false" ht="15" hidden="false" customHeight="true" outlineLevel="0" collapsed="false">
      <c r="A726" s="12" t="s">
        <v>2227</v>
      </c>
      <c r="B726" s="12" t="s">
        <v>2228</v>
      </c>
      <c r="C726" s="12" t="n">
        <v>1</v>
      </c>
      <c r="D726" s="12" t="s">
        <v>2229</v>
      </c>
      <c r="E726" s="13" t="n">
        <v>0</v>
      </c>
      <c r="F726" s="13" t="n">
        <v>0</v>
      </c>
      <c r="G726" s="13" t="n">
        <v>0</v>
      </c>
      <c r="H726" s="13" t="n">
        <v>0</v>
      </c>
      <c r="I726" s="13" t="n">
        <v>0</v>
      </c>
      <c r="J726" s="13" t="n">
        <v>0</v>
      </c>
      <c r="K726" s="13" t="n">
        <v>0</v>
      </c>
      <c r="L726" s="13" t="n">
        <v>0</v>
      </c>
      <c r="M726" s="13" t="n">
        <v>0</v>
      </c>
      <c r="N726" s="13" t="n">
        <v>0</v>
      </c>
      <c r="O726" s="13" t="n">
        <v>0</v>
      </c>
      <c r="P726" s="13" t="n">
        <v>0</v>
      </c>
      <c r="Q726" s="13" t="n">
        <v>0</v>
      </c>
      <c r="R726" s="13" t="n">
        <v>0</v>
      </c>
      <c r="S726" s="13" t="n">
        <v>0</v>
      </c>
      <c r="T726" s="13" t="n">
        <v>0</v>
      </c>
      <c r="U726" s="13" t="n">
        <v>0</v>
      </c>
      <c r="V726" s="13" t="n">
        <v>0</v>
      </c>
      <c r="W726" s="13" t="n">
        <v>0</v>
      </c>
      <c r="X726" s="13" t="n">
        <v>0</v>
      </c>
      <c r="Y726" s="13" t="n">
        <v>0</v>
      </c>
      <c r="Z726" s="13" t="n">
        <v>43527.951104</v>
      </c>
      <c r="AA726" s="13" t="n">
        <v>13727.90976</v>
      </c>
      <c r="AB726" s="13" t="n">
        <v>13728.100068</v>
      </c>
      <c r="AC726" s="13" t="n">
        <v>13728.0044</v>
      </c>
      <c r="AD726" s="13" t="n">
        <v>13728.0004</v>
      </c>
      <c r="AE726" s="13" t="n">
        <v>13728.0906</v>
      </c>
      <c r="AF726" s="13" t="n">
        <v>13727.9296</v>
      </c>
      <c r="AG726" s="13" t="n">
        <v>16774.20756</v>
      </c>
      <c r="AH726" s="13" t="n">
        <v>16774.22355</v>
      </c>
      <c r="AI726" s="13" t="n">
        <v>16774.06686</v>
      </c>
      <c r="AJ726" s="13" t="n">
        <v>16774.16805</v>
      </c>
      <c r="AK726" s="13" t="n">
        <v>27441.9186</v>
      </c>
      <c r="AL726" s="13" t="n">
        <v>13771.21337</v>
      </c>
      <c r="AM726" s="13" t="n">
        <v>13542.308091</v>
      </c>
      <c r="AN726" s="13" t="n">
        <v>13485.137171</v>
      </c>
      <c r="AO726" s="13" t="n">
        <v>13485.112038</v>
      </c>
      <c r="AP726" s="13" t="n">
        <v>13485.21888</v>
      </c>
      <c r="AQ726" s="13" t="n">
        <v>14028.630675</v>
      </c>
      <c r="AR726" s="13" t="n">
        <v>15572.916872</v>
      </c>
      <c r="AS726" s="13" t="n">
        <v>13999.912263</v>
      </c>
      <c r="AT726" s="13" t="n">
        <v>10782.210712</v>
      </c>
    </row>
    <row r="727" customFormat="false" ht="15" hidden="false" customHeight="true" outlineLevel="0" collapsed="false">
      <c r="A727" s="12" t="s">
        <v>2230</v>
      </c>
      <c r="B727" s="12" t="s">
        <v>2231</v>
      </c>
      <c r="C727" s="12" t="n">
        <v>1</v>
      </c>
      <c r="D727" s="12" t="s">
        <v>2232</v>
      </c>
      <c r="E727" s="13" t="n">
        <v>7395.848748</v>
      </c>
      <c r="F727" s="13" t="n">
        <v>6642.602496</v>
      </c>
      <c r="G727" s="13" t="n">
        <v>6026.313882</v>
      </c>
      <c r="H727" s="13" t="n">
        <v>6505.657155</v>
      </c>
      <c r="I727" s="13" t="n">
        <v>6094.805612</v>
      </c>
      <c r="J727" s="13" t="n">
        <v>6231.726885</v>
      </c>
      <c r="K727" s="13" t="n">
        <v>6574.061412</v>
      </c>
      <c r="L727" s="13" t="n">
        <v>7464.239153</v>
      </c>
      <c r="M727" s="13" t="n">
        <v>7190.378145</v>
      </c>
      <c r="N727" s="13" t="n">
        <v>7258.919328</v>
      </c>
      <c r="O727" s="13" t="n">
        <v>7190.321015</v>
      </c>
      <c r="P727" s="13" t="n">
        <v>8286.075791</v>
      </c>
      <c r="Q727" s="13" t="n">
        <v>7327.342161</v>
      </c>
      <c r="R727" s="13" t="n">
        <v>7601.322381</v>
      </c>
      <c r="S727" s="13" t="n">
        <v>7395.91917</v>
      </c>
      <c r="T727" s="13" t="n">
        <v>7806.69568</v>
      </c>
      <c r="U727" s="13" t="n">
        <v>7190.403624</v>
      </c>
      <c r="V727" s="13" t="n">
        <v>7395.785748</v>
      </c>
      <c r="W727" s="13" t="n">
        <v>6984.899008</v>
      </c>
      <c r="X727" s="13" t="n">
        <v>6985.04705</v>
      </c>
      <c r="Y727" s="13" t="n">
        <v>6916.577368</v>
      </c>
      <c r="Z727" s="13" t="n">
        <v>6231.623904</v>
      </c>
      <c r="AA727" s="13" t="n">
        <v>6505.57284</v>
      </c>
      <c r="AB727" s="13" t="n">
        <v>6368.687442</v>
      </c>
      <c r="AC727" s="13" t="n">
        <v>7207.3936</v>
      </c>
      <c r="AD727" s="13" t="n">
        <v>8920.0797</v>
      </c>
      <c r="AE727" s="13" t="n">
        <v>9205.40376</v>
      </c>
      <c r="AF727" s="13" t="n">
        <v>8777.3224</v>
      </c>
      <c r="AG727" s="13" t="n">
        <v>8204.15874</v>
      </c>
      <c r="AH727" s="13" t="n">
        <v>8981.51715</v>
      </c>
      <c r="AI727" s="13" t="n">
        <v>8204.13862</v>
      </c>
      <c r="AJ727" s="13" t="n">
        <v>8031.5451</v>
      </c>
      <c r="AK727" s="13" t="n">
        <v>8290.4724</v>
      </c>
      <c r="AL727" s="13" t="n">
        <v>8031.396686</v>
      </c>
      <c r="AM727" s="13" t="n">
        <v>9067.826922</v>
      </c>
      <c r="AN727" s="13" t="n">
        <v>9413.178552</v>
      </c>
      <c r="AO727" s="13" t="n">
        <v>9312.121628</v>
      </c>
      <c r="AP727" s="13" t="n">
        <v>9491.31768</v>
      </c>
      <c r="AQ727" s="13" t="n">
        <v>9759.8347</v>
      </c>
      <c r="AR727" s="13" t="n">
        <v>8685.34126</v>
      </c>
      <c r="AS727" s="13" t="n">
        <v>7790.057388</v>
      </c>
      <c r="AT727" s="13" t="n">
        <v>7610.920792</v>
      </c>
    </row>
    <row r="728" customFormat="false" ht="15" hidden="false" customHeight="true" outlineLevel="0" collapsed="false">
      <c r="A728" s="12" t="s">
        <v>2233</v>
      </c>
      <c r="B728" s="12" t="s">
        <v>2234</v>
      </c>
      <c r="C728" s="12" t="n">
        <v>1</v>
      </c>
      <c r="D728" s="12" t="s">
        <v>2235</v>
      </c>
      <c r="E728" s="13" t="n">
        <v>0</v>
      </c>
      <c r="F728" s="13" t="n">
        <v>0</v>
      </c>
      <c r="G728" s="13" t="n">
        <v>0</v>
      </c>
      <c r="H728" s="13" t="n">
        <v>0</v>
      </c>
      <c r="I728" s="13" t="n">
        <v>0</v>
      </c>
      <c r="J728" s="13" t="n">
        <v>0</v>
      </c>
      <c r="K728" s="13" t="n">
        <v>0</v>
      </c>
      <c r="L728" s="13" t="n">
        <v>0</v>
      </c>
      <c r="M728" s="13" t="n">
        <v>0</v>
      </c>
      <c r="N728" s="13" t="n">
        <v>0</v>
      </c>
      <c r="O728" s="13" t="n">
        <v>0</v>
      </c>
      <c r="P728" s="13" t="n">
        <v>0</v>
      </c>
      <c r="Q728" s="13" t="n">
        <v>0</v>
      </c>
      <c r="R728" s="13" t="n">
        <v>0</v>
      </c>
      <c r="S728" s="13" t="n">
        <v>0</v>
      </c>
      <c r="T728" s="13" t="n">
        <v>0</v>
      </c>
      <c r="U728" s="13" t="n">
        <v>0</v>
      </c>
      <c r="V728" s="13" t="n">
        <v>0</v>
      </c>
      <c r="W728" s="13" t="n">
        <v>0</v>
      </c>
      <c r="X728" s="13" t="n">
        <v>0</v>
      </c>
      <c r="Y728" s="13" t="n">
        <v>0</v>
      </c>
      <c r="Z728" s="13" t="n">
        <v>0</v>
      </c>
      <c r="AA728" s="13" t="n">
        <v>0</v>
      </c>
      <c r="AB728" s="13" t="n">
        <v>0</v>
      </c>
      <c r="AC728" s="13" t="n">
        <v>0</v>
      </c>
      <c r="AD728" s="13" t="n">
        <v>0</v>
      </c>
      <c r="AE728" s="13" t="n">
        <v>0</v>
      </c>
      <c r="AF728" s="13" t="n">
        <v>0</v>
      </c>
      <c r="AG728" s="13" t="n">
        <v>0</v>
      </c>
      <c r="AH728" s="13" t="n">
        <v>0</v>
      </c>
      <c r="AI728" s="13" t="n">
        <v>0</v>
      </c>
      <c r="AJ728" s="13" t="n">
        <v>0</v>
      </c>
      <c r="AK728" s="13" t="n">
        <v>0</v>
      </c>
      <c r="AL728" s="13" t="n">
        <v>0</v>
      </c>
      <c r="AM728" s="13" t="n">
        <v>0</v>
      </c>
      <c r="AN728" s="13" t="n">
        <v>0</v>
      </c>
      <c r="AO728" s="13" t="n">
        <v>0</v>
      </c>
      <c r="AP728" s="13" t="n">
        <v>0</v>
      </c>
      <c r="AQ728" s="13" t="n">
        <v>0</v>
      </c>
      <c r="AR728" s="13" t="n">
        <v>0</v>
      </c>
      <c r="AS728" s="13" t="n">
        <v>0</v>
      </c>
      <c r="AT728" s="13" t="n">
        <v>0</v>
      </c>
    </row>
    <row r="729" customFormat="false" ht="15" hidden="false" customHeight="true" outlineLevel="0" collapsed="false">
      <c r="A729" s="12" t="s">
        <v>2236</v>
      </c>
      <c r="B729" s="12" t="s">
        <v>2237</v>
      </c>
      <c r="C729" s="12" t="n">
        <v>1</v>
      </c>
      <c r="D729" s="12" t="s">
        <v>2238</v>
      </c>
      <c r="E729" s="13" t="n">
        <v>0</v>
      </c>
      <c r="F729" s="13" t="n">
        <v>0</v>
      </c>
      <c r="G729" s="13" t="n">
        <v>0</v>
      </c>
      <c r="H729" s="13" t="n">
        <v>0</v>
      </c>
      <c r="I729" s="13" t="n">
        <v>0</v>
      </c>
      <c r="J729" s="13" t="n">
        <v>0</v>
      </c>
      <c r="K729" s="13" t="n">
        <v>0</v>
      </c>
      <c r="L729" s="13" t="n">
        <v>0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51168.043446</v>
      </c>
      <c r="V729" s="13" t="n">
        <v>8250.08808</v>
      </c>
      <c r="W729" s="13" t="n">
        <v>30322.021856</v>
      </c>
      <c r="X729" s="13" t="n">
        <v>8195.061446</v>
      </c>
      <c r="Y729" s="13" t="n">
        <v>8360.057536</v>
      </c>
      <c r="Z729" s="13" t="n">
        <v>8359.950192</v>
      </c>
      <c r="AA729" s="13" t="n">
        <v>43919.96391</v>
      </c>
      <c r="AB729" s="13" t="n">
        <v>7919.933206</v>
      </c>
      <c r="AC729" s="13" t="n">
        <v>7910.1</v>
      </c>
      <c r="AD729" s="13" t="n">
        <v>7910.209</v>
      </c>
      <c r="AE729" s="13" t="n">
        <v>9113.958</v>
      </c>
      <c r="AF729" s="13" t="n">
        <v>9113.9026</v>
      </c>
      <c r="AG729" s="13" t="n">
        <v>8884.60622</v>
      </c>
      <c r="AH729" s="13" t="n">
        <v>9056.4906</v>
      </c>
      <c r="AI729" s="13" t="n">
        <v>7738.16099</v>
      </c>
      <c r="AJ729" s="13" t="n">
        <v>8770.02228</v>
      </c>
      <c r="AK729" s="13" t="n">
        <v>9400.52835</v>
      </c>
      <c r="AL729" s="13" t="n">
        <v>9572.439113</v>
      </c>
      <c r="AM729" s="13" t="n">
        <v>9343.159855</v>
      </c>
      <c r="AN729" s="13" t="n">
        <v>9343.223515</v>
      </c>
      <c r="AO729" s="13" t="n">
        <v>9629.341308</v>
      </c>
      <c r="AP729" s="13" t="n">
        <v>9807.62016</v>
      </c>
      <c r="AQ729" s="13" t="n">
        <v>9748.246028</v>
      </c>
      <c r="AR729" s="13" t="n">
        <v>9629.308566</v>
      </c>
      <c r="AS729" s="13" t="n">
        <v>9867.048291</v>
      </c>
      <c r="AT729" s="13" t="n">
        <v>10461.406384</v>
      </c>
    </row>
    <row r="730" customFormat="false" ht="15" hidden="false" customHeight="true" outlineLevel="0" collapsed="false">
      <c r="A730" s="12" t="s">
        <v>2239</v>
      </c>
      <c r="B730" s="12" t="s">
        <v>2240</v>
      </c>
      <c r="C730" s="12" t="n">
        <v>1</v>
      </c>
      <c r="D730" s="12" t="s">
        <v>2241</v>
      </c>
      <c r="E730" s="13" t="n">
        <v>0</v>
      </c>
      <c r="F730" s="13" t="n">
        <v>0</v>
      </c>
      <c r="G730" s="13" t="n">
        <v>0</v>
      </c>
      <c r="H730" s="13" t="n">
        <v>0</v>
      </c>
      <c r="I730" s="13" t="n">
        <v>0</v>
      </c>
      <c r="J730" s="13" t="n">
        <v>0</v>
      </c>
      <c r="K730" s="13" t="n">
        <v>0</v>
      </c>
      <c r="L730" s="13" t="n">
        <v>0</v>
      </c>
      <c r="M730" s="13" t="n">
        <v>0</v>
      </c>
      <c r="N730" s="13" t="n">
        <v>0</v>
      </c>
      <c r="O730" s="13" t="n">
        <v>0</v>
      </c>
      <c r="P730" s="13" t="n">
        <v>0</v>
      </c>
      <c r="Q730" s="13" t="n">
        <v>0</v>
      </c>
      <c r="R730" s="13" t="n">
        <v>0</v>
      </c>
      <c r="S730" s="13" t="n">
        <v>0</v>
      </c>
      <c r="T730" s="13" t="n">
        <v>0</v>
      </c>
      <c r="U730" s="13" t="n">
        <v>0</v>
      </c>
      <c r="V730" s="13" t="n">
        <v>0</v>
      </c>
      <c r="W730" s="13" t="n">
        <v>0</v>
      </c>
      <c r="X730" s="13" t="n">
        <v>0</v>
      </c>
      <c r="Y730" s="13" t="n">
        <v>0</v>
      </c>
      <c r="Z730" s="13" t="n">
        <v>0</v>
      </c>
      <c r="AA730" s="13" t="n">
        <v>0</v>
      </c>
      <c r="AB730" s="13" t="n">
        <v>0</v>
      </c>
      <c r="AC730" s="13" t="n">
        <v>0</v>
      </c>
      <c r="AD730" s="13" t="n">
        <v>0</v>
      </c>
      <c r="AE730" s="13" t="n">
        <v>0</v>
      </c>
      <c r="AF730" s="13" t="n">
        <v>0</v>
      </c>
      <c r="AG730" s="13" t="n">
        <v>0</v>
      </c>
      <c r="AH730" s="13" t="n">
        <v>0</v>
      </c>
      <c r="AI730" s="13" t="n">
        <v>0</v>
      </c>
      <c r="AJ730" s="13" t="n">
        <v>0</v>
      </c>
      <c r="AK730" s="13" t="n">
        <v>0</v>
      </c>
      <c r="AL730" s="13" t="n">
        <v>0</v>
      </c>
      <c r="AM730" s="13" t="n">
        <v>0</v>
      </c>
      <c r="AN730" s="13" t="n">
        <v>0</v>
      </c>
      <c r="AO730" s="13" t="n">
        <v>0</v>
      </c>
      <c r="AP730" s="13" t="n">
        <v>0</v>
      </c>
      <c r="AQ730" s="13" t="n">
        <v>0</v>
      </c>
      <c r="AR730" s="13" t="n">
        <v>0</v>
      </c>
      <c r="AS730" s="13" t="n">
        <v>1500.058602</v>
      </c>
      <c r="AT730" s="13" t="n">
        <v>1500.062136</v>
      </c>
    </row>
    <row r="731" customFormat="false" ht="15" hidden="false" customHeight="true" outlineLevel="0" collapsed="false">
      <c r="A731" s="12" t="s">
        <v>2242</v>
      </c>
      <c r="B731" s="12" t="s">
        <v>2243</v>
      </c>
      <c r="C731" s="12" t="n">
        <v>1</v>
      </c>
      <c r="D731" s="12" t="s">
        <v>2244</v>
      </c>
      <c r="E731" s="13" t="n">
        <v>0</v>
      </c>
      <c r="F731" s="13" t="n">
        <v>0</v>
      </c>
      <c r="G731" s="13" t="n">
        <v>0</v>
      </c>
      <c r="H731" s="13" t="n">
        <v>0</v>
      </c>
      <c r="I731" s="13" t="n">
        <v>0</v>
      </c>
      <c r="J731" s="13" t="n">
        <v>0</v>
      </c>
      <c r="K731" s="13" t="n">
        <v>0</v>
      </c>
      <c r="L731" s="13" t="n">
        <v>0</v>
      </c>
      <c r="M731" s="13" t="n">
        <v>0</v>
      </c>
      <c r="N731" s="13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  <c r="V731" s="13" t="n">
        <v>0</v>
      </c>
      <c r="W731" s="13" t="n">
        <v>0</v>
      </c>
      <c r="X731" s="13" t="n">
        <v>0</v>
      </c>
      <c r="Y731" s="13" t="n">
        <v>0</v>
      </c>
      <c r="Z731" s="13" t="n">
        <v>0</v>
      </c>
      <c r="AA731" s="13" t="n">
        <v>0</v>
      </c>
      <c r="AB731" s="13" t="n">
        <v>0</v>
      </c>
      <c r="AC731" s="13" t="n">
        <v>0</v>
      </c>
      <c r="AD731" s="13" t="n">
        <v>0</v>
      </c>
      <c r="AE731" s="13" t="n">
        <v>0</v>
      </c>
      <c r="AF731" s="13" t="n">
        <v>0</v>
      </c>
      <c r="AG731" s="13" t="n">
        <v>0</v>
      </c>
      <c r="AH731" s="13" t="n">
        <v>0</v>
      </c>
      <c r="AI731" s="13" t="n">
        <v>0</v>
      </c>
      <c r="AJ731" s="13" t="n">
        <v>0</v>
      </c>
      <c r="AK731" s="13" t="n">
        <v>0</v>
      </c>
      <c r="AL731" s="13" t="n">
        <v>0</v>
      </c>
      <c r="AM731" s="13" t="n">
        <v>0</v>
      </c>
      <c r="AN731" s="13" t="n">
        <v>0</v>
      </c>
      <c r="AO731" s="13" t="n">
        <v>0</v>
      </c>
      <c r="AP731" s="13" t="n">
        <v>0</v>
      </c>
      <c r="AQ731" s="13" t="n">
        <v>3201.732786</v>
      </c>
      <c r="AR731" s="13" t="n">
        <v>3266.958398</v>
      </c>
      <c r="AS731" s="13" t="n">
        <v>3267.032778</v>
      </c>
      <c r="AT731" s="13" t="n">
        <v>3332.30464</v>
      </c>
    </row>
    <row r="732" customFormat="false" ht="15" hidden="false" customHeight="true" outlineLevel="0" collapsed="false">
      <c r="A732" s="12" t="s">
        <v>2245</v>
      </c>
      <c r="B732" s="12" t="s">
        <v>2246</v>
      </c>
      <c r="C732" s="12" t="n">
        <v>1</v>
      </c>
      <c r="D732" s="12" t="s">
        <v>2247</v>
      </c>
      <c r="E732" s="13" t="n">
        <v>11396.244348</v>
      </c>
      <c r="F732" s="13" t="n">
        <v>11396.178102</v>
      </c>
      <c r="G732" s="13" t="n">
        <v>11396.129883</v>
      </c>
      <c r="H732" s="13" t="n">
        <v>11396.129112</v>
      </c>
      <c r="I732" s="13" t="n">
        <v>11396.211897</v>
      </c>
      <c r="J732" s="13" t="n">
        <v>11396.179235</v>
      </c>
      <c r="K732" s="13" t="n">
        <v>10854.13536</v>
      </c>
      <c r="L732" s="13" t="n">
        <v>11196.44246</v>
      </c>
      <c r="M732" s="13" t="n">
        <v>11230.724475</v>
      </c>
      <c r="N732" s="13" t="n">
        <v>11470.34283</v>
      </c>
      <c r="O732" s="13" t="n">
        <v>11299.223377</v>
      </c>
      <c r="P732" s="13" t="n">
        <v>11436.094068</v>
      </c>
      <c r="Q732" s="13" t="n">
        <v>12223.683135</v>
      </c>
      <c r="R732" s="13" t="n">
        <v>12151.825041</v>
      </c>
      <c r="S732" s="13" t="n">
        <v>13122.405675</v>
      </c>
      <c r="T732" s="13" t="n">
        <v>13014.67776</v>
      </c>
      <c r="U732" s="13" t="n">
        <v>12978.603938</v>
      </c>
      <c r="V732" s="13" t="n">
        <v>12870.911196</v>
      </c>
      <c r="W732" s="13" t="n">
        <v>13073.903904</v>
      </c>
      <c r="X732" s="13" t="n">
        <v>13073.78714</v>
      </c>
      <c r="Y732" s="13" t="n">
        <v>13073.811718</v>
      </c>
      <c r="Z732" s="13" t="n">
        <v>13073.861152</v>
      </c>
      <c r="AA732" s="13" t="n">
        <v>13073.80131</v>
      </c>
      <c r="AB732" s="13" t="n">
        <v>13073.889586</v>
      </c>
      <c r="AC732" s="13" t="n">
        <v>14134.9868</v>
      </c>
      <c r="AD732" s="13" t="n">
        <v>14134.905</v>
      </c>
      <c r="AE732" s="13" t="n">
        <v>14134.90176</v>
      </c>
      <c r="AF732" s="13" t="n">
        <v>18527.7708</v>
      </c>
      <c r="AG732" s="13" t="n">
        <v>19566.43518</v>
      </c>
      <c r="AH732" s="13" t="n">
        <v>17237.8503</v>
      </c>
      <c r="AI732" s="13" t="n">
        <v>18955.08277</v>
      </c>
      <c r="AJ732" s="13" t="n">
        <v>18907.02882</v>
      </c>
      <c r="AK732" s="13" t="n">
        <v>18691.17015</v>
      </c>
      <c r="AL732" s="13" t="n">
        <v>18385.315782</v>
      </c>
      <c r="AM732" s="13" t="n">
        <v>18217.281529</v>
      </c>
      <c r="AN732" s="13" t="n">
        <v>18205.213922</v>
      </c>
      <c r="AO732" s="13" t="n">
        <v>15502.732644</v>
      </c>
      <c r="AP732" s="13" t="n">
        <v>15322.63776</v>
      </c>
      <c r="AQ732" s="13" t="n">
        <v>15262.64317</v>
      </c>
      <c r="AR732" s="13" t="n">
        <v>15036.464164</v>
      </c>
      <c r="AS732" s="13" t="n">
        <v>15204.494286</v>
      </c>
      <c r="AT732" s="13" t="n">
        <v>15156.3856</v>
      </c>
    </row>
    <row r="733" customFormat="false" ht="15" hidden="false" customHeight="true" outlineLevel="0" collapsed="false">
      <c r="A733" s="12" t="s">
        <v>2248</v>
      </c>
      <c r="B733" s="12" t="s">
        <v>2249</v>
      </c>
      <c r="C733" s="12" t="n">
        <v>1</v>
      </c>
      <c r="D733" s="12" t="s">
        <v>2250</v>
      </c>
      <c r="E733" s="13" t="n">
        <v>0</v>
      </c>
      <c r="F733" s="13" t="n">
        <v>0</v>
      </c>
      <c r="G733" s="13" t="n">
        <v>0</v>
      </c>
      <c r="H733" s="13" t="n">
        <v>0</v>
      </c>
      <c r="I733" s="13" t="n">
        <v>0</v>
      </c>
      <c r="J733" s="13" t="n">
        <v>0</v>
      </c>
      <c r="K733" s="13" t="n">
        <v>0</v>
      </c>
      <c r="L733" s="13" t="n">
        <v>0</v>
      </c>
      <c r="M733" s="13" t="n">
        <v>0</v>
      </c>
      <c r="N733" s="1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5713.76512</v>
      </c>
      <c r="U733" s="13" t="n">
        <v>5906.378755</v>
      </c>
      <c r="V733" s="13" t="n">
        <v>5649.59694</v>
      </c>
      <c r="W733" s="13" t="n">
        <v>0</v>
      </c>
      <c r="X733" s="13" t="n">
        <v>0</v>
      </c>
      <c r="Y733" s="13" t="n">
        <v>0</v>
      </c>
      <c r="Z733" s="13" t="n">
        <v>0</v>
      </c>
      <c r="AA733" s="13" t="n">
        <v>0</v>
      </c>
      <c r="AB733" s="13" t="n">
        <v>0</v>
      </c>
      <c r="AC733" s="13" t="n">
        <v>0</v>
      </c>
      <c r="AD733" s="13" t="n">
        <v>0</v>
      </c>
      <c r="AE733" s="13" t="n">
        <v>0</v>
      </c>
      <c r="AF733" s="13" t="n">
        <v>0</v>
      </c>
      <c r="AG733" s="13" t="n">
        <v>0</v>
      </c>
      <c r="AH733" s="13" t="n">
        <v>0</v>
      </c>
      <c r="AI733" s="13" t="n">
        <v>0</v>
      </c>
      <c r="AJ733" s="13" t="n">
        <v>0</v>
      </c>
      <c r="AK733" s="13" t="n">
        <v>0</v>
      </c>
      <c r="AL733" s="13" t="n">
        <v>0</v>
      </c>
      <c r="AM733" s="13" t="n">
        <v>0</v>
      </c>
      <c r="AN733" s="13" t="n">
        <v>0</v>
      </c>
      <c r="AO733" s="13" t="n">
        <v>0</v>
      </c>
      <c r="AP733" s="13" t="n">
        <v>0</v>
      </c>
      <c r="AQ733" s="13" t="n">
        <v>0</v>
      </c>
      <c r="AR733" s="13" t="n">
        <v>0</v>
      </c>
      <c r="AS733" s="13" t="n">
        <v>0</v>
      </c>
      <c r="AT733" s="13" t="n">
        <v>0</v>
      </c>
    </row>
    <row r="734" customFormat="false" ht="15" hidden="false" customHeight="true" outlineLevel="0" collapsed="false">
      <c r="A734" s="12" t="s">
        <v>2251</v>
      </c>
      <c r="B734" s="12" t="s">
        <v>2252</v>
      </c>
      <c r="C734" s="12" t="n">
        <v>1</v>
      </c>
      <c r="D734" s="12" t="s">
        <v>2253</v>
      </c>
      <c r="E734" s="13" t="n">
        <v>0</v>
      </c>
      <c r="F734" s="13" t="n">
        <v>0</v>
      </c>
      <c r="G734" s="13" t="n">
        <v>0</v>
      </c>
      <c r="H734" s="13" t="n">
        <v>0</v>
      </c>
      <c r="I734" s="13" t="n">
        <v>0</v>
      </c>
      <c r="J734" s="13" t="n">
        <v>0</v>
      </c>
      <c r="K734" s="13" t="n">
        <v>0</v>
      </c>
      <c r="L734" s="13" t="n">
        <v>0</v>
      </c>
      <c r="M734" s="13" t="n">
        <v>0</v>
      </c>
      <c r="N734" s="13" t="n">
        <v>0</v>
      </c>
      <c r="O734" s="13" t="n">
        <v>0</v>
      </c>
      <c r="P734" s="13" t="n">
        <v>0</v>
      </c>
      <c r="Q734" s="13" t="n">
        <v>0</v>
      </c>
      <c r="R734" s="13" t="n">
        <v>0</v>
      </c>
      <c r="S734" s="13" t="n">
        <v>0</v>
      </c>
      <c r="T734" s="13" t="n">
        <v>0</v>
      </c>
      <c r="U734" s="13" t="n">
        <v>0</v>
      </c>
      <c r="V734" s="13" t="n">
        <v>0</v>
      </c>
      <c r="W734" s="13" t="n">
        <v>0</v>
      </c>
      <c r="X734" s="13" t="n">
        <v>0</v>
      </c>
      <c r="Y734" s="13" t="n">
        <v>0</v>
      </c>
      <c r="Z734" s="13" t="n">
        <v>0</v>
      </c>
      <c r="AA734" s="13" t="n">
        <v>0</v>
      </c>
      <c r="AB734" s="13" t="n">
        <v>0</v>
      </c>
      <c r="AC734" s="13" t="n">
        <v>0</v>
      </c>
      <c r="AD734" s="13" t="n">
        <v>0</v>
      </c>
      <c r="AE734" s="13" t="n">
        <v>0</v>
      </c>
      <c r="AF734" s="13" t="n">
        <v>0</v>
      </c>
      <c r="AG734" s="13" t="n">
        <v>0</v>
      </c>
      <c r="AH734" s="13" t="n">
        <v>0</v>
      </c>
      <c r="AI734" s="13" t="n">
        <v>0</v>
      </c>
      <c r="AJ734" s="13" t="n">
        <v>0</v>
      </c>
      <c r="AK734" s="13" t="n">
        <v>7200.0456</v>
      </c>
      <c r="AL734" s="13" t="n">
        <v>7600.044784</v>
      </c>
      <c r="AM734" s="13" t="n">
        <v>6040.081824</v>
      </c>
      <c r="AN734" s="13" t="n">
        <v>5944.919314</v>
      </c>
      <c r="AO734" s="13" t="n">
        <v>6179.922092</v>
      </c>
      <c r="AP734" s="13" t="n">
        <v>6105.00024</v>
      </c>
      <c r="AQ734" s="13" t="n">
        <v>6184.910461</v>
      </c>
      <c r="AR734" s="13" t="n">
        <v>5769.936566</v>
      </c>
      <c r="AS734" s="13" t="n">
        <v>4359.967236</v>
      </c>
      <c r="AT734" s="13" t="n">
        <v>4340.046768</v>
      </c>
    </row>
    <row r="735" customFormat="false" ht="15" hidden="false" customHeight="true" outlineLevel="0" collapsed="false">
      <c r="A735" s="12" t="s">
        <v>2254</v>
      </c>
      <c r="B735" s="12" t="s">
        <v>2255</v>
      </c>
      <c r="C735" s="12" t="n">
        <v>1</v>
      </c>
      <c r="D735" s="12" t="s">
        <v>2256</v>
      </c>
      <c r="E735" s="13" t="n">
        <v>0</v>
      </c>
      <c r="F735" s="13" t="n">
        <v>0</v>
      </c>
      <c r="G735" s="13" t="n">
        <v>0</v>
      </c>
      <c r="H735" s="13" t="n">
        <v>0</v>
      </c>
      <c r="I735" s="13" t="n">
        <v>0</v>
      </c>
      <c r="J735" s="13" t="n">
        <v>0</v>
      </c>
      <c r="K735" s="13" t="n">
        <v>0</v>
      </c>
      <c r="L735" s="13" t="n">
        <v>0</v>
      </c>
      <c r="M735" s="13" t="n">
        <v>0</v>
      </c>
      <c r="N735" s="13" t="n">
        <v>0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  <c r="V735" s="13" t="n">
        <v>0</v>
      </c>
      <c r="W735" s="13" t="n">
        <v>0</v>
      </c>
      <c r="X735" s="13" t="n">
        <v>0</v>
      </c>
      <c r="Y735" s="13" t="n">
        <v>0</v>
      </c>
      <c r="Z735" s="13" t="n">
        <v>0</v>
      </c>
      <c r="AA735" s="13" t="n">
        <v>0</v>
      </c>
      <c r="AB735" s="13" t="n">
        <v>0</v>
      </c>
      <c r="AC735" s="13" t="n">
        <v>0</v>
      </c>
      <c r="AD735" s="13" t="n">
        <v>0</v>
      </c>
      <c r="AE735" s="13" t="n">
        <v>0</v>
      </c>
      <c r="AF735" s="13" t="n">
        <v>0</v>
      </c>
      <c r="AG735" s="13" t="n">
        <v>0</v>
      </c>
      <c r="AH735" s="13" t="n">
        <v>0</v>
      </c>
      <c r="AI735" s="13" t="n">
        <v>0</v>
      </c>
      <c r="AJ735" s="13" t="n">
        <v>0</v>
      </c>
      <c r="AK735" s="13" t="n">
        <v>0</v>
      </c>
      <c r="AL735" s="13" t="n">
        <v>0</v>
      </c>
      <c r="AM735" s="13" t="n">
        <v>0</v>
      </c>
      <c r="AN735" s="13" t="n">
        <v>0</v>
      </c>
      <c r="AO735" s="13" t="n">
        <v>134.990766</v>
      </c>
      <c r="AP735" s="13" t="n">
        <v>134.94192</v>
      </c>
      <c r="AQ735" s="13" t="n">
        <v>135.080458</v>
      </c>
      <c r="AR735" s="13" t="n">
        <v>135.07802</v>
      </c>
      <c r="AS735" s="13" t="n">
        <v>135.01566</v>
      </c>
      <c r="AT735" s="13" t="n">
        <v>134.937336</v>
      </c>
    </row>
    <row r="736" customFormat="false" ht="15" hidden="false" customHeight="true" outlineLevel="0" collapsed="false">
      <c r="A736" s="12" t="s">
        <v>2257</v>
      </c>
      <c r="B736" s="12" t="s">
        <v>2258</v>
      </c>
      <c r="C736" s="12" t="n">
        <v>1</v>
      </c>
      <c r="D736" s="12" t="s">
        <v>2259</v>
      </c>
      <c r="E736" s="13" t="n">
        <v>0</v>
      </c>
      <c r="F736" s="13" t="n">
        <v>0</v>
      </c>
      <c r="G736" s="13" t="n">
        <v>0</v>
      </c>
      <c r="H736" s="13" t="n">
        <v>0</v>
      </c>
      <c r="I736" s="13" t="n">
        <v>0</v>
      </c>
      <c r="J736" s="13" t="n">
        <v>0</v>
      </c>
      <c r="K736" s="13" t="n">
        <v>0</v>
      </c>
      <c r="L736" s="13" t="n">
        <v>0</v>
      </c>
      <c r="M736" s="13" t="n">
        <v>0</v>
      </c>
      <c r="N736" s="13" t="n">
        <v>1559.973852</v>
      </c>
      <c r="O736" s="13" t="n">
        <v>1400.034744</v>
      </c>
      <c r="P736" s="13" t="n">
        <v>1080.064272</v>
      </c>
      <c r="Q736" s="13" t="n">
        <v>0</v>
      </c>
      <c r="R736" s="13" t="n">
        <v>0</v>
      </c>
      <c r="S736" s="13" t="n">
        <v>0</v>
      </c>
      <c r="T736" s="13" t="n">
        <v>0</v>
      </c>
      <c r="U736" s="13" t="n">
        <v>0</v>
      </c>
      <c r="V736" s="13" t="n">
        <v>0</v>
      </c>
      <c r="W736" s="13" t="n">
        <v>0</v>
      </c>
      <c r="X736" s="13" t="n">
        <v>0</v>
      </c>
      <c r="Y736" s="13" t="n">
        <v>0</v>
      </c>
      <c r="Z736" s="13" t="n">
        <v>0</v>
      </c>
      <c r="AA736" s="13" t="n">
        <v>0</v>
      </c>
      <c r="AB736" s="13" t="n">
        <v>0</v>
      </c>
      <c r="AC736" s="13" t="n">
        <v>0</v>
      </c>
      <c r="AD736" s="13" t="n">
        <v>0</v>
      </c>
      <c r="AE736" s="13" t="n">
        <v>0</v>
      </c>
      <c r="AF736" s="13" t="n">
        <v>0</v>
      </c>
      <c r="AG736" s="13" t="n">
        <v>0</v>
      </c>
      <c r="AH736" s="13" t="n">
        <v>0</v>
      </c>
      <c r="AI736" s="13" t="n">
        <v>0</v>
      </c>
      <c r="AJ736" s="13" t="n">
        <v>0</v>
      </c>
      <c r="AK736" s="13" t="n">
        <v>0</v>
      </c>
      <c r="AL736" s="13" t="n">
        <v>0</v>
      </c>
      <c r="AM736" s="13" t="n">
        <v>0</v>
      </c>
      <c r="AN736" s="13" t="n">
        <v>0</v>
      </c>
      <c r="AO736" s="13" t="n">
        <v>0</v>
      </c>
      <c r="AP736" s="13" t="n">
        <v>0</v>
      </c>
      <c r="AQ736" s="13" t="n">
        <v>0</v>
      </c>
      <c r="AR736" s="13" t="n">
        <v>0</v>
      </c>
      <c r="AS736" s="13" t="n">
        <v>0</v>
      </c>
      <c r="AT736" s="13" t="n">
        <v>0</v>
      </c>
    </row>
    <row r="737" customFormat="false" ht="15" hidden="false" customHeight="true" outlineLevel="0" collapsed="false">
      <c r="A737" s="12" t="s">
        <v>2260</v>
      </c>
      <c r="B737" s="12" t="s">
        <v>2261</v>
      </c>
      <c r="C737" s="12" t="n">
        <v>1</v>
      </c>
      <c r="D737" s="12" t="s">
        <v>2262</v>
      </c>
      <c r="E737" s="13" t="n">
        <v>0</v>
      </c>
      <c r="F737" s="13" t="n">
        <v>0</v>
      </c>
      <c r="G737" s="13" t="n">
        <v>0</v>
      </c>
      <c r="H737" s="13" t="n">
        <v>0</v>
      </c>
      <c r="I737" s="13" t="n">
        <v>0</v>
      </c>
      <c r="J737" s="13" t="n">
        <v>0</v>
      </c>
      <c r="K737" s="13" t="n">
        <v>0</v>
      </c>
      <c r="L737" s="13" t="n">
        <v>0</v>
      </c>
      <c r="M737" s="13" t="n">
        <v>0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  <c r="V737" s="13" t="n">
        <v>0</v>
      </c>
      <c r="W737" s="13" t="n">
        <v>0</v>
      </c>
      <c r="X737" s="13" t="n">
        <v>0</v>
      </c>
      <c r="Y737" s="13" t="n">
        <v>0</v>
      </c>
      <c r="Z737" s="13" t="n">
        <v>0</v>
      </c>
      <c r="AA737" s="13" t="n">
        <v>0</v>
      </c>
      <c r="AB737" s="13" t="n">
        <v>0</v>
      </c>
      <c r="AC737" s="13" t="n">
        <v>0</v>
      </c>
      <c r="AD737" s="13" t="n">
        <v>0</v>
      </c>
      <c r="AE737" s="13" t="n">
        <v>0</v>
      </c>
      <c r="AF737" s="13" t="n">
        <v>0</v>
      </c>
      <c r="AG737" s="13" t="n">
        <v>0</v>
      </c>
      <c r="AH737" s="13" t="n">
        <v>0</v>
      </c>
      <c r="AI737" s="13" t="n">
        <v>0</v>
      </c>
      <c r="AJ737" s="13" t="n">
        <v>0</v>
      </c>
      <c r="AK737" s="13" t="n">
        <v>14013.92895</v>
      </c>
      <c r="AL737" s="13" t="n">
        <v>15466.046932</v>
      </c>
      <c r="AM737" s="13" t="n">
        <v>14652.077741</v>
      </c>
      <c r="AN737" s="13" t="n">
        <v>0</v>
      </c>
      <c r="AO737" s="13" t="n">
        <v>14758.128406</v>
      </c>
      <c r="AP737" s="13" t="n">
        <v>14986.14576</v>
      </c>
      <c r="AQ737" s="13" t="n">
        <v>15738.86516</v>
      </c>
      <c r="AR737" s="13" t="n">
        <v>15419.594548</v>
      </c>
      <c r="AS737" s="13" t="n">
        <v>15647.622606</v>
      </c>
      <c r="AT737" s="13" t="n">
        <v>16080.995128</v>
      </c>
    </row>
    <row r="738" customFormat="false" ht="15" hidden="false" customHeight="true" outlineLevel="0" collapsed="false">
      <c r="A738" s="12" t="s">
        <v>2263</v>
      </c>
      <c r="B738" s="12" t="s">
        <v>2264</v>
      </c>
      <c r="C738" s="12" t="n">
        <v>1</v>
      </c>
      <c r="D738" s="12" t="s">
        <v>2265</v>
      </c>
      <c r="E738" s="13" t="n">
        <v>0</v>
      </c>
      <c r="F738" s="13" t="n">
        <v>0</v>
      </c>
      <c r="G738" s="13" t="n">
        <v>0</v>
      </c>
      <c r="H738" s="13" t="n">
        <v>0</v>
      </c>
      <c r="I738" s="13" t="n">
        <v>0</v>
      </c>
      <c r="J738" s="13" t="n">
        <v>0</v>
      </c>
      <c r="K738" s="13" t="n">
        <v>0</v>
      </c>
      <c r="L738" s="13" t="n">
        <v>0</v>
      </c>
      <c r="M738" s="13" t="n">
        <v>0</v>
      </c>
      <c r="N738" s="13" t="n">
        <v>0</v>
      </c>
      <c r="O738" s="13" t="n">
        <v>0</v>
      </c>
      <c r="P738" s="13" t="n">
        <v>0</v>
      </c>
      <c r="Q738" s="13" t="n">
        <v>0</v>
      </c>
      <c r="R738" s="13" t="n">
        <v>0</v>
      </c>
      <c r="S738" s="13" t="n">
        <v>0</v>
      </c>
      <c r="T738" s="13" t="n">
        <v>0</v>
      </c>
      <c r="U738" s="13" t="n">
        <v>0</v>
      </c>
      <c r="V738" s="13" t="n">
        <v>0</v>
      </c>
      <c r="W738" s="13" t="n">
        <v>0</v>
      </c>
      <c r="X738" s="13" t="n">
        <v>0</v>
      </c>
      <c r="Y738" s="13" t="n">
        <v>0</v>
      </c>
      <c r="Z738" s="13" t="n">
        <v>0</v>
      </c>
      <c r="AA738" s="13" t="n">
        <v>0</v>
      </c>
      <c r="AB738" s="13" t="n">
        <v>0</v>
      </c>
      <c r="AC738" s="13" t="n">
        <v>0</v>
      </c>
      <c r="AD738" s="13" t="n">
        <v>0</v>
      </c>
      <c r="AE738" s="13" t="n">
        <v>0</v>
      </c>
      <c r="AF738" s="13" t="n">
        <v>0</v>
      </c>
      <c r="AG738" s="13" t="n">
        <v>0</v>
      </c>
      <c r="AH738" s="13" t="n">
        <v>0</v>
      </c>
      <c r="AI738" s="13" t="n">
        <v>0</v>
      </c>
      <c r="AJ738" s="13" t="n">
        <v>0</v>
      </c>
      <c r="AK738" s="13" t="n">
        <v>0</v>
      </c>
      <c r="AL738" s="13" t="n">
        <v>0</v>
      </c>
      <c r="AM738" s="13" t="n">
        <v>0</v>
      </c>
      <c r="AN738" s="13" t="n">
        <v>0</v>
      </c>
      <c r="AO738" s="13" t="n">
        <v>0</v>
      </c>
      <c r="AP738" s="13" t="n">
        <v>0</v>
      </c>
      <c r="AQ738" s="13" t="n">
        <v>0</v>
      </c>
      <c r="AR738" s="13" t="n">
        <v>975.017708</v>
      </c>
      <c r="AS738" s="13" t="n">
        <v>975.055401</v>
      </c>
      <c r="AT738" s="13" t="n">
        <v>975.014136</v>
      </c>
    </row>
    <row r="739" customFormat="false" ht="15" hidden="false" customHeight="true" outlineLevel="0" collapsed="false">
      <c r="A739" s="12" t="s">
        <v>2266</v>
      </c>
      <c r="B739" s="12" t="s">
        <v>2267</v>
      </c>
      <c r="C739" s="12" t="n">
        <v>1</v>
      </c>
      <c r="D739" s="12" t="s">
        <v>2268</v>
      </c>
      <c r="E739" s="13" t="n">
        <v>0</v>
      </c>
      <c r="F739" s="13" t="n">
        <v>0</v>
      </c>
      <c r="G739" s="13" t="n">
        <v>0</v>
      </c>
      <c r="H739" s="13" t="n">
        <v>0</v>
      </c>
      <c r="I739" s="13" t="n">
        <v>0</v>
      </c>
      <c r="J739" s="13" t="n">
        <v>0</v>
      </c>
      <c r="K739" s="13" t="n">
        <v>0</v>
      </c>
      <c r="L739" s="13" t="n">
        <v>0</v>
      </c>
      <c r="M739" s="13" t="n">
        <v>0</v>
      </c>
      <c r="N739" s="13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n">
        <v>0</v>
      </c>
      <c r="T739" s="13" t="n">
        <v>0</v>
      </c>
      <c r="U739" s="13" t="n">
        <v>0</v>
      </c>
      <c r="V739" s="13" t="n">
        <v>0</v>
      </c>
      <c r="W739" s="13" t="n">
        <v>0</v>
      </c>
      <c r="X739" s="13" t="n">
        <v>0</v>
      </c>
      <c r="Y739" s="13" t="n">
        <v>0</v>
      </c>
      <c r="Z739" s="13" t="n">
        <v>0</v>
      </c>
      <c r="AA739" s="13" t="n">
        <v>0</v>
      </c>
      <c r="AB739" s="13" t="n">
        <v>0</v>
      </c>
      <c r="AC739" s="13" t="n">
        <v>0</v>
      </c>
      <c r="AD739" s="13" t="n">
        <v>0</v>
      </c>
      <c r="AE739" s="13" t="n">
        <v>0</v>
      </c>
      <c r="AF739" s="13" t="n">
        <v>0</v>
      </c>
      <c r="AG739" s="13" t="n">
        <v>0</v>
      </c>
      <c r="AH739" s="13" t="n">
        <v>5498.9343</v>
      </c>
      <c r="AI739" s="13" t="n">
        <v>6015.97985</v>
      </c>
      <c r="AJ739" s="13" t="n">
        <v>6250.96143</v>
      </c>
      <c r="AK739" s="13" t="n">
        <v>6251.05875</v>
      </c>
      <c r="AL739" s="13" t="n">
        <v>6627.016561</v>
      </c>
      <c r="AM739" s="13" t="n">
        <v>6627.067424</v>
      </c>
      <c r="AN739" s="13" t="n">
        <v>7049.993099</v>
      </c>
      <c r="AO739" s="13" t="n">
        <v>7650.683554</v>
      </c>
      <c r="AP739" s="13" t="n">
        <v>7163.31072</v>
      </c>
      <c r="AQ739" s="13" t="n">
        <v>7260.846227</v>
      </c>
      <c r="AR739" s="13" t="n">
        <v>7407.011998</v>
      </c>
      <c r="AS739" s="13" t="n">
        <v>7747.994817</v>
      </c>
      <c r="AT739" s="13" t="n">
        <v>7796.787784</v>
      </c>
    </row>
    <row r="740" customFormat="false" ht="15" hidden="false" customHeight="true" outlineLevel="0" collapsed="false">
      <c r="A740" s="12" t="s">
        <v>2269</v>
      </c>
      <c r="B740" s="12" t="s">
        <v>2270</v>
      </c>
      <c r="C740" s="12" t="n">
        <v>1</v>
      </c>
      <c r="D740" s="12" t="s">
        <v>2271</v>
      </c>
      <c r="E740" s="13" t="n">
        <v>0</v>
      </c>
      <c r="F740" s="13" t="n">
        <v>0</v>
      </c>
      <c r="G740" s="13" t="n">
        <v>0</v>
      </c>
      <c r="H740" s="13" t="n">
        <v>0</v>
      </c>
      <c r="I740" s="13" t="n">
        <v>0</v>
      </c>
      <c r="J740" s="13" t="n">
        <v>0</v>
      </c>
      <c r="K740" s="13" t="n">
        <v>0</v>
      </c>
      <c r="L740" s="13" t="n">
        <v>2640.022665</v>
      </c>
      <c r="M740" s="13" t="n">
        <v>2584.926225</v>
      </c>
      <c r="N740" s="13" t="n">
        <v>2859.952062</v>
      </c>
      <c r="O740" s="13" t="n">
        <v>2640.036018</v>
      </c>
      <c r="P740" s="13" t="n">
        <v>3079.976515</v>
      </c>
      <c r="Q740" s="13" t="n">
        <v>3176.3205</v>
      </c>
      <c r="R740" s="13" t="n">
        <v>3753.737337</v>
      </c>
      <c r="S740" s="13" t="n">
        <v>3638.24838</v>
      </c>
      <c r="T740" s="13" t="n">
        <v>3753.792</v>
      </c>
      <c r="U740" s="13" t="n">
        <v>3753.733867</v>
      </c>
      <c r="V740" s="13" t="n">
        <v>3869.324472</v>
      </c>
      <c r="W740" s="13" t="n">
        <v>3580.576384</v>
      </c>
      <c r="X740" s="13" t="n">
        <v>4208.676752</v>
      </c>
      <c r="Y740" s="13" t="n">
        <v>4338.315464</v>
      </c>
      <c r="Z740" s="13" t="n">
        <v>4338.241424</v>
      </c>
      <c r="AA740" s="13" t="n">
        <v>4338.34113</v>
      </c>
      <c r="AB740" s="13" t="n">
        <v>4597.280526</v>
      </c>
      <c r="AC740" s="13" t="n">
        <v>4769.842</v>
      </c>
      <c r="AD740" s="13" t="n">
        <v>4904.2064</v>
      </c>
      <c r="AE740" s="13" t="n">
        <v>4333.05936</v>
      </c>
      <c r="AF740" s="13" t="n">
        <v>4333.054</v>
      </c>
      <c r="AG740" s="13" t="n">
        <v>4573.626</v>
      </c>
      <c r="AH740" s="13" t="n">
        <v>4814.35305</v>
      </c>
      <c r="AI740" s="13" t="n">
        <v>4934.77641</v>
      </c>
      <c r="AJ740" s="13" t="n">
        <v>4874.65767</v>
      </c>
      <c r="AK740" s="13" t="n">
        <v>5115.3198</v>
      </c>
      <c r="AL740" s="13" t="n">
        <v>4754.264153</v>
      </c>
      <c r="AM740" s="13" t="n">
        <v>5055.046614</v>
      </c>
      <c r="AN740" s="13" t="n">
        <v>5355.966239</v>
      </c>
      <c r="AO740" s="13" t="n">
        <v>5428.766578</v>
      </c>
      <c r="AP740" s="13" t="n">
        <v>5678.43192</v>
      </c>
      <c r="AQ740" s="13" t="n">
        <v>7022.735232</v>
      </c>
      <c r="AR740" s="13" t="n">
        <v>6153.94408</v>
      </c>
      <c r="AS740" s="13" t="n">
        <v>6371.181279</v>
      </c>
      <c r="AT740" s="13" t="n">
        <v>6226.369216</v>
      </c>
    </row>
    <row r="741" customFormat="false" ht="15" hidden="false" customHeight="true" outlineLevel="0" collapsed="false">
      <c r="A741" s="12" t="s">
        <v>2272</v>
      </c>
      <c r="B741" s="12" t="s">
        <v>2273</v>
      </c>
      <c r="C741" s="12" t="n">
        <v>1</v>
      </c>
      <c r="D741" s="12" t="s">
        <v>2274</v>
      </c>
      <c r="E741" s="13" t="n">
        <v>0</v>
      </c>
      <c r="F741" s="13" t="n">
        <v>0</v>
      </c>
      <c r="G741" s="13" t="n">
        <v>0</v>
      </c>
      <c r="H741" s="13" t="n">
        <v>0</v>
      </c>
      <c r="I741" s="13" t="n">
        <v>0</v>
      </c>
      <c r="J741" s="13" t="n">
        <v>0</v>
      </c>
      <c r="K741" s="13" t="n">
        <v>0</v>
      </c>
      <c r="L741" s="13" t="n">
        <v>0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2106.01776</v>
      </c>
      <c r="S741" s="13" t="n">
        <v>2079.967875</v>
      </c>
      <c r="T741" s="13" t="n">
        <v>2131.91552</v>
      </c>
      <c r="U741" s="13" t="n">
        <v>2548.042484</v>
      </c>
      <c r="V741" s="13" t="n">
        <v>2054.047164</v>
      </c>
      <c r="W741" s="13" t="n">
        <v>2079.981872</v>
      </c>
      <c r="X741" s="13" t="n">
        <v>2053.970684</v>
      </c>
      <c r="Y741" s="13" t="n">
        <v>2079.97381</v>
      </c>
      <c r="Z741" s="13" t="n">
        <v>2028.094288</v>
      </c>
      <c r="AA741" s="13" t="n">
        <v>2106.00471</v>
      </c>
      <c r="AB741" s="13" t="n">
        <v>2157.903056</v>
      </c>
      <c r="AC741" s="13" t="n">
        <v>2221.4456</v>
      </c>
      <c r="AD741" s="13" t="n">
        <v>2194.2464</v>
      </c>
      <c r="AE741" s="13" t="n">
        <v>2248.3818</v>
      </c>
      <c r="AF741" s="13" t="n">
        <v>2248.5672</v>
      </c>
      <c r="AG741" s="13" t="n">
        <v>2302.63736</v>
      </c>
      <c r="AH741" s="13" t="n">
        <v>2356.848</v>
      </c>
      <c r="AI741" s="13" t="n">
        <v>2275.56482</v>
      </c>
      <c r="AJ741" s="13" t="n">
        <v>2302.66206</v>
      </c>
      <c r="AK741" s="13" t="n">
        <v>2194.24545</v>
      </c>
      <c r="AL741" s="13" t="n">
        <v>2167.257827</v>
      </c>
      <c r="AM741" s="13" t="n">
        <v>2573.56499</v>
      </c>
      <c r="AN741" s="13" t="n">
        <v>2627.719796</v>
      </c>
      <c r="AO741" s="13" t="n">
        <v>2837.047312</v>
      </c>
      <c r="AP741" s="13" t="n">
        <v>2893.31352</v>
      </c>
      <c r="AQ741" s="13" t="n">
        <v>2977.564412</v>
      </c>
      <c r="AR741" s="13" t="n">
        <v>2977.505498</v>
      </c>
      <c r="AS741" s="13" t="n">
        <v>2949.399783</v>
      </c>
      <c r="AT741" s="13" t="n">
        <v>2977.547208</v>
      </c>
    </row>
    <row r="742" customFormat="false" ht="15" hidden="false" customHeight="true" outlineLevel="0" collapsed="false">
      <c r="A742" s="12" t="s">
        <v>2275</v>
      </c>
      <c r="B742" s="12" t="s">
        <v>2276</v>
      </c>
      <c r="C742" s="12" t="n">
        <v>1</v>
      </c>
      <c r="D742" s="12" t="s">
        <v>2277</v>
      </c>
      <c r="E742" s="13" t="n">
        <v>0</v>
      </c>
      <c r="F742" s="13" t="n">
        <v>0</v>
      </c>
      <c r="G742" s="13" t="n">
        <v>0</v>
      </c>
      <c r="H742" s="13" t="n">
        <v>0</v>
      </c>
      <c r="I742" s="13" t="n">
        <v>0</v>
      </c>
      <c r="J742" s="13" t="n">
        <v>0</v>
      </c>
      <c r="K742" s="13" t="n">
        <v>0</v>
      </c>
      <c r="L742" s="13" t="n">
        <v>0</v>
      </c>
      <c r="M742" s="13" t="n">
        <v>0</v>
      </c>
      <c r="N742" s="13" t="n">
        <v>0</v>
      </c>
      <c r="O742" s="13" t="n">
        <v>0</v>
      </c>
      <c r="P742" s="13" t="n">
        <v>0</v>
      </c>
      <c r="Q742" s="13" t="n">
        <v>0</v>
      </c>
      <c r="R742" s="13" t="n">
        <v>0</v>
      </c>
      <c r="S742" s="13" t="n">
        <v>0</v>
      </c>
      <c r="T742" s="13" t="n">
        <v>0</v>
      </c>
      <c r="U742" s="13" t="n">
        <v>0</v>
      </c>
      <c r="V742" s="13" t="n">
        <v>0</v>
      </c>
      <c r="W742" s="13" t="n">
        <v>0</v>
      </c>
      <c r="X742" s="13" t="n">
        <v>0</v>
      </c>
      <c r="Y742" s="13" t="n">
        <v>0</v>
      </c>
      <c r="Z742" s="13" t="n">
        <v>0</v>
      </c>
      <c r="AA742" s="13" t="n">
        <v>0</v>
      </c>
      <c r="AB742" s="13" t="n">
        <v>3533.910256</v>
      </c>
      <c r="AC742" s="13" t="n">
        <v>3609.9008</v>
      </c>
      <c r="AD742" s="13" t="n">
        <v>3609.9952</v>
      </c>
      <c r="AE742" s="13" t="n">
        <v>3610.06632</v>
      </c>
      <c r="AF742" s="13" t="n">
        <v>3609.9646</v>
      </c>
      <c r="AG742" s="13" t="n">
        <v>3610.07686</v>
      </c>
      <c r="AH742" s="13" t="n">
        <v>3875.9574</v>
      </c>
      <c r="AI742" s="13" t="n">
        <v>3875.9414</v>
      </c>
      <c r="AJ742" s="13" t="n">
        <v>3875.98005</v>
      </c>
      <c r="AK742" s="13" t="n">
        <v>3875.9316</v>
      </c>
      <c r="AL742" s="13" t="n">
        <v>4175.935813</v>
      </c>
      <c r="AM742" s="13" t="n">
        <v>4176.035678</v>
      </c>
      <c r="AN742" s="13" t="n">
        <v>4176.081926</v>
      </c>
      <c r="AO742" s="13" t="n">
        <v>4175.921244</v>
      </c>
      <c r="AP742" s="13" t="n">
        <v>0</v>
      </c>
      <c r="AQ742" s="13" t="n">
        <v>0</v>
      </c>
      <c r="AR742" s="13" t="n">
        <v>0</v>
      </c>
      <c r="AS742" s="13" t="n">
        <v>0</v>
      </c>
      <c r="AT742" s="13" t="n">
        <v>0</v>
      </c>
    </row>
    <row r="743" customFormat="false" ht="15" hidden="false" customHeight="true" outlineLevel="0" collapsed="false">
      <c r="A743" s="12" t="s">
        <v>2278</v>
      </c>
      <c r="B743" s="12" t="s">
        <v>2279</v>
      </c>
      <c r="C743" s="12" t="n">
        <v>1</v>
      </c>
      <c r="D743" s="12" t="s">
        <v>2280</v>
      </c>
      <c r="E743" s="13" t="n">
        <v>0</v>
      </c>
      <c r="F743" s="13" t="n">
        <v>0</v>
      </c>
      <c r="G743" s="13" t="n">
        <v>0</v>
      </c>
      <c r="H743" s="13" t="n">
        <v>0</v>
      </c>
      <c r="I743" s="13" t="n">
        <v>0</v>
      </c>
      <c r="J743" s="13" t="n">
        <v>0</v>
      </c>
      <c r="K743" s="13" t="n">
        <v>0</v>
      </c>
      <c r="L743" s="13" t="n">
        <v>0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0</v>
      </c>
      <c r="W743" s="13" t="n">
        <v>0</v>
      </c>
      <c r="X743" s="13" t="n">
        <v>0</v>
      </c>
      <c r="Y743" s="13" t="n">
        <v>0</v>
      </c>
      <c r="Z743" s="13" t="n">
        <v>0</v>
      </c>
      <c r="AA743" s="13" t="n">
        <v>0</v>
      </c>
      <c r="AB743" s="13" t="n">
        <v>20951.935514</v>
      </c>
      <c r="AC743" s="13" t="n">
        <v>14604.4228</v>
      </c>
      <c r="AD743" s="13" t="n">
        <v>16839.1166</v>
      </c>
      <c r="AE743" s="13" t="n">
        <v>18018.693</v>
      </c>
      <c r="AF743" s="13" t="n">
        <v>18080.7594</v>
      </c>
      <c r="AG743" s="13" t="n">
        <v>20502.00222</v>
      </c>
      <c r="AH743" s="13" t="n">
        <v>21417.66735</v>
      </c>
      <c r="AI743" s="13" t="n">
        <v>15582.14909</v>
      </c>
      <c r="AJ743" s="13" t="n">
        <v>15504.47937</v>
      </c>
      <c r="AK743" s="13" t="n">
        <v>18298.0368</v>
      </c>
      <c r="AL743" s="13" t="n">
        <v>14992.3334</v>
      </c>
      <c r="AM743" s="13" t="n">
        <v>15908.043492</v>
      </c>
      <c r="AN743" s="13" t="n">
        <v>15970.069565</v>
      </c>
      <c r="AO743" s="13" t="n">
        <v>18986.115054</v>
      </c>
      <c r="AP743" s="13" t="n">
        <v>3459.31032</v>
      </c>
      <c r="AQ743" s="13" t="n">
        <v>3362.887756</v>
      </c>
      <c r="AR743" s="13" t="n">
        <v>3298.535078</v>
      </c>
      <c r="AS743" s="13" t="n">
        <v>3378.85344</v>
      </c>
      <c r="AT743" s="13" t="n">
        <v>3378.858896</v>
      </c>
    </row>
    <row r="744" customFormat="false" ht="15" hidden="false" customHeight="true" outlineLevel="0" collapsed="false">
      <c r="A744" s="12" t="s">
        <v>2281</v>
      </c>
      <c r="B744" s="12" t="s">
        <v>2282</v>
      </c>
      <c r="C744" s="12" t="n">
        <v>1</v>
      </c>
      <c r="D744" s="12" t="s">
        <v>2283</v>
      </c>
      <c r="E744" s="13" t="n">
        <v>0</v>
      </c>
      <c r="F744" s="13" t="n">
        <v>0</v>
      </c>
      <c r="G744" s="13" t="n">
        <v>0</v>
      </c>
      <c r="H744" s="13" t="n">
        <v>0</v>
      </c>
      <c r="I744" s="13" t="n">
        <v>0</v>
      </c>
      <c r="J744" s="13" t="n">
        <v>0</v>
      </c>
      <c r="K744" s="13" t="n">
        <v>0</v>
      </c>
      <c r="L744" s="13" t="n">
        <v>0</v>
      </c>
      <c r="M744" s="13" t="n">
        <v>0</v>
      </c>
      <c r="N744" s="13" t="n">
        <v>0</v>
      </c>
      <c r="O744" s="13" t="n">
        <v>0</v>
      </c>
      <c r="P744" s="13" t="n">
        <v>0</v>
      </c>
      <c r="Q744" s="13" t="n">
        <v>0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0</v>
      </c>
      <c r="X744" s="13" t="n">
        <v>0</v>
      </c>
      <c r="Y744" s="13" t="n">
        <v>0</v>
      </c>
      <c r="Z744" s="13" t="n">
        <v>0</v>
      </c>
      <c r="AA744" s="13" t="n">
        <v>0</v>
      </c>
      <c r="AB744" s="13" t="n">
        <v>0</v>
      </c>
      <c r="AC744" s="13" t="n">
        <v>0</v>
      </c>
      <c r="AD744" s="13" t="n">
        <v>0</v>
      </c>
      <c r="AE744" s="13" t="n">
        <v>0</v>
      </c>
      <c r="AF744" s="13" t="n">
        <v>0</v>
      </c>
      <c r="AG744" s="13" t="n">
        <v>0</v>
      </c>
      <c r="AH744" s="13" t="n">
        <v>0</v>
      </c>
      <c r="AI744" s="13" t="n">
        <v>0</v>
      </c>
      <c r="AJ744" s="13" t="n">
        <v>0</v>
      </c>
      <c r="AK744" s="13" t="n">
        <v>0</v>
      </c>
      <c r="AL744" s="13" t="n">
        <v>0</v>
      </c>
      <c r="AM744" s="13" t="n">
        <v>0</v>
      </c>
      <c r="AN744" s="13" t="n">
        <v>0</v>
      </c>
      <c r="AO744" s="13" t="n">
        <v>0</v>
      </c>
      <c r="AP744" s="13" t="n">
        <v>0</v>
      </c>
      <c r="AQ744" s="13" t="n">
        <v>0</v>
      </c>
      <c r="AR744" s="13" t="n">
        <v>0</v>
      </c>
      <c r="AS744" s="13" t="n">
        <v>0</v>
      </c>
      <c r="AT744" s="13" t="n">
        <v>23699.966656</v>
      </c>
    </row>
    <row r="745" customFormat="false" ht="15" hidden="false" customHeight="true" outlineLevel="0" collapsed="false">
      <c r="A745" s="12" t="s">
        <v>2284</v>
      </c>
      <c r="B745" s="12" t="s">
        <v>2285</v>
      </c>
      <c r="C745" s="12" t="n">
        <v>1</v>
      </c>
      <c r="D745" s="12" t="s">
        <v>2286</v>
      </c>
      <c r="E745" s="13" t="n">
        <v>0</v>
      </c>
      <c r="F745" s="13" t="n">
        <v>0</v>
      </c>
      <c r="G745" s="13" t="n">
        <v>0</v>
      </c>
      <c r="H745" s="13" t="n">
        <v>0</v>
      </c>
      <c r="I745" s="13" t="n">
        <v>0</v>
      </c>
      <c r="J745" s="13" t="n">
        <v>0</v>
      </c>
      <c r="K745" s="13" t="n">
        <v>0</v>
      </c>
      <c r="L745" s="13" t="n">
        <v>0</v>
      </c>
      <c r="M745" s="13" t="n">
        <v>0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3" t="n">
        <v>0</v>
      </c>
      <c r="W745" s="13" t="n">
        <v>0</v>
      </c>
      <c r="X745" s="13" t="n">
        <v>0</v>
      </c>
      <c r="Y745" s="13" t="n">
        <v>0</v>
      </c>
      <c r="Z745" s="13" t="n">
        <v>0</v>
      </c>
      <c r="AA745" s="13" t="n">
        <v>0</v>
      </c>
      <c r="AB745" s="13" t="n">
        <v>0</v>
      </c>
      <c r="AC745" s="13" t="n">
        <v>8799.9604</v>
      </c>
      <c r="AD745" s="13" t="n">
        <v>8840.0127</v>
      </c>
      <c r="AE745" s="13" t="n">
        <v>8439.95376</v>
      </c>
      <c r="AF745" s="13" t="n">
        <v>8520.0412</v>
      </c>
      <c r="AG745" s="13" t="n">
        <v>8439.9803</v>
      </c>
      <c r="AH745" s="13" t="n">
        <v>8640.07635</v>
      </c>
      <c r="AI745" s="13" t="n">
        <v>9319.92854</v>
      </c>
      <c r="AJ745" s="13" t="n">
        <v>9479.98179</v>
      </c>
      <c r="AK745" s="13" t="n">
        <v>9519.9543</v>
      </c>
      <c r="AL745" s="13" t="n">
        <v>9880.021383</v>
      </c>
      <c r="AM745" s="13" t="n">
        <v>9920.05664</v>
      </c>
      <c r="AN745" s="13" t="n">
        <v>9480.076428</v>
      </c>
      <c r="AO745" s="13" t="n">
        <v>9540.381876</v>
      </c>
      <c r="AP745" s="13" t="n">
        <v>9415.90896</v>
      </c>
      <c r="AQ745" s="13" t="n">
        <v>9125.535981</v>
      </c>
      <c r="AR745" s="13" t="n">
        <v>9167.061056</v>
      </c>
      <c r="AS745" s="13" t="n">
        <v>9167.044023</v>
      </c>
      <c r="AT745" s="13" t="n">
        <v>9042.726688</v>
      </c>
    </row>
    <row r="746" customFormat="false" ht="15" hidden="false" customHeight="true" outlineLevel="0" collapsed="false">
      <c r="A746" s="12" t="s">
        <v>2287</v>
      </c>
      <c r="B746" s="12" t="s">
        <v>2288</v>
      </c>
      <c r="C746" s="12" t="n">
        <v>1</v>
      </c>
      <c r="D746" s="12" t="s">
        <v>2289</v>
      </c>
      <c r="E746" s="13" t="n">
        <v>0</v>
      </c>
      <c r="F746" s="13" t="n">
        <v>0</v>
      </c>
      <c r="G746" s="13" t="n">
        <v>0</v>
      </c>
      <c r="H746" s="13" t="n">
        <v>0</v>
      </c>
      <c r="I746" s="13" t="n">
        <v>0</v>
      </c>
      <c r="J746" s="13" t="n">
        <v>0</v>
      </c>
      <c r="K746" s="13" t="n">
        <v>0</v>
      </c>
      <c r="L746" s="13" t="n">
        <v>0</v>
      </c>
      <c r="M746" s="13" t="n">
        <v>0</v>
      </c>
      <c r="N746" s="13" t="n">
        <v>0</v>
      </c>
      <c r="O746" s="13" t="n">
        <v>0</v>
      </c>
      <c r="P746" s="13" t="n">
        <v>0</v>
      </c>
      <c r="Q746" s="13" t="n">
        <v>0</v>
      </c>
      <c r="R746" s="13" t="n">
        <v>0</v>
      </c>
      <c r="S746" s="13" t="n">
        <v>5399.977035</v>
      </c>
      <c r="T746" s="13" t="n">
        <v>5400.0128</v>
      </c>
      <c r="U746" s="13" t="n">
        <v>5399.923944</v>
      </c>
      <c r="V746" s="13" t="n">
        <v>5399.95716</v>
      </c>
      <c r="W746" s="13" t="n">
        <v>5399.927696</v>
      </c>
      <c r="X746" s="13" t="n">
        <v>5400.051136</v>
      </c>
      <c r="Y746" s="13" t="n">
        <v>5400.056946</v>
      </c>
      <c r="Z746" s="13" t="n">
        <v>5400.099232</v>
      </c>
      <c r="AA746" s="13" t="n">
        <v>5400.01731</v>
      </c>
      <c r="AB746" s="13" t="n">
        <v>5400.018844</v>
      </c>
      <c r="AC746" s="13" t="n">
        <v>5399.9616</v>
      </c>
      <c r="AD746" s="13" t="n">
        <v>5400.0059</v>
      </c>
      <c r="AE746" s="13" t="n">
        <v>5626.77192</v>
      </c>
      <c r="AF746" s="13" t="n">
        <v>5626.7046</v>
      </c>
      <c r="AG746" s="13" t="n">
        <v>5626.71786</v>
      </c>
      <c r="AH746" s="13" t="n">
        <v>5626.78575</v>
      </c>
      <c r="AI746" s="13" t="n">
        <v>5626.88195</v>
      </c>
      <c r="AJ746" s="13" t="n">
        <v>5626.74132</v>
      </c>
      <c r="AK746" s="13" t="n">
        <v>6251.976</v>
      </c>
      <c r="AL746" s="13" t="n">
        <v>6252.024045</v>
      </c>
      <c r="AM746" s="13" t="n">
        <v>6251.946939</v>
      </c>
      <c r="AN746" s="13" t="n">
        <v>6252.074078</v>
      </c>
      <c r="AO746" s="13" t="n">
        <v>4845.35821</v>
      </c>
      <c r="AP746" s="13" t="n">
        <v>4845.31224</v>
      </c>
      <c r="AQ746" s="13" t="n">
        <v>4845.332407</v>
      </c>
      <c r="AR746" s="13" t="n">
        <v>4845.26612</v>
      </c>
      <c r="AS746" s="13" t="n">
        <v>4845.331224</v>
      </c>
      <c r="AT746" s="13" t="n">
        <v>4845.31796</v>
      </c>
    </row>
    <row r="747" customFormat="false" ht="15" hidden="false" customHeight="true" outlineLevel="0" collapsed="false">
      <c r="A747" s="12" t="s">
        <v>2290</v>
      </c>
      <c r="B747" s="12" t="s">
        <v>2291</v>
      </c>
      <c r="C747" s="12" t="n">
        <v>1</v>
      </c>
      <c r="D747" s="12" t="s">
        <v>2292</v>
      </c>
      <c r="E747" s="13" t="n">
        <v>0</v>
      </c>
      <c r="F747" s="13" t="n">
        <v>0</v>
      </c>
      <c r="G747" s="13" t="n">
        <v>0</v>
      </c>
      <c r="H747" s="13" t="n">
        <v>0</v>
      </c>
      <c r="I747" s="13" t="n">
        <v>0</v>
      </c>
      <c r="J747" s="13" t="n">
        <v>0</v>
      </c>
      <c r="K747" s="13" t="n">
        <v>0</v>
      </c>
      <c r="L747" s="13" t="n">
        <v>0</v>
      </c>
      <c r="M747" s="13" t="n">
        <v>0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561.05376</v>
      </c>
      <c r="T747" s="13" t="n">
        <v>560.9408</v>
      </c>
      <c r="U747" s="13" t="n">
        <v>475.935271</v>
      </c>
      <c r="V747" s="13" t="n">
        <v>0</v>
      </c>
      <c r="W747" s="13" t="n">
        <v>0</v>
      </c>
      <c r="X747" s="13" t="n">
        <v>0</v>
      </c>
      <c r="Y747" s="13" t="n">
        <v>0</v>
      </c>
      <c r="Z747" s="13" t="n">
        <v>0</v>
      </c>
      <c r="AA747" s="13" t="n">
        <v>0</v>
      </c>
      <c r="AB747" s="13" t="n">
        <v>0</v>
      </c>
      <c r="AC747" s="13" t="n">
        <v>0</v>
      </c>
      <c r="AD747" s="13" t="n">
        <v>0</v>
      </c>
      <c r="AE747" s="13" t="n">
        <v>0</v>
      </c>
      <c r="AF747" s="13" t="n">
        <v>0</v>
      </c>
      <c r="AG747" s="13" t="n">
        <v>0</v>
      </c>
      <c r="AH747" s="13" t="n">
        <v>0</v>
      </c>
      <c r="AI747" s="13" t="n">
        <v>0</v>
      </c>
      <c r="AJ747" s="13" t="n">
        <v>0</v>
      </c>
      <c r="AK747" s="13" t="n">
        <v>0</v>
      </c>
      <c r="AL747" s="13" t="n">
        <v>0</v>
      </c>
      <c r="AM747" s="13" t="n">
        <v>0</v>
      </c>
      <c r="AN747" s="13" t="n">
        <v>0</v>
      </c>
      <c r="AO747" s="13" t="n">
        <v>0</v>
      </c>
      <c r="AP747" s="13" t="n">
        <v>0</v>
      </c>
      <c r="AQ747" s="13" t="n">
        <v>0</v>
      </c>
      <c r="AR747" s="13" t="n">
        <v>0</v>
      </c>
      <c r="AS747" s="13" t="n">
        <v>0</v>
      </c>
      <c r="AT747" s="13" t="n">
        <v>0</v>
      </c>
    </row>
    <row r="748" customFormat="false" ht="15" hidden="false" customHeight="true" outlineLevel="0" collapsed="false">
      <c r="A748" s="12" t="s">
        <v>2293</v>
      </c>
      <c r="B748" s="12" t="s">
        <v>2294</v>
      </c>
      <c r="C748" s="12" t="n">
        <v>1</v>
      </c>
      <c r="D748" s="12" t="s">
        <v>2295</v>
      </c>
      <c r="E748" s="13" t="n">
        <v>0</v>
      </c>
      <c r="F748" s="13" t="n">
        <v>0</v>
      </c>
      <c r="G748" s="13" t="n">
        <v>0</v>
      </c>
      <c r="H748" s="13" t="n">
        <v>0</v>
      </c>
      <c r="I748" s="13" t="n">
        <v>0</v>
      </c>
      <c r="J748" s="13" t="n">
        <v>0</v>
      </c>
      <c r="K748" s="13" t="n">
        <v>0</v>
      </c>
      <c r="L748" s="13" t="n">
        <v>0</v>
      </c>
      <c r="M748" s="13" t="n">
        <v>0</v>
      </c>
      <c r="N748" s="13" t="n">
        <v>0</v>
      </c>
      <c r="O748" s="13" t="n">
        <v>0</v>
      </c>
      <c r="P748" s="13" t="n">
        <v>0</v>
      </c>
      <c r="Q748" s="13" t="n">
        <v>0</v>
      </c>
      <c r="R748" s="13" t="n">
        <v>0</v>
      </c>
      <c r="S748" s="13" t="n">
        <v>0</v>
      </c>
      <c r="T748" s="13" t="n">
        <v>0</v>
      </c>
      <c r="U748" s="13" t="n">
        <v>0</v>
      </c>
      <c r="V748" s="13" t="n">
        <v>0</v>
      </c>
      <c r="W748" s="13" t="n">
        <v>0</v>
      </c>
      <c r="X748" s="13" t="n">
        <v>0</v>
      </c>
      <c r="Y748" s="13" t="n">
        <v>0</v>
      </c>
      <c r="Z748" s="13" t="n">
        <v>0</v>
      </c>
      <c r="AA748" s="13" t="n">
        <v>0</v>
      </c>
      <c r="AB748" s="13" t="n">
        <v>0</v>
      </c>
      <c r="AC748" s="13" t="n">
        <v>0</v>
      </c>
      <c r="AD748" s="13" t="n">
        <v>0</v>
      </c>
      <c r="AE748" s="13" t="n">
        <v>0</v>
      </c>
      <c r="AF748" s="13" t="n">
        <v>0</v>
      </c>
      <c r="AG748" s="13" t="n">
        <v>0</v>
      </c>
      <c r="AH748" s="13" t="n">
        <v>0</v>
      </c>
      <c r="AI748" s="13" t="n">
        <v>0</v>
      </c>
      <c r="AJ748" s="13" t="n">
        <v>0</v>
      </c>
      <c r="AK748" s="13" t="n">
        <v>0</v>
      </c>
      <c r="AL748" s="13" t="n">
        <v>0</v>
      </c>
      <c r="AM748" s="13" t="n">
        <v>25999.976853</v>
      </c>
      <c r="AN748" s="13" t="n">
        <v>23500.036941</v>
      </c>
      <c r="AO748" s="13" t="n">
        <v>28499.947022</v>
      </c>
      <c r="AP748" s="13" t="n">
        <v>34800.00264</v>
      </c>
      <c r="AQ748" s="13" t="n">
        <v>35384.923514</v>
      </c>
      <c r="AR748" s="13" t="n">
        <v>35385.003034</v>
      </c>
      <c r="AS748" s="13" t="n">
        <v>35385.008031</v>
      </c>
      <c r="AT748" s="13" t="n">
        <v>35385.084912</v>
      </c>
    </row>
    <row r="749" customFormat="false" ht="15" hidden="false" customHeight="true" outlineLevel="0" collapsed="false">
      <c r="A749" s="12" t="s">
        <v>2296</v>
      </c>
      <c r="B749" s="12" t="s">
        <v>2297</v>
      </c>
      <c r="C749" s="12" t="n">
        <v>1</v>
      </c>
      <c r="D749" s="12" t="s">
        <v>2298</v>
      </c>
      <c r="E749" s="13" t="n">
        <v>0</v>
      </c>
      <c r="F749" s="13" t="n">
        <v>0</v>
      </c>
      <c r="G749" s="13" t="n">
        <v>0</v>
      </c>
      <c r="H749" s="13" t="n">
        <v>0</v>
      </c>
      <c r="I749" s="13" t="n">
        <v>0</v>
      </c>
      <c r="J749" s="13" t="n">
        <v>0</v>
      </c>
      <c r="K749" s="13" t="n">
        <v>0</v>
      </c>
      <c r="L749" s="13" t="n">
        <v>0</v>
      </c>
      <c r="M749" s="13" t="n">
        <v>0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  <c r="V749" s="13" t="n">
        <v>1180.03158</v>
      </c>
      <c r="W749" s="13" t="n">
        <v>1160.087248</v>
      </c>
      <c r="X749" s="13" t="n">
        <v>1140.015202</v>
      </c>
      <c r="Y749" s="13" t="n">
        <v>1199.94703</v>
      </c>
      <c r="Z749" s="13" t="n">
        <v>1179.931104</v>
      </c>
      <c r="AA749" s="13" t="n">
        <v>1200.0492</v>
      </c>
      <c r="AB749" s="13" t="n">
        <v>1199.95922</v>
      </c>
      <c r="AC749" s="13" t="n">
        <v>1229.6328</v>
      </c>
      <c r="AD749" s="13" t="n">
        <v>1312.8935</v>
      </c>
      <c r="AE749" s="13" t="n">
        <v>1271.25936</v>
      </c>
      <c r="AF749" s="13" t="n">
        <v>1187.9186</v>
      </c>
      <c r="AG749" s="13" t="n">
        <v>1187.7919</v>
      </c>
      <c r="AH749" s="13" t="n">
        <v>1167.093</v>
      </c>
      <c r="AI749" s="13" t="n">
        <v>1146.24106</v>
      </c>
      <c r="AJ749" s="13" t="n">
        <v>1125.42282</v>
      </c>
      <c r="AK749" s="13" t="n">
        <v>1146.1956</v>
      </c>
      <c r="AL749" s="13" t="n">
        <v>1125.34591</v>
      </c>
      <c r="AM749" s="13" t="n">
        <v>1062.810802</v>
      </c>
      <c r="AN749" s="13" t="n">
        <v>1041.952402</v>
      </c>
      <c r="AO749" s="13" t="n">
        <v>994.069932</v>
      </c>
      <c r="AP749" s="13" t="n">
        <v>994.11816</v>
      </c>
      <c r="AQ749" s="13" t="n">
        <v>994.09077</v>
      </c>
      <c r="AR749" s="13" t="n">
        <v>994.139142</v>
      </c>
      <c r="AS749" s="13" t="n">
        <v>994.096071</v>
      </c>
      <c r="AT749" s="13" t="n">
        <v>994.09088</v>
      </c>
    </row>
    <row r="750" customFormat="false" ht="15" hidden="false" customHeight="true" outlineLevel="0" collapsed="false">
      <c r="A750" s="12" t="s">
        <v>2299</v>
      </c>
      <c r="B750" s="12" t="s">
        <v>2300</v>
      </c>
      <c r="C750" s="12" t="n">
        <v>1</v>
      </c>
      <c r="D750" s="12" t="s">
        <v>2301</v>
      </c>
      <c r="E750" s="13" t="n">
        <v>3466.821708</v>
      </c>
      <c r="F750" s="13" t="n">
        <v>3531.090888</v>
      </c>
      <c r="G750" s="13" t="n">
        <v>3531.006524</v>
      </c>
      <c r="H750" s="13" t="n">
        <v>3531.075525</v>
      </c>
      <c r="I750" s="13" t="n">
        <v>3530.971654</v>
      </c>
      <c r="J750" s="13" t="n">
        <v>3530.952665</v>
      </c>
      <c r="K750" s="13" t="n">
        <v>3530.931672</v>
      </c>
      <c r="L750" s="13" t="n">
        <v>3531.082646</v>
      </c>
      <c r="M750" s="13" t="n">
        <v>3530.94048</v>
      </c>
      <c r="N750" s="13" t="n">
        <v>3530.990154</v>
      </c>
      <c r="O750" s="13" t="n">
        <v>3531.06108</v>
      </c>
      <c r="P750" s="13" t="n">
        <v>4879.23772</v>
      </c>
      <c r="Q750" s="13" t="n">
        <v>4172.998365</v>
      </c>
      <c r="R750" s="13" t="n">
        <v>4365.542334</v>
      </c>
      <c r="S750" s="13" t="n">
        <v>4750.76241</v>
      </c>
      <c r="T750" s="13" t="n">
        <v>4750.71744</v>
      </c>
      <c r="U750" s="13" t="n">
        <v>4814.966094</v>
      </c>
      <c r="V750" s="13" t="n">
        <v>4815.00786</v>
      </c>
      <c r="W750" s="13" t="n">
        <v>4943.355456</v>
      </c>
      <c r="X750" s="13" t="n">
        <v>4943.370842</v>
      </c>
      <c r="Y750" s="13" t="n">
        <v>4943.309266</v>
      </c>
      <c r="Z750" s="13" t="n">
        <v>4943.44224</v>
      </c>
      <c r="AA750" s="13" t="n">
        <v>4943.46798</v>
      </c>
      <c r="AB750" s="13" t="n">
        <v>5457.082672</v>
      </c>
      <c r="AC750" s="13" t="n">
        <v>4415.3868</v>
      </c>
      <c r="AD750" s="13" t="n">
        <v>5552.7491</v>
      </c>
      <c r="AE750" s="13" t="n">
        <v>5686.57908</v>
      </c>
      <c r="AF750" s="13" t="n">
        <v>5753.3872</v>
      </c>
      <c r="AG750" s="13" t="n">
        <v>5686.54166</v>
      </c>
      <c r="AH750" s="13" t="n">
        <v>5619.60945</v>
      </c>
      <c r="AI750" s="13" t="n">
        <v>5619.55112</v>
      </c>
      <c r="AJ750" s="13" t="n">
        <v>5619.6585</v>
      </c>
      <c r="AK750" s="13" t="n">
        <v>5686.5831</v>
      </c>
      <c r="AL750" s="13" t="n">
        <v>7626.566848</v>
      </c>
      <c r="AM750" s="13" t="n">
        <v>6623.031898</v>
      </c>
      <c r="AN750" s="13" t="n">
        <v>6689.967433</v>
      </c>
      <c r="AO750" s="13" t="n">
        <v>0</v>
      </c>
      <c r="AP750" s="13" t="n">
        <v>0</v>
      </c>
      <c r="AQ750" s="13" t="n">
        <v>0</v>
      </c>
      <c r="AR750" s="13" t="n">
        <v>0</v>
      </c>
      <c r="AS750" s="13" t="n">
        <v>0</v>
      </c>
      <c r="AT750" s="13" t="n">
        <v>0</v>
      </c>
    </row>
    <row r="751" customFormat="false" ht="15" hidden="false" customHeight="true" outlineLevel="0" collapsed="false">
      <c r="A751" s="12" t="s">
        <v>2302</v>
      </c>
      <c r="B751" s="12" t="s">
        <v>2303</v>
      </c>
      <c r="C751" s="12" t="n">
        <v>1</v>
      </c>
      <c r="D751" s="12" t="s">
        <v>2304</v>
      </c>
      <c r="E751" s="13" t="n">
        <v>850.600548</v>
      </c>
      <c r="F751" s="13" t="n">
        <v>850.016094</v>
      </c>
      <c r="G751" s="13" t="n">
        <v>850.7141</v>
      </c>
      <c r="H751" s="13" t="n">
        <v>850.705092</v>
      </c>
      <c r="I751" s="13" t="n">
        <v>850.664059</v>
      </c>
      <c r="J751" s="13" t="n">
        <v>850.706245</v>
      </c>
      <c r="K751" s="13" t="n">
        <v>850.607748</v>
      </c>
      <c r="L751" s="13" t="n">
        <v>850.70188</v>
      </c>
      <c r="M751" s="13" t="n">
        <v>850.65489</v>
      </c>
      <c r="N751" s="13" t="n">
        <v>850.632024</v>
      </c>
      <c r="O751" s="13" t="n">
        <v>850.586497</v>
      </c>
      <c r="P751" s="13" t="n">
        <v>850.652124</v>
      </c>
      <c r="Q751" s="13" t="n">
        <v>850.567122</v>
      </c>
      <c r="R751" s="13" t="n">
        <v>850.612368</v>
      </c>
      <c r="S751" s="13" t="n">
        <v>893.187</v>
      </c>
      <c r="T751" s="13" t="n">
        <v>893.24928</v>
      </c>
      <c r="U751" s="13" t="n">
        <v>893.205204</v>
      </c>
      <c r="V751" s="13" t="n">
        <v>893.176128</v>
      </c>
      <c r="W751" s="13" t="n">
        <v>893.269056</v>
      </c>
      <c r="X751" s="13" t="n">
        <v>893.134192</v>
      </c>
      <c r="Y751" s="13" t="n">
        <v>893.217338</v>
      </c>
      <c r="Z751" s="13" t="n">
        <v>893.267584</v>
      </c>
      <c r="AA751" s="13" t="n">
        <v>893.09784</v>
      </c>
      <c r="AB751" s="13" t="n">
        <v>893.190556</v>
      </c>
      <c r="AC751" s="13" t="n">
        <v>930.8068</v>
      </c>
      <c r="AD751" s="13" t="n">
        <v>930.8302</v>
      </c>
      <c r="AE751" s="13" t="n">
        <v>930.7872</v>
      </c>
      <c r="AF751" s="13" t="n">
        <v>930.8332</v>
      </c>
      <c r="AG751" s="13" t="n">
        <v>930.74254</v>
      </c>
      <c r="AH751" s="13" t="n">
        <v>930.84165</v>
      </c>
      <c r="AI751" s="13" t="n">
        <v>930.82744</v>
      </c>
      <c r="AJ751" s="13" t="n">
        <v>930.83166</v>
      </c>
      <c r="AK751" s="13" t="n">
        <v>930.8253</v>
      </c>
      <c r="AL751" s="13" t="n">
        <v>930.850774</v>
      </c>
      <c r="AM751" s="13" t="n">
        <v>930.739042</v>
      </c>
      <c r="AN751" s="13" t="n">
        <v>930.815608</v>
      </c>
      <c r="AO751" s="13" t="n">
        <v>965.106396</v>
      </c>
      <c r="AP751" s="13" t="n">
        <v>965.12808</v>
      </c>
      <c r="AQ751" s="13" t="n">
        <v>965.11909</v>
      </c>
      <c r="AR751" s="13" t="n">
        <v>965.193852</v>
      </c>
      <c r="AS751" s="13" t="n">
        <v>965.188872</v>
      </c>
      <c r="AT751" s="13" t="n">
        <v>965.21324</v>
      </c>
    </row>
    <row r="752" customFormat="false" ht="15" hidden="false" customHeight="true" outlineLevel="0" collapsed="false">
      <c r="A752" s="12" t="s">
        <v>2305</v>
      </c>
      <c r="B752" s="12" t="s">
        <v>2306</v>
      </c>
      <c r="C752" s="12" t="n">
        <v>1</v>
      </c>
      <c r="D752" s="12" t="s">
        <v>2307</v>
      </c>
      <c r="E752" s="13" t="n">
        <v>0</v>
      </c>
      <c r="F752" s="13" t="n">
        <v>0</v>
      </c>
      <c r="G752" s="13" t="n">
        <v>0</v>
      </c>
      <c r="H752" s="13" t="n">
        <v>0</v>
      </c>
      <c r="I752" s="13" t="n">
        <v>0</v>
      </c>
      <c r="J752" s="13" t="n">
        <v>0</v>
      </c>
      <c r="K752" s="13" t="n">
        <v>0</v>
      </c>
      <c r="L752" s="13" t="n">
        <v>0</v>
      </c>
      <c r="M752" s="13" t="n">
        <v>0</v>
      </c>
      <c r="N752" s="13" t="n">
        <v>0</v>
      </c>
      <c r="O752" s="13" t="n">
        <v>0</v>
      </c>
      <c r="P752" s="13" t="n">
        <v>0</v>
      </c>
      <c r="Q752" s="13" t="n">
        <v>3480.045417</v>
      </c>
      <c r="R752" s="13" t="n">
        <v>3440.056932</v>
      </c>
      <c r="S752" s="13" t="n">
        <v>3320.00916</v>
      </c>
      <c r="T752" s="13" t="n">
        <v>2916.04096</v>
      </c>
      <c r="U752" s="13" t="n">
        <v>2880.027258</v>
      </c>
      <c r="V752" s="13" t="n">
        <v>3120.03666</v>
      </c>
      <c r="W752" s="13" t="n">
        <v>3199.943264</v>
      </c>
      <c r="X752" s="13" t="n">
        <v>3359.961312</v>
      </c>
      <c r="Y752" s="13" t="n">
        <v>3360.048558</v>
      </c>
      <c r="Z752" s="13" t="n">
        <v>3320.084768</v>
      </c>
      <c r="AA752" s="13" t="n">
        <v>3239.92875</v>
      </c>
      <c r="AB752" s="13" t="n">
        <v>3240.092248</v>
      </c>
      <c r="AC752" s="13" t="n">
        <v>3239.9356</v>
      </c>
      <c r="AD752" s="13" t="n">
        <v>3240.0446</v>
      </c>
      <c r="AE752" s="13" t="n">
        <v>3280.00428</v>
      </c>
      <c r="AF752" s="13" t="n">
        <v>3319.9848</v>
      </c>
      <c r="AG752" s="13" t="n">
        <v>3359.97478</v>
      </c>
      <c r="AH752" s="13" t="n">
        <v>3319.983</v>
      </c>
      <c r="AI752" s="13" t="n">
        <v>3200.00128</v>
      </c>
      <c r="AJ752" s="13" t="n">
        <v>3160.05606</v>
      </c>
      <c r="AK752" s="13" t="n">
        <v>3239.91045</v>
      </c>
      <c r="AL752" s="13" t="n">
        <v>3239.927971</v>
      </c>
      <c r="AM752" s="13" t="n">
        <v>3279.965473</v>
      </c>
      <c r="AN752" s="13" t="n">
        <v>3199.948402</v>
      </c>
      <c r="AO752" s="13" t="n">
        <v>3239.950786</v>
      </c>
      <c r="AP752" s="13" t="n">
        <v>3239.98656</v>
      </c>
      <c r="AQ752" s="13" t="n">
        <v>3400.007721</v>
      </c>
      <c r="AR752" s="13" t="n">
        <v>3239.942794</v>
      </c>
      <c r="AS752" s="13" t="n">
        <v>3320.00046</v>
      </c>
      <c r="AT752" s="13" t="n">
        <v>3279.974856</v>
      </c>
    </row>
    <row r="753" customFormat="false" ht="15" hidden="false" customHeight="true" outlineLevel="0" collapsed="false">
      <c r="A753" s="12" t="s">
        <v>2308</v>
      </c>
      <c r="B753" s="12" t="s">
        <v>2309</v>
      </c>
      <c r="C753" s="12" t="n">
        <v>1</v>
      </c>
      <c r="D753" s="12" t="s">
        <v>2310</v>
      </c>
      <c r="E753" s="13" t="n">
        <v>0</v>
      </c>
      <c r="F753" s="13" t="n">
        <v>0</v>
      </c>
      <c r="G753" s="13" t="n">
        <v>0</v>
      </c>
      <c r="H753" s="13" t="n">
        <v>0</v>
      </c>
      <c r="I753" s="13" t="n">
        <v>0</v>
      </c>
      <c r="J753" s="13" t="n">
        <v>0</v>
      </c>
      <c r="K753" s="13" t="n">
        <v>0</v>
      </c>
      <c r="L753" s="13" t="n">
        <v>0</v>
      </c>
      <c r="M753" s="13" t="n">
        <v>0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  <c r="V753" s="13" t="n">
        <v>0</v>
      </c>
      <c r="W753" s="13" t="n">
        <v>0</v>
      </c>
      <c r="X753" s="13" t="n">
        <v>0</v>
      </c>
      <c r="Y753" s="13" t="n">
        <v>0</v>
      </c>
      <c r="Z753" s="13" t="n">
        <v>0</v>
      </c>
      <c r="AA753" s="13" t="n">
        <v>0</v>
      </c>
      <c r="AB753" s="13" t="n">
        <v>0</v>
      </c>
      <c r="AC753" s="13" t="n">
        <v>0</v>
      </c>
      <c r="AD753" s="13" t="n">
        <v>0</v>
      </c>
      <c r="AE753" s="13" t="n">
        <v>0</v>
      </c>
      <c r="AF753" s="13" t="n">
        <v>0</v>
      </c>
      <c r="AG753" s="13" t="n">
        <v>0</v>
      </c>
      <c r="AH753" s="13" t="n">
        <v>0</v>
      </c>
      <c r="AI753" s="13" t="n">
        <v>0</v>
      </c>
      <c r="AJ753" s="13" t="n">
        <v>0</v>
      </c>
      <c r="AK753" s="13" t="n">
        <v>0</v>
      </c>
      <c r="AL753" s="13" t="n">
        <v>3136.049887</v>
      </c>
      <c r="AM753" s="13" t="n">
        <v>2911.998875</v>
      </c>
      <c r="AN753" s="13" t="n">
        <v>2912.035769</v>
      </c>
      <c r="AO753" s="13" t="n">
        <v>3193.919452</v>
      </c>
      <c r="AP753" s="13" t="n">
        <v>3193.91304</v>
      </c>
      <c r="AQ753" s="13" t="n">
        <v>3484.206666</v>
      </c>
      <c r="AR753" s="13" t="n">
        <v>3658.333804</v>
      </c>
      <c r="AS753" s="13" t="n">
        <v>3890.701269</v>
      </c>
      <c r="AT753" s="13" t="n">
        <v>3890.60568</v>
      </c>
    </row>
    <row r="754" customFormat="false" ht="15" hidden="false" customHeight="true" outlineLevel="0" collapsed="false">
      <c r="A754" s="12" t="s">
        <v>2311</v>
      </c>
      <c r="B754" s="12" t="s">
        <v>2312</v>
      </c>
      <c r="C754" s="12" t="n">
        <v>1</v>
      </c>
      <c r="D754" s="12" t="s">
        <v>2313</v>
      </c>
      <c r="E754" s="13" t="n">
        <v>0</v>
      </c>
      <c r="F754" s="13" t="n">
        <v>0</v>
      </c>
      <c r="G754" s="13" t="n">
        <v>0</v>
      </c>
      <c r="H754" s="13" t="n">
        <v>0</v>
      </c>
      <c r="I754" s="13" t="n">
        <v>0</v>
      </c>
      <c r="J754" s="13" t="n">
        <v>0</v>
      </c>
      <c r="K754" s="13" t="n">
        <v>0</v>
      </c>
      <c r="L754" s="13" t="n">
        <v>0</v>
      </c>
      <c r="M754" s="13" t="n">
        <v>0</v>
      </c>
      <c r="N754" s="13" t="n">
        <v>0</v>
      </c>
      <c r="O754" s="13" t="n">
        <v>0</v>
      </c>
      <c r="P754" s="13" t="n">
        <v>0</v>
      </c>
      <c r="Q754" s="13" t="n">
        <v>0</v>
      </c>
      <c r="R754" s="13" t="n">
        <v>0</v>
      </c>
      <c r="S754" s="13" t="n">
        <v>0</v>
      </c>
      <c r="T754" s="13" t="n">
        <v>0</v>
      </c>
      <c r="U754" s="13" t="n">
        <v>0</v>
      </c>
      <c r="V754" s="13" t="n">
        <v>0</v>
      </c>
      <c r="W754" s="13" t="n">
        <v>0</v>
      </c>
      <c r="X754" s="13" t="n">
        <v>0</v>
      </c>
      <c r="Y754" s="13" t="n">
        <v>0</v>
      </c>
      <c r="Z754" s="13" t="n">
        <v>0</v>
      </c>
      <c r="AA754" s="13" t="n">
        <v>0</v>
      </c>
      <c r="AB754" s="13" t="n">
        <v>0</v>
      </c>
      <c r="AC754" s="13" t="n">
        <v>0</v>
      </c>
      <c r="AD754" s="13" t="n">
        <v>0</v>
      </c>
      <c r="AE754" s="13" t="n">
        <v>0</v>
      </c>
      <c r="AF754" s="13" t="n">
        <v>0</v>
      </c>
      <c r="AG754" s="13" t="n">
        <v>0</v>
      </c>
      <c r="AH754" s="13" t="n">
        <v>0</v>
      </c>
      <c r="AI754" s="13" t="n">
        <v>0</v>
      </c>
      <c r="AJ754" s="13" t="n">
        <v>0</v>
      </c>
      <c r="AK754" s="13" t="n">
        <v>2799.99735</v>
      </c>
      <c r="AL754" s="13" t="n">
        <v>2855.910586</v>
      </c>
      <c r="AM754" s="13" t="n">
        <v>2856.05181</v>
      </c>
      <c r="AN754" s="13" t="n">
        <v>2744.071747</v>
      </c>
      <c r="AO754" s="13" t="n">
        <v>2961.521556</v>
      </c>
      <c r="AP754" s="13" t="n">
        <v>2903.49456</v>
      </c>
      <c r="AQ754" s="13" t="n">
        <v>3019.573348</v>
      </c>
      <c r="AR754" s="13" t="n">
        <v>2903.475726</v>
      </c>
      <c r="AS754" s="13" t="n">
        <v>2787.380991</v>
      </c>
      <c r="AT754" s="13" t="n">
        <v>2903.51544</v>
      </c>
    </row>
    <row r="755" customFormat="false" ht="15" hidden="false" customHeight="true" outlineLevel="0" collapsed="false">
      <c r="A755" s="12" t="s">
        <v>2314</v>
      </c>
      <c r="B755" s="12" t="s">
        <v>2315</v>
      </c>
      <c r="C755" s="12" t="n">
        <v>1</v>
      </c>
      <c r="D755" s="12" t="s">
        <v>2316</v>
      </c>
      <c r="E755" s="13" t="n">
        <v>0</v>
      </c>
      <c r="F755" s="13" t="n">
        <v>0</v>
      </c>
      <c r="G755" s="13" t="n">
        <v>0</v>
      </c>
      <c r="H755" s="13" t="n">
        <v>0</v>
      </c>
      <c r="I755" s="13" t="n">
        <v>0</v>
      </c>
      <c r="J755" s="13" t="n">
        <v>0</v>
      </c>
      <c r="K755" s="13" t="n">
        <v>0</v>
      </c>
      <c r="L755" s="13" t="n">
        <v>0</v>
      </c>
      <c r="M755" s="13" t="n">
        <v>0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  <c r="V755" s="13" t="n">
        <v>0</v>
      </c>
      <c r="W755" s="13" t="n">
        <v>0</v>
      </c>
      <c r="X755" s="13" t="n">
        <v>0</v>
      </c>
      <c r="Y755" s="13" t="n">
        <v>0</v>
      </c>
      <c r="Z755" s="13" t="n">
        <v>0</v>
      </c>
      <c r="AA755" s="13" t="n">
        <v>0</v>
      </c>
      <c r="AB755" s="13" t="n">
        <v>0</v>
      </c>
      <c r="AC755" s="13" t="n">
        <v>0</v>
      </c>
      <c r="AD755" s="13" t="n">
        <v>0</v>
      </c>
      <c r="AE755" s="13" t="n">
        <v>0</v>
      </c>
      <c r="AF755" s="13" t="n">
        <v>0</v>
      </c>
      <c r="AG755" s="13" t="n">
        <v>0</v>
      </c>
      <c r="AH755" s="13" t="n">
        <v>0</v>
      </c>
      <c r="AI755" s="13" t="n">
        <v>0</v>
      </c>
      <c r="AJ755" s="13" t="n">
        <v>0</v>
      </c>
      <c r="AK755" s="13" t="n">
        <v>0</v>
      </c>
      <c r="AL755" s="13" t="n">
        <v>0</v>
      </c>
      <c r="AM755" s="13" t="n">
        <v>0</v>
      </c>
      <c r="AN755" s="13" t="n">
        <v>0</v>
      </c>
      <c r="AO755" s="13" t="n">
        <v>0</v>
      </c>
      <c r="AP755" s="13" t="n">
        <v>0</v>
      </c>
      <c r="AQ755" s="13" t="n">
        <v>0</v>
      </c>
      <c r="AR755" s="13" t="n">
        <v>0</v>
      </c>
      <c r="AS755" s="13" t="n">
        <v>0</v>
      </c>
      <c r="AT755" s="13" t="n">
        <v>0</v>
      </c>
    </row>
    <row r="756" customFormat="false" ht="15" hidden="false" customHeight="true" outlineLevel="0" collapsed="false">
      <c r="A756" s="12" t="s">
        <v>2317</v>
      </c>
      <c r="B756" s="12" t="s">
        <v>2318</v>
      </c>
      <c r="C756" s="12" t="n">
        <v>1</v>
      </c>
      <c r="D756" s="12" t="s">
        <v>2319</v>
      </c>
      <c r="E756" s="13" t="n">
        <v>0</v>
      </c>
      <c r="F756" s="13" t="n">
        <v>0</v>
      </c>
      <c r="G756" s="13" t="n">
        <v>0</v>
      </c>
      <c r="H756" s="13" t="n">
        <v>0</v>
      </c>
      <c r="I756" s="13" t="n">
        <v>0</v>
      </c>
      <c r="J756" s="13" t="n">
        <v>0</v>
      </c>
      <c r="K756" s="13" t="n">
        <v>0</v>
      </c>
      <c r="L756" s="13" t="n">
        <v>0</v>
      </c>
      <c r="M756" s="13" t="n">
        <v>0</v>
      </c>
      <c r="N756" s="13" t="n">
        <v>0</v>
      </c>
      <c r="O756" s="13" t="n">
        <v>0</v>
      </c>
      <c r="P756" s="13" t="n">
        <v>0</v>
      </c>
      <c r="Q756" s="13" t="n">
        <v>0</v>
      </c>
      <c r="R756" s="13" t="n">
        <v>0</v>
      </c>
      <c r="S756" s="13" t="n">
        <v>0</v>
      </c>
      <c r="T756" s="13" t="n">
        <v>0</v>
      </c>
      <c r="U756" s="13" t="n">
        <v>0</v>
      </c>
      <c r="V756" s="13" t="n">
        <v>0</v>
      </c>
      <c r="W756" s="13" t="n">
        <v>0</v>
      </c>
      <c r="X756" s="13" t="n">
        <v>0</v>
      </c>
      <c r="Y756" s="13" t="n">
        <v>0</v>
      </c>
      <c r="Z756" s="13" t="n">
        <v>0</v>
      </c>
      <c r="AA756" s="13" t="n">
        <v>0</v>
      </c>
      <c r="AB756" s="13" t="n">
        <v>0</v>
      </c>
      <c r="AC756" s="13" t="n">
        <v>0</v>
      </c>
      <c r="AD756" s="13" t="n">
        <v>0</v>
      </c>
      <c r="AE756" s="13" t="n">
        <v>0</v>
      </c>
      <c r="AF756" s="13" t="n">
        <v>0</v>
      </c>
      <c r="AG756" s="13" t="n">
        <v>800.09508</v>
      </c>
      <c r="AH756" s="13" t="n">
        <v>0</v>
      </c>
      <c r="AI756" s="13" t="n">
        <v>800.00032</v>
      </c>
      <c r="AJ756" s="13" t="n">
        <v>799.98588</v>
      </c>
      <c r="AK756" s="13" t="n">
        <v>800.02545</v>
      </c>
      <c r="AL756" s="13" t="n">
        <v>800.082264</v>
      </c>
      <c r="AM756" s="13" t="n">
        <v>799.951313</v>
      </c>
      <c r="AN756" s="13" t="n">
        <v>0</v>
      </c>
      <c r="AO756" s="13" t="n">
        <v>0</v>
      </c>
      <c r="AP756" s="13" t="n">
        <v>0</v>
      </c>
      <c r="AQ756" s="13" t="n">
        <v>0</v>
      </c>
      <c r="AR756" s="13" t="n">
        <v>0</v>
      </c>
      <c r="AS756" s="13" t="n">
        <v>0</v>
      </c>
      <c r="AT756" s="13" t="n">
        <v>0</v>
      </c>
    </row>
    <row r="757" customFormat="false" ht="15" hidden="false" customHeight="true" outlineLevel="0" collapsed="false">
      <c r="A757" s="12" t="s">
        <v>2320</v>
      </c>
      <c r="B757" s="12" t="s">
        <v>2321</v>
      </c>
      <c r="C757" s="12" t="n">
        <v>1</v>
      </c>
      <c r="D757" s="12" t="s">
        <v>2322</v>
      </c>
      <c r="E757" s="13" t="n">
        <v>0</v>
      </c>
      <c r="F757" s="13" t="n">
        <v>0</v>
      </c>
      <c r="G757" s="13" t="n">
        <v>0</v>
      </c>
      <c r="H757" s="13" t="n">
        <v>0</v>
      </c>
      <c r="I757" s="13" t="n">
        <v>0</v>
      </c>
      <c r="J757" s="13" t="n">
        <v>0</v>
      </c>
      <c r="K757" s="13" t="n">
        <v>0</v>
      </c>
      <c r="L757" s="13" t="n">
        <v>0</v>
      </c>
      <c r="M757" s="13" t="n">
        <v>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  <c r="X757" s="13" t="n">
        <v>0</v>
      </c>
      <c r="Y757" s="13" t="n">
        <v>0</v>
      </c>
      <c r="Z757" s="13" t="n">
        <v>0</v>
      </c>
      <c r="AA757" s="13" t="n">
        <v>0</v>
      </c>
      <c r="AB757" s="13" t="n">
        <v>0</v>
      </c>
      <c r="AC757" s="13" t="n">
        <v>0</v>
      </c>
      <c r="AD757" s="13" t="n">
        <v>0</v>
      </c>
      <c r="AE757" s="13" t="n">
        <v>0</v>
      </c>
      <c r="AF757" s="13" t="n">
        <v>0</v>
      </c>
      <c r="AG757" s="13" t="n">
        <v>0</v>
      </c>
      <c r="AH757" s="13" t="n">
        <v>0</v>
      </c>
      <c r="AI757" s="13" t="n">
        <v>0</v>
      </c>
      <c r="AJ757" s="13" t="n">
        <v>0</v>
      </c>
      <c r="AK757" s="13" t="n">
        <v>0</v>
      </c>
      <c r="AL757" s="13" t="n">
        <v>0</v>
      </c>
      <c r="AM757" s="13" t="n">
        <v>0</v>
      </c>
      <c r="AN757" s="13" t="n">
        <v>0</v>
      </c>
      <c r="AO757" s="13" t="n">
        <v>0</v>
      </c>
      <c r="AP757" s="13" t="n">
        <v>0</v>
      </c>
      <c r="AQ757" s="13" t="n">
        <v>0</v>
      </c>
      <c r="AR757" s="13" t="n">
        <v>0</v>
      </c>
      <c r="AS757" s="13" t="n">
        <v>0</v>
      </c>
      <c r="AT757" s="13" t="n">
        <v>599.954848</v>
      </c>
    </row>
    <row r="758" customFormat="false" ht="15" hidden="false" customHeight="true" outlineLevel="0" collapsed="false">
      <c r="A758" s="12" t="s">
        <v>2323</v>
      </c>
      <c r="B758" s="12" t="s">
        <v>2324</v>
      </c>
      <c r="C758" s="12" t="n">
        <v>1</v>
      </c>
      <c r="D758" s="12" t="s">
        <v>2325</v>
      </c>
      <c r="E758" s="13" t="n">
        <v>0</v>
      </c>
      <c r="F758" s="13" t="n">
        <v>0</v>
      </c>
      <c r="G758" s="13" t="n">
        <v>0</v>
      </c>
      <c r="H758" s="13" t="n">
        <v>0</v>
      </c>
      <c r="I758" s="13" t="n">
        <v>0</v>
      </c>
      <c r="J758" s="13" t="n">
        <v>0</v>
      </c>
      <c r="K758" s="13" t="n">
        <v>0</v>
      </c>
      <c r="L758" s="13" t="n">
        <v>0</v>
      </c>
      <c r="M758" s="13" t="n">
        <v>0</v>
      </c>
      <c r="N758" s="13" t="n">
        <v>0</v>
      </c>
      <c r="O758" s="13" t="n">
        <v>0</v>
      </c>
      <c r="P758" s="13" t="n">
        <v>0</v>
      </c>
      <c r="Q758" s="13" t="n">
        <v>0</v>
      </c>
      <c r="R758" s="13" t="n">
        <v>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0</v>
      </c>
      <c r="X758" s="13" t="n">
        <v>0</v>
      </c>
      <c r="Y758" s="13" t="n">
        <v>0</v>
      </c>
      <c r="Z758" s="13" t="n">
        <v>0</v>
      </c>
      <c r="AA758" s="13" t="n">
        <v>0</v>
      </c>
      <c r="AB758" s="13" t="n">
        <v>0</v>
      </c>
      <c r="AC758" s="13" t="n">
        <v>0</v>
      </c>
      <c r="AD758" s="13" t="n">
        <v>0</v>
      </c>
      <c r="AE758" s="13" t="n">
        <v>0</v>
      </c>
      <c r="AF758" s="13" t="n">
        <v>0</v>
      </c>
      <c r="AG758" s="13" t="n">
        <v>0</v>
      </c>
      <c r="AH758" s="13" t="n">
        <v>0</v>
      </c>
      <c r="AI758" s="13" t="n">
        <v>0</v>
      </c>
      <c r="AJ758" s="13" t="n">
        <v>0</v>
      </c>
      <c r="AK758" s="13" t="n">
        <v>0</v>
      </c>
      <c r="AL758" s="13" t="n">
        <v>0</v>
      </c>
      <c r="AM758" s="13" t="n">
        <v>0</v>
      </c>
      <c r="AN758" s="13" t="n">
        <v>0</v>
      </c>
      <c r="AO758" s="13" t="n">
        <v>1450.073222</v>
      </c>
      <c r="AP758" s="13" t="n">
        <v>2290.04376</v>
      </c>
      <c r="AQ758" s="13" t="n">
        <v>2349.965394</v>
      </c>
      <c r="AR758" s="13" t="n">
        <v>2589.989464</v>
      </c>
      <c r="AS758" s="13" t="n">
        <v>2349.964872</v>
      </c>
      <c r="AT758" s="13" t="n">
        <v>2230.053872</v>
      </c>
    </row>
    <row r="759" customFormat="false" ht="15" hidden="false" customHeight="true" outlineLevel="0" collapsed="false">
      <c r="A759" s="12" t="s">
        <v>2326</v>
      </c>
      <c r="B759" s="12" t="s">
        <v>2327</v>
      </c>
      <c r="C759" s="12" t="n">
        <v>1</v>
      </c>
      <c r="D759" s="12" t="s">
        <v>2328</v>
      </c>
      <c r="E759" s="13" t="n">
        <v>0</v>
      </c>
      <c r="F759" s="13" t="n">
        <v>0</v>
      </c>
      <c r="G759" s="13" t="n">
        <v>0</v>
      </c>
      <c r="H759" s="13" t="n">
        <v>0</v>
      </c>
      <c r="I759" s="13" t="n">
        <v>0</v>
      </c>
      <c r="J759" s="13" t="n">
        <v>0</v>
      </c>
      <c r="K759" s="13" t="n">
        <v>0</v>
      </c>
      <c r="L759" s="13" t="n">
        <v>0</v>
      </c>
      <c r="M759" s="13" t="n">
        <v>0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0</v>
      </c>
      <c r="X759" s="13" t="n">
        <v>0</v>
      </c>
      <c r="Y759" s="13" t="n">
        <v>0</v>
      </c>
      <c r="Z759" s="13" t="n">
        <v>0</v>
      </c>
      <c r="AA759" s="13" t="n">
        <v>0</v>
      </c>
      <c r="AB759" s="13" t="n">
        <v>0</v>
      </c>
      <c r="AC759" s="13" t="n">
        <v>0</v>
      </c>
      <c r="AD759" s="13" t="n">
        <v>0</v>
      </c>
      <c r="AE759" s="13" t="n">
        <v>0</v>
      </c>
      <c r="AF759" s="13" t="n">
        <v>0</v>
      </c>
      <c r="AG759" s="13" t="n">
        <v>0</v>
      </c>
      <c r="AH759" s="13" t="n">
        <v>0</v>
      </c>
      <c r="AI759" s="13" t="n">
        <v>0</v>
      </c>
      <c r="AJ759" s="13" t="n">
        <v>0</v>
      </c>
      <c r="AK759" s="13" t="n">
        <v>0</v>
      </c>
      <c r="AL759" s="13" t="n">
        <v>0</v>
      </c>
      <c r="AM759" s="13" t="n">
        <v>0</v>
      </c>
      <c r="AN759" s="13" t="n">
        <v>0</v>
      </c>
      <c r="AO759" s="13" t="n">
        <v>454.968878</v>
      </c>
      <c r="AP759" s="13" t="n">
        <v>455.04072</v>
      </c>
      <c r="AQ759" s="13" t="n">
        <v>520.041656</v>
      </c>
      <c r="AR759" s="13" t="n">
        <v>519.962664</v>
      </c>
      <c r="AS759" s="13" t="n">
        <v>0</v>
      </c>
      <c r="AT759" s="13" t="n">
        <v>0</v>
      </c>
    </row>
    <row r="760" customFormat="false" ht="15" hidden="false" customHeight="true" outlineLevel="0" collapsed="false">
      <c r="A760" s="12" t="s">
        <v>2329</v>
      </c>
      <c r="B760" s="12" t="s">
        <v>2330</v>
      </c>
      <c r="C760" s="12" t="n">
        <v>1</v>
      </c>
      <c r="D760" s="12" t="s">
        <v>2331</v>
      </c>
      <c r="E760" s="13" t="n">
        <v>0</v>
      </c>
      <c r="F760" s="13" t="n">
        <v>0</v>
      </c>
      <c r="G760" s="13" t="n">
        <v>0</v>
      </c>
      <c r="H760" s="13" t="n">
        <v>0</v>
      </c>
      <c r="I760" s="13" t="n">
        <v>0</v>
      </c>
      <c r="J760" s="13" t="n">
        <v>0</v>
      </c>
      <c r="K760" s="13" t="n">
        <v>0</v>
      </c>
      <c r="L760" s="13" t="n">
        <v>0</v>
      </c>
      <c r="M760" s="13" t="n">
        <v>0</v>
      </c>
      <c r="N760" s="13" t="n">
        <v>0</v>
      </c>
      <c r="O760" s="13" t="n">
        <v>0</v>
      </c>
      <c r="P760" s="13" t="n">
        <v>0</v>
      </c>
      <c r="Q760" s="13" t="n">
        <v>0</v>
      </c>
      <c r="R760" s="13" t="n">
        <v>0</v>
      </c>
      <c r="S760" s="13" t="n">
        <v>0</v>
      </c>
      <c r="T760" s="13" t="n">
        <v>0</v>
      </c>
      <c r="U760" s="13" t="n">
        <v>1399.999121</v>
      </c>
      <c r="V760" s="13" t="n">
        <v>811.928052</v>
      </c>
      <c r="W760" s="13" t="n">
        <v>756.016128</v>
      </c>
      <c r="X760" s="13" t="n">
        <v>755.911976</v>
      </c>
      <c r="Y760" s="13" t="n">
        <v>961.926364</v>
      </c>
      <c r="Z760" s="13" t="n">
        <v>924.940896</v>
      </c>
      <c r="AA760" s="13" t="n">
        <v>1961.10081</v>
      </c>
      <c r="AB760" s="13" t="n">
        <v>0</v>
      </c>
      <c r="AC760" s="13" t="n">
        <v>1030.898</v>
      </c>
      <c r="AD760" s="13" t="n">
        <v>992.6255</v>
      </c>
      <c r="AE760" s="13" t="n">
        <v>1030.806</v>
      </c>
      <c r="AF760" s="13" t="n">
        <v>817.0734</v>
      </c>
      <c r="AG760" s="13" t="n">
        <v>758.60438</v>
      </c>
      <c r="AH760" s="13" t="n">
        <v>729.52755</v>
      </c>
      <c r="AI760" s="13" t="n">
        <v>758.64692</v>
      </c>
      <c r="AJ760" s="13" t="n">
        <v>758.6073</v>
      </c>
      <c r="AK760" s="13" t="n">
        <v>758.7492</v>
      </c>
      <c r="AL760" s="13" t="n">
        <v>729.540941</v>
      </c>
      <c r="AM760" s="13" t="n">
        <v>700.347194</v>
      </c>
      <c r="AN760" s="13" t="n">
        <v>700.269702</v>
      </c>
      <c r="AO760" s="13" t="n">
        <v>695.986874</v>
      </c>
      <c r="AP760" s="13" t="n">
        <v>695.93448</v>
      </c>
      <c r="AQ760" s="13" t="n">
        <v>696.044612</v>
      </c>
      <c r="AR760" s="13" t="n">
        <v>695.914942</v>
      </c>
      <c r="AS760" s="13" t="n">
        <v>942.166971</v>
      </c>
      <c r="AT760" s="13" t="n">
        <v>902.907544</v>
      </c>
    </row>
    <row r="761" customFormat="false" ht="15" hidden="false" customHeight="true" outlineLevel="0" collapsed="false">
      <c r="A761" s="12" t="s">
        <v>2332</v>
      </c>
      <c r="B761" s="12" t="s">
        <v>2333</v>
      </c>
      <c r="C761" s="12" t="n">
        <v>1</v>
      </c>
      <c r="D761" s="12" t="s">
        <v>2334</v>
      </c>
      <c r="E761" s="13" t="n">
        <v>0</v>
      </c>
      <c r="F761" s="13" t="n">
        <v>0</v>
      </c>
      <c r="G761" s="13" t="n">
        <v>0</v>
      </c>
      <c r="H761" s="13" t="n">
        <v>0</v>
      </c>
      <c r="I761" s="13" t="n">
        <v>6006.080626</v>
      </c>
      <c r="J761" s="13" t="n">
        <v>6181.94697</v>
      </c>
      <c r="K761" s="13" t="n">
        <v>4142.06088</v>
      </c>
      <c r="L761" s="13" t="n">
        <v>6468.013664</v>
      </c>
      <c r="M761" s="13" t="n">
        <v>7589.9709</v>
      </c>
      <c r="N761" s="13" t="n">
        <v>8096.000502</v>
      </c>
      <c r="O761" s="13" t="n">
        <v>8558.004907</v>
      </c>
      <c r="P761" s="13" t="n">
        <v>8360.008762</v>
      </c>
      <c r="Q761" s="13" t="n">
        <v>9309.366153</v>
      </c>
      <c r="R761" s="13" t="n">
        <v>6864.045222</v>
      </c>
      <c r="S761" s="13" t="n">
        <v>7633.936965</v>
      </c>
      <c r="T761" s="13" t="n">
        <v>10164.00896</v>
      </c>
      <c r="U761" s="13" t="n">
        <v>10450.060049</v>
      </c>
      <c r="V761" s="13" t="n">
        <v>10625.995536</v>
      </c>
      <c r="W761" s="13" t="n">
        <v>10779.979968</v>
      </c>
      <c r="X761" s="13" t="n">
        <v>10955.9645</v>
      </c>
      <c r="Y761" s="13" t="n">
        <v>10450.07192</v>
      </c>
      <c r="Z761" s="13" t="n">
        <v>10054.071456</v>
      </c>
      <c r="AA761" s="13" t="n">
        <v>10054.08567</v>
      </c>
      <c r="AB761" s="13" t="n">
        <v>9856.056278</v>
      </c>
      <c r="AC761" s="13" t="n">
        <v>9899.9296</v>
      </c>
      <c r="AD761" s="13" t="n">
        <v>10163.9924</v>
      </c>
      <c r="AE761" s="13" t="n">
        <v>8469.9594</v>
      </c>
      <c r="AF761" s="13" t="n">
        <v>9129.9582</v>
      </c>
      <c r="AG761" s="13" t="n">
        <v>8932.0793</v>
      </c>
      <c r="AH761" s="13" t="n">
        <v>9108.04665</v>
      </c>
      <c r="AI761" s="13" t="n">
        <v>9790.04151</v>
      </c>
      <c r="AJ761" s="13" t="n">
        <v>9657.98424</v>
      </c>
      <c r="AK761" s="13" t="n">
        <v>10581.94635</v>
      </c>
      <c r="AL761" s="13" t="n">
        <v>9745.937615</v>
      </c>
      <c r="AM761" s="13" t="n">
        <v>10472.006537</v>
      </c>
      <c r="AN761" s="13" t="n">
        <v>10625.972304</v>
      </c>
      <c r="AO761" s="13" t="n">
        <v>11633.169754</v>
      </c>
      <c r="AP761" s="13" t="n">
        <v>11769.97248</v>
      </c>
      <c r="AQ761" s="13" t="n">
        <v>11815.556469</v>
      </c>
      <c r="AR761" s="13" t="n">
        <v>11336.554398</v>
      </c>
      <c r="AS761" s="13" t="n">
        <v>0</v>
      </c>
      <c r="AT761" s="13" t="n">
        <v>0</v>
      </c>
    </row>
    <row r="762" customFormat="false" ht="15" hidden="false" customHeight="true" outlineLevel="0" collapsed="false">
      <c r="A762" s="12" t="s">
        <v>2335</v>
      </c>
      <c r="B762" s="12" t="s">
        <v>2336</v>
      </c>
      <c r="C762" s="12" t="n">
        <v>1</v>
      </c>
      <c r="D762" s="12" t="s">
        <v>2337</v>
      </c>
      <c r="E762" s="13" t="n">
        <v>4814.936244</v>
      </c>
      <c r="F762" s="13" t="n">
        <v>5039.920062</v>
      </c>
      <c r="G762" s="13" t="n">
        <v>5503.939224</v>
      </c>
      <c r="H762" s="13" t="n">
        <v>5632.042914</v>
      </c>
      <c r="I762" s="13" t="n">
        <v>6079.9592</v>
      </c>
      <c r="J762" s="13" t="n">
        <v>5759.929615</v>
      </c>
      <c r="K762" s="13" t="n">
        <v>5823.917832</v>
      </c>
      <c r="L762" s="13" t="n">
        <v>5568.07825</v>
      </c>
      <c r="M762" s="13" t="n">
        <v>5504.05089</v>
      </c>
      <c r="N762" s="13" t="n">
        <v>5760.01464</v>
      </c>
      <c r="O762" s="13" t="n">
        <v>6144.080695</v>
      </c>
      <c r="P762" s="13" t="n">
        <v>6784.069117</v>
      </c>
      <c r="Q762" s="13" t="n">
        <v>6591.981042</v>
      </c>
      <c r="R762" s="13" t="n">
        <v>6592.074909</v>
      </c>
      <c r="S762" s="13" t="n">
        <v>6528.039135</v>
      </c>
      <c r="T762" s="13" t="n">
        <v>6592.03328</v>
      </c>
      <c r="U762" s="13" t="n">
        <v>6848.076117</v>
      </c>
      <c r="V762" s="13" t="n">
        <v>6271.946148</v>
      </c>
      <c r="W762" s="13" t="n">
        <v>6335.947664</v>
      </c>
      <c r="X762" s="13" t="n">
        <v>6144.065232</v>
      </c>
      <c r="Y762" s="13" t="n">
        <v>6080.059742</v>
      </c>
      <c r="Z762" s="13" t="n">
        <v>5951.976624</v>
      </c>
      <c r="AA762" s="13" t="n">
        <v>5887.9965</v>
      </c>
      <c r="AB762" s="13" t="n">
        <v>6794.03555</v>
      </c>
      <c r="AC762" s="13" t="n">
        <v>6399.0124</v>
      </c>
      <c r="AD762" s="13" t="n">
        <v>6240.9147</v>
      </c>
      <c r="AE762" s="13" t="n">
        <v>5989.9014</v>
      </c>
      <c r="AF762" s="13" t="n">
        <v>6320.0324</v>
      </c>
      <c r="AG762" s="13" t="n">
        <v>11534.02864</v>
      </c>
      <c r="AH762" s="13" t="n">
        <v>6108.9198</v>
      </c>
      <c r="AI762" s="13" t="n">
        <v>6059.02498</v>
      </c>
      <c r="AJ762" s="13" t="n">
        <v>6137.07714</v>
      </c>
      <c r="AK762" s="13" t="n">
        <v>5958.0891</v>
      </c>
      <c r="AL762" s="13" t="n">
        <v>5819.935419</v>
      </c>
      <c r="AM762" s="13" t="n">
        <v>5731.914384</v>
      </c>
      <c r="AN762" s="13" t="n">
        <v>5594.065131</v>
      </c>
      <c r="AO762" s="13" t="n">
        <v>5466.00541</v>
      </c>
      <c r="AP762" s="13" t="n">
        <v>5467.04592</v>
      </c>
      <c r="AQ762" s="13" t="n">
        <v>5347.991055</v>
      </c>
      <c r="AR762" s="13" t="n">
        <v>5672.925988</v>
      </c>
      <c r="AS762" s="13" t="n">
        <v>5564.029968</v>
      </c>
      <c r="AT762" s="13" t="n">
        <v>5545.031928</v>
      </c>
    </row>
    <row r="763" customFormat="false" ht="15" hidden="false" customHeight="true" outlineLevel="0" collapsed="false">
      <c r="A763" s="12" t="s">
        <v>2338</v>
      </c>
      <c r="B763" s="12" t="s">
        <v>2339</v>
      </c>
      <c r="C763" s="12" t="n">
        <v>1</v>
      </c>
      <c r="D763" s="12" t="s">
        <v>2340</v>
      </c>
      <c r="E763" s="13" t="n">
        <v>0</v>
      </c>
      <c r="F763" s="13" t="n">
        <v>0</v>
      </c>
      <c r="G763" s="13" t="n">
        <v>0</v>
      </c>
      <c r="H763" s="13" t="n">
        <v>0</v>
      </c>
      <c r="I763" s="13" t="n">
        <v>0</v>
      </c>
      <c r="J763" s="13" t="n">
        <v>0</v>
      </c>
      <c r="K763" s="13" t="n">
        <v>0</v>
      </c>
      <c r="L763" s="13" t="n">
        <v>0</v>
      </c>
      <c r="M763" s="13" t="n">
        <v>0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0</v>
      </c>
      <c r="X763" s="13" t="n">
        <v>0</v>
      </c>
      <c r="Y763" s="13" t="n">
        <v>0</v>
      </c>
      <c r="Z763" s="13" t="n">
        <v>0</v>
      </c>
      <c r="AA763" s="13" t="n">
        <v>0</v>
      </c>
      <c r="AB763" s="13" t="n">
        <v>0</v>
      </c>
      <c r="AC763" s="13" t="n">
        <v>0</v>
      </c>
      <c r="AD763" s="13" t="n">
        <v>0</v>
      </c>
      <c r="AE763" s="13" t="n">
        <v>0</v>
      </c>
      <c r="AF763" s="13" t="n">
        <v>0</v>
      </c>
      <c r="AG763" s="13" t="n">
        <v>0</v>
      </c>
      <c r="AH763" s="13" t="n">
        <v>0</v>
      </c>
      <c r="AI763" s="13" t="n">
        <v>0</v>
      </c>
      <c r="AJ763" s="13" t="n">
        <v>0</v>
      </c>
      <c r="AK763" s="13" t="n">
        <v>0</v>
      </c>
      <c r="AL763" s="13" t="n">
        <v>0</v>
      </c>
      <c r="AM763" s="13" t="n">
        <v>0</v>
      </c>
      <c r="AN763" s="13" t="n">
        <v>0</v>
      </c>
      <c r="AO763" s="13" t="n">
        <v>3900.078044</v>
      </c>
      <c r="AP763" s="13" t="n">
        <v>3379.93272</v>
      </c>
      <c r="AQ763" s="13" t="n">
        <v>3509.919032</v>
      </c>
      <c r="AR763" s="13" t="n">
        <v>3770.080166</v>
      </c>
      <c r="AS763" s="13" t="n">
        <v>3574.972341</v>
      </c>
      <c r="AT763" s="13" t="n">
        <v>3314.978056</v>
      </c>
    </row>
    <row r="764" customFormat="false" ht="15" hidden="false" customHeight="true" outlineLevel="0" collapsed="false">
      <c r="A764" s="12" t="s">
        <v>2341</v>
      </c>
      <c r="B764" s="12" t="s">
        <v>2342</v>
      </c>
      <c r="C764" s="12" t="n">
        <v>1</v>
      </c>
      <c r="D764" s="12" t="s">
        <v>2343</v>
      </c>
      <c r="E764" s="13" t="n">
        <v>0</v>
      </c>
      <c r="F764" s="13" t="n">
        <v>0</v>
      </c>
      <c r="G764" s="13" t="n">
        <v>0</v>
      </c>
      <c r="H764" s="13" t="n">
        <v>0</v>
      </c>
      <c r="I764" s="13" t="n">
        <v>0</v>
      </c>
      <c r="J764" s="13" t="n">
        <v>0</v>
      </c>
      <c r="K764" s="13" t="n">
        <v>0</v>
      </c>
      <c r="L764" s="13" t="n">
        <v>0</v>
      </c>
      <c r="M764" s="13" t="n">
        <v>0</v>
      </c>
      <c r="N764" s="13" t="n">
        <v>0</v>
      </c>
      <c r="O764" s="13" t="n">
        <v>0</v>
      </c>
      <c r="P764" s="13" t="n">
        <v>0</v>
      </c>
      <c r="Q764" s="13" t="n">
        <v>0</v>
      </c>
      <c r="R764" s="13" t="n">
        <v>0</v>
      </c>
      <c r="S764" s="13" t="n">
        <v>0</v>
      </c>
      <c r="T764" s="13" t="n">
        <v>0</v>
      </c>
      <c r="U764" s="13" t="n">
        <v>0</v>
      </c>
      <c r="V764" s="13" t="n">
        <v>0</v>
      </c>
      <c r="W764" s="13" t="n">
        <v>2640.05632</v>
      </c>
      <c r="X764" s="13" t="n">
        <v>0</v>
      </c>
      <c r="Y764" s="13" t="n">
        <v>0</v>
      </c>
      <c r="Z764" s="13" t="n">
        <v>0</v>
      </c>
      <c r="AA764" s="13" t="n">
        <v>0</v>
      </c>
      <c r="AB764" s="13" t="n">
        <v>0</v>
      </c>
      <c r="AC764" s="13" t="n">
        <v>0</v>
      </c>
      <c r="AD764" s="13" t="n">
        <v>0</v>
      </c>
      <c r="AE764" s="13" t="n">
        <v>0</v>
      </c>
      <c r="AF764" s="13" t="n">
        <v>0</v>
      </c>
      <c r="AG764" s="13" t="n">
        <v>0</v>
      </c>
      <c r="AH764" s="13" t="n">
        <v>0</v>
      </c>
      <c r="AI764" s="13" t="n">
        <v>0</v>
      </c>
      <c r="AJ764" s="13" t="n">
        <v>0</v>
      </c>
      <c r="AK764" s="13" t="n">
        <v>0</v>
      </c>
      <c r="AL764" s="13" t="n">
        <v>0</v>
      </c>
      <c r="AM764" s="13" t="n">
        <v>0</v>
      </c>
      <c r="AN764" s="13" t="n">
        <v>0</v>
      </c>
      <c r="AO764" s="13" t="n">
        <v>0</v>
      </c>
      <c r="AP764" s="13" t="n">
        <v>0</v>
      </c>
      <c r="AQ764" s="13" t="n">
        <v>0</v>
      </c>
      <c r="AR764" s="13" t="n">
        <v>0</v>
      </c>
      <c r="AS764" s="13" t="n">
        <v>0</v>
      </c>
      <c r="AT764" s="13" t="n">
        <v>0</v>
      </c>
    </row>
    <row r="765" customFormat="false" ht="15" hidden="false" customHeight="true" outlineLevel="0" collapsed="false">
      <c r="A765" s="12" t="s">
        <v>2344</v>
      </c>
      <c r="B765" s="12" t="s">
        <v>2345</v>
      </c>
      <c r="C765" s="12" t="n">
        <v>1</v>
      </c>
      <c r="D765" s="12" t="s">
        <v>2346</v>
      </c>
      <c r="E765" s="13" t="n">
        <v>0</v>
      </c>
      <c r="F765" s="13" t="n">
        <v>4999.98642</v>
      </c>
      <c r="G765" s="13" t="n">
        <v>5749.922301</v>
      </c>
      <c r="H765" s="13" t="n">
        <v>5750.016012</v>
      </c>
      <c r="I765" s="13" t="n">
        <v>5699.96175</v>
      </c>
      <c r="J765" s="13" t="n">
        <v>5750.007845</v>
      </c>
      <c r="K765" s="13" t="n">
        <v>6550.030116</v>
      </c>
      <c r="L765" s="13" t="n">
        <v>7100.011478</v>
      </c>
      <c r="M765" s="13" t="n">
        <v>6949.952685</v>
      </c>
      <c r="N765" s="13" t="n">
        <v>7450.076652</v>
      </c>
      <c r="O765" s="13" t="n">
        <v>7500.063215</v>
      </c>
      <c r="P765" s="13" t="n">
        <v>13444.97301</v>
      </c>
      <c r="Q765" s="13" t="n">
        <v>0</v>
      </c>
      <c r="R765" s="13" t="n">
        <v>6352.583766</v>
      </c>
      <c r="S765" s="13" t="n">
        <v>6352.54443</v>
      </c>
      <c r="T765" s="13" t="n">
        <v>6404.93952</v>
      </c>
      <c r="U765" s="13" t="n">
        <v>6509.987435</v>
      </c>
      <c r="V765" s="13" t="n">
        <v>6562.48632</v>
      </c>
      <c r="W765" s="13" t="n">
        <v>6982.461456</v>
      </c>
      <c r="X765" s="13" t="n">
        <v>7507.56228</v>
      </c>
      <c r="Y765" s="13" t="n">
        <v>6457.4672</v>
      </c>
      <c r="Z765" s="13" t="n">
        <v>6772.475776</v>
      </c>
      <c r="AA765" s="13" t="n">
        <v>6720.07143</v>
      </c>
      <c r="AB765" s="13" t="n">
        <v>5932.412218</v>
      </c>
      <c r="AC765" s="13" t="n">
        <v>6401.0804</v>
      </c>
      <c r="AD765" s="13" t="n">
        <v>6674.7136</v>
      </c>
      <c r="AE765" s="13" t="n">
        <v>6674.51988</v>
      </c>
      <c r="AF765" s="13" t="n">
        <v>6510.5458</v>
      </c>
      <c r="AG765" s="13" t="n">
        <v>6510.56626</v>
      </c>
      <c r="AH765" s="13" t="n">
        <v>6729.29205</v>
      </c>
      <c r="AI765" s="13" t="n">
        <v>6948.12308</v>
      </c>
      <c r="AJ765" s="13" t="n">
        <v>6893.44776</v>
      </c>
      <c r="AK765" s="13" t="n">
        <v>7221.6927</v>
      </c>
      <c r="AL765" s="13" t="n">
        <v>7331.140524</v>
      </c>
      <c r="AM765" s="13" t="n">
        <v>7057.584675</v>
      </c>
      <c r="AN765" s="13" t="n">
        <v>7221.733614</v>
      </c>
      <c r="AO765" s="13" t="n">
        <v>7488.28087</v>
      </c>
      <c r="AP765" s="13" t="n">
        <v>7658.55792</v>
      </c>
      <c r="AQ765" s="13" t="n">
        <v>7374.922217</v>
      </c>
      <c r="AR765" s="13" t="n">
        <v>7091.245198</v>
      </c>
      <c r="AS765" s="13" t="n">
        <v>7601.900949</v>
      </c>
      <c r="AT765" s="13" t="n">
        <v>7148.003472</v>
      </c>
    </row>
    <row r="766" customFormat="false" ht="15" hidden="false" customHeight="true" outlineLevel="0" collapsed="false">
      <c r="A766" s="12" t="s">
        <v>2347</v>
      </c>
      <c r="B766" s="12" t="s">
        <v>2348</v>
      </c>
      <c r="C766" s="12" t="n">
        <v>1</v>
      </c>
      <c r="D766" s="12" t="s">
        <v>2349</v>
      </c>
      <c r="E766" s="13" t="n">
        <v>0</v>
      </c>
      <c r="F766" s="13" t="n">
        <v>0</v>
      </c>
      <c r="G766" s="13" t="n">
        <v>0</v>
      </c>
      <c r="H766" s="13" t="n">
        <v>0</v>
      </c>
      <c r="I766" s="13" t="n">
        <v>0</v>
      </c>
      <c r="J766" s="13" t="n">
        <v>0</v>
      </c>
      <c r="K766" s="13" t="n">
        <v>0</v>
      </c>
      <c r="L766" s="13" t="n">
        <v>0</v>
      </c>
      <c r="M766" s="13" t="n">
        <v>0</v>
      </c>
      <c r="N766" s="13" t="n">
        <v>0</v>
      </c>
      <c r="O766" s="13" t="n">
        <v>0</v>
      </c>
      <c r="P766" s="13" t="n">
        <v>0</v>
      </c>
      <c r="Q766" s="13" t="n">
        <v>0</v>
      </c>
      <c r="R766" s="13" t="n">
        <v>0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0</v>
      </c>
      <c r="X766" s="13" t="n">
        <v>0</v>
      </c>
      <c r="Y766" s="13" t="n">
        <v>0</v>
      </c>
      <c r="Z766" s="13" t="n">
        <v>0</v>
      </c>
      <c r="AA766" s="13" t="n">
        <v>0</v>
      </c>
      <c r="AB766" s="13" t="n">
        <v>0</v>
      </c>
      <c r="AC766" s="13" t="n">
        <v>0</v>
      </c>
      <c r="AD766" s="13" t="n">
        <v>79.2458</v>
      </c>
      <c r="AE766" s="13" t="n">
        <v>197.9964</v>
      </c>
      <c r="AF766" s="13" t="n">
        <v>158.4022</v>
      </c>
      <c r="AG766" s="13" t="n">
        <v>158.43658</v>
      </c>
      <c r="AH766" s="13" t="n">
        <v>158.44515</v>
      </c>
      <c r="AI766" s="13" t="n">
        <v>0</v>
      </c>
      <c r="AJ766" s="13" t="n">
        <v>0</v>
      </c>
      <c r="AK766" s="13" t="n">
        <v>0</v>
      </c>
      <c r="AL766" s="13" t="n">
        <v>0</v>
      </c>
      <c r="AM766" s="13" t="n">
        <v>0</v>
      </c>
      <c r="AN766" s="13" t="n">
        <v>0</v>
      </c>
      <c r="AO766" s="13" t="n">
        <v>0</v>
      </c>
      <c r="AP766" s="13" t="n">
        <v>0</v>
      </c>
      <c r="AQ766" s="13" t="n">
        <v>0</v>
      </c>
      <c r="AR766" s="13" t="n">
        <v>0</v>
      </c>
      <c r="AS766" s="13" t="n">
        <v>0</v>
      </c>
      <c r="AT766" s="13" t="n">
        <v>0</v>
      </c>
    </row>
    <row r="767" customFormat="false" ht="15" hidden="false" customHeight="true" outlineLevel="0" collapsed="false">
      <c r="A767" s="12" t="s">
        <v>2350</v>
      </c>
      <c r="B767" s="12" t="s">
        <v>2351</v>
      </c>
      <c r="C767" s="12" t="n">
        <v>1</v>
      </c>
      <c r="D767" s="12" t="s">
        <v>2352</v>
      </c>
      <c r="E767" s="13" t="n">
        <v>0</v>
      </c>
      <c r="F767" s="13" t="n">
        <v>0</v>
      </c>
      <c r="G767" s="13" t="n">
        <v>0</v>
      </c>
      <c r="H767" s="13" t="n">
        <v>0</v>
      </c>
      <c r="I767" s="13" t="n">
        <v>0</v>
      </c>
      <c r="J767" s="13" t="n">
        <v>2225.042455</v>
      </c>
      <c r="K767" s="13" t="n">
        <v>2325.027888</v>
      </c>
      <c r="L767" s="13" t="n">
        <v>2449.95443</v>
      </c>
      <c r="M767" s="13" t="n">
        <v>2425.05387</v>
      </c>
      <c r="N767" s="13" t="n">
        <v>2425.060116</v>
      </c>
      <c r="O767" s="13" t="n">
        <v>2399.985813</v>
      </c>
      <c r="P767" s="13" t="n">
        <v>2449.939023</v>
      </c>
      <c r="Q767" s="13" t="n">
        <v>2598.745248</v>
      </c>
      <c r="R767" s="13" t="n">
        <v>2546.195985</v>
      </c>
      <c r="S767" s="13" t="n">
        <v>2519.945175</v>
      </c>
      <c r="T767" s="13" t="n">
        <v>2572.49664</v>
      </c>
      <c r="U767" s="13" t="n">
        <v>2572.458116</v>
      </c>
      <c r="V767" s="13" t="n">
        <v>2651.340276</v>
      </c>
      <c r="W767" s="13" t="n">
        <v>2703.80768</v>
      </c>
      <c r="X767" s="13" t="n">
        <v>2703.79323</v>
      </c>
      <c r="Y767" s="13" t="n">
        <v>2703.670642</v>
      </c>
      <c r="Z767" s="13" t="n">
        <v>2782.44032</v>
      </c>
      <c r="AA767" s="13" t="n">
        <v>4935.10029</v>
      </c>
      <c r="AB767" s="13" t="n">
        <v>2493.810696</v>
      </c>
      <c r="AC767" s="13" t="n">
        <v>2626.5668</v>
      </c>
      <c r="AD767" s="13" t="n">
        <v>2626.6082</v>
      </c>
      <c r="AE767" s="13" t="n">
        <v>2599.26408</v>
      </c>
      <c r="AF767" s="13" t="n">
        <v>1667.237</v>
      </c>
      <c r="AG767" s="13" t="n">
        <v>0</v>
      </c>
      <c r="AH767" s="13" t="n">
        <v>0</v>
      </c>
      <c r="AI767" s="13" t="n">
        <v>0</v>
      </c>
      <c r="AJ767" s="13" t="n">
        <v>0</v>
      </c>
      <c r="AK767" s="13" t="n">
        <v>0</v>
      </c>
      <c r="AL767" s="13" t="n">
        <v>0</v>
      </c>
      <c r="AM767" s="13" t="n">
        <v>0</v>
      </c>
      <c r="AN767" s="13" t="n">
        <v>0</v>
      </c>
      <c r="AO767" s="13" t="n">
        <v>0</v>
      </c>
      <c r="AP767" s="13" t="n">
        <v>0</v>
      </c>
      <c r="AQ767" s="13" t="n">
        <v>0</v>
      </c>
      <c r="AR767" s="13" t="n">
        <v>0</v>
      </c>
      <c r="AS767" s="13" t="n">
        <v>0</v>
      </c>
      <c r="AT767" s="13" t="n">
        <v>0</v>
      </c>
    </row>
    <row r="768" customFormat="false" ht="15" hidden="false" customHeight="true" outlineLevel="0" collapsed="false">
      <c r="A768" s="12" t="s">
        <v>2353</v>
      </c>
      <c r="B768" s="12" t="s">
        <v>2354</v>
      </c>
      <c r="C768" s="12" t="n">
        <v>1</v>
      </c>
      <c r="D768" s="12" t="s">
        <v>2355</v>
      </c>
      <c r="E768" s="13" t="n">
        <v>0</v>
      </c>
      <c r="F768" s="13" t="n">
        <v>0</v>
      </c>
      <c r="G768" s="13" t="n">
        <v>0</v>
      </c>
      <c r="H768" s="13" t="n">
        <v>0</v>
      </c>
      <c r="I768" s="13" t="n">
        <v>0</v>
      </c>
      <c r="J768" s="13" t="n">
        <v>0</v>
      </c>
      <c r="K768" s="13" t="n">
        <v>0</v>
      </c>
      <c r="L768" s="13" t="n">
        <v>0</v>
      </c>
      <c r="M768" s="13" t="n">
        <v>0</v>
      </c>
      <c r="N768" s="13" t="n">
        <v>0</v>
      </c>
      <c r="O768" s="13" t="n">
        <v>0</v>
      </c>
      <c r="P768" s="13" t="n">
        <v>0</v>
      </c>
      <c r="Q768" s="13" t="n">
        <v>0</v>
      </c>
      <c r="R768" s="13" t="n">
        <v>0</v>
      </c>
      <c r="S768" s="13" t="n">
        <v>0</v>
      </c>
      <c r="T768" s="13" t="n">
        <v>0</v>
      </c>
      <c r="U768" s="13" t="n">
        <v>0</v>
      </c>
      <c r="V768" s="13" t="n">
        <v>0</v>
      </c>
      <c r="W768" s="13" t="n">
        <v>0</v>
      </c>
      <c r="X768" s="13" t="n">
        <v>0</v>
      </c>
      <c r="Y768" s="13" t="n">
        <v>0</v>
      </c>
      <c r="Z768" s="13" t="n">
        <v>0</v>
      </c>
      <c r="AA768" s="13" t="n">
        <v>0</v>
      </c>
      <c r="AB768" s="13" t="n">
        <v>0</v>
      </c>
      <c r="AC768" s="13" t="n">
        <v>0</v>
      </c>
      <c r="AD768" s="13" t="n">
        <v>0</v>
      </c>
      <c r="AE768" s="13" t="n">
        <v>118.79784</v>
      </c>
      <c r="AF768" s="13" t="n">
        <v>118.8506</v>
      </c>
      <c r="AG768" s="13" t="n">
        <v>118.87568</v>
      </c>
      <c r="AH768" s="13" t="n">
        <v>118.78665</v>
      </c>
      <c r="AI768" s="13" t="n">
        <v>118.79704</v>
      </c>
      <c r="AJ768" s="13" t="n">
        <v>118.73043</v>
      </c>
      <c r="AK768" s="13" t="n">
        <v>118.8756</v>
      </c>
      <c r="AL768" s="13" t="n">
        <v>118.796745</v>
      </c>
      <c r="AM768" s="13" t="n">
        <v>118.864584</v>
      </c>
      <c r="AN768" s="13" t="n">
        <v>118.869613</v>
      </c>
      <c r="AO768" s="13" t="n">
        <v>123.095028</v>
      </c>
      <c r="AP768" s="13" t="n">
        <v>0</v>
      </c>
      <c r="AQ768" s="13" t="n">
        <v>0</v>
      </c>
      <c r="AR768" s="13" t="n">
        <v>0</v>
      </c>
      <c r="AS768" s="13" t="n">
        <v>0</v>
      </c>
      <c r="AT768" s="13" t="n">
        <v>0</v>
      </c>
    </row>
    <row r="769" customFormat="false" ht="15" hidden="false" customHeight="true" outlineLevel="0" collapsed="false">
      <c r="A769" s="12" t="s">
        <v>2356</v>
      </c>
      <c r="B769" s="12" t="s">
        <v>2357</v>
      </c>
      <c r="C769" s="12" t="n">
        <v>1</v>
      </c>
      <c r="D769" s="12" t="s">
        <v>2358</v>
      </c>
      <c r="E769" s="13" t="n">
        <v>0</v>
      </c>
      <c r="F769" s="13" t="n">
        <v>0</v>
      </c>
      <c r="G769" s="13" t="n">
        <v>0</v>
      </c>
      <c r="H769" s="13" t="n">
        <v>0</v>
      </c>
      <c r="I769" s="13" t="n">
        <v>0</v>
      </c>
      <c r="J769" s="13" t="n">
        <v>0</v>
      </c>
      <c r="K769" s="13" t="n">
        <v>0</v>
      </c>
      <c r="L769" s="13" t="n">
        <v>0</v>
      </c>
      <c r="M769" s="13" t="n">
        <v>0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0</v>
      </c>
      <c r="W769" s="13" t="n">
        <v>0</v>
      </c>
      <c r="X769" s="13" t="n">
        <v>0</v>
      </c>
      <c r="Y769" s="13" t="n">
        <v>0</v>
      </c>
      <c r="Z769" s="13" t="n">
        <v>0</v>
      </c>
      <c r="AA769" s="13" t="n">
        <v>0</v>
      </c>
      <c r="AB769" s="13" t="n">
        <v>0</v>
      </c>
      <c r="AC769" s="13" t="n">
        <v>0</v>
      </c>
      <c r="AD769" s="13" t="n">
        <v>0</v>
      </c>
      <c r="AE769" s="13" t="n">
        <v>0</v>
      </c>
      <c r="AF769" s="13" t="n">
        <v>0</v>
      </c>
      <c r="AG769" s="13" t="n">
        <v>0</v>
      </c>
      <c r="AH769" s="13" t="n">
        <v>0</v>
      </c>
      <c r="AI769" s="13" t="n">
        <v>0</v>
      </c>
      <c r="AJ769" s="13" t="n">
        <v>0</v>
      </c>
      <c r="AK769" s="13" t="n">
        <v>0</v>
      </c>
      <c r="AL769" s="13" t="n">
        <v>0</v>
      </c>
      <c r="AM769" s="13" t="n">
        <v>0</v>
      </c>
      <c r="AN769" s="13" t="n">
        <v>0</v>
      </c>
      <c r="AO769" s="13" t="n">
        <v>0</v>
      </c>
      <c r="AP769" s="13" t="n">
        <v>0</v>
      </c>
      <c r="AQ769" s="13" t="n">
        <v>0</v>
      </c>
      <c r="AR769" s="13" t="n">
        <v>0</v>
      </c>
      <c r="AS769" s="13" t="n">
        <v>0</v>
      </c>
      <c r="AT769" s="13" t="n">
        <v>4819.94064</v>
      </c>
    </row>
    <row r="770" customFormat="false" ht="15" hidden="false" customHeight="true" outlineLevel="0" collapsed="false">
      <c r="A770" s="12" t="s">
        <v>2359</v>
      </c>
      <c r="B770" s="12" t="s">
        <v>2360</v>
      </c>
      <c r="C770" s="12" t="n">
        <v>1</v>
      </c>
      <c r="D770" s="12" t="s">
        <v>2361</v>
      </c>
      <c r="E770" s="13" t="n">
        <v>0</v>
      </c>
      <c r="F770" s="13" t="n">
        <v>0</v>
      </c>
      <c r="G770" s="13" t="n">
        <v>0</v>
      </c>
      <c r="H770" s="13" t="n">
        <v>0</v>
      </c>
      <c r="I770" s="13" t="n">
        <v>0</v>
      </c>
      <c r="J770" s="13" t="n">
        <v>0</v>
      </c>
      <c r="K770" s="13" t="n">
        <v>0</v>
      </c>
      <c r="L770" s="13" t="n">
        <v>0</v>
      </c>
      <c r="M770" s="13" t="n">
        <v>0</v>
      </c>
      <c r="N770" s="13" t="n">
        <v>0</v>
      </c>
      <c r="O770" s="13" t="n">
        <v>0</v>
      </c>
      <c r="P770" s="13" t="n">
        <v>0</v>
      </c>
      <c r="Q770" s="13" t="n">
        <v>0</v>
      </c>
      <c r="R770" s="13" t="n">
        <v>240.003972</v>
      </c>
      <c r="S770" s="13" t="n">
        <v>240.002655</v>
      </c>
      <c r="T770" s="13" t="n">
        <v>0</v>
      </c>
      <c r="U770" s="13" t="n">
        <v>0</v>
      </c>
      <c r="V770" s="13" t="n">
        <v>0</v>
      </c>
      <c r="W770" s="13" t="n">
        <v>0</v>
      </c>
      <c r="X770" s="13" t="n">
        <v>0</v>
      </c>
      <c r="Y770" s="13" t="n">
        <v>0</v>
      </c>
      <c r="Z770" s="13" t="n">
        <v>0</v>
      </c>
      <c r="AA770" s="13" t="n">
        <v>0</v>
      </c>
      <c r="AB770" s="13" t="n">
        <v>0</v>
      </c>
      <c r="AC770" s="13" t="n">
        <v>0</v>
      </c>
      <c r="AD770" s="13" t="n">
        <v>0</v>
      </c>
      <c r="AE770" s="13" t="n">
        <v>0</v>
      </c>
      <c r="AF770" s="13" t="n">
        <v>0</v>
      </c>
      <c r="AG770" s="13" t="n">
        <v>0</v>
      </c>
      <c r="AH770" s="13" t="n">
        <v>0</v>
      </c>
      <c r="AI770" s="13" t="n">
        <v>0</v>
      </c>
      <c r="AJ770" s="13" t="n">
        <v>0</v>
      </c>
      <c r="AK770" s="13" t="n">
        <v>0</v>
      </c>
      <c r="AL770" s="13" t="n">
        <v>0</v>
      </c>
      <c r="AM770" s="13" t="n">
        <v>0</v>
      </c>
      <c r="AN770" s="13" t="n">
        <v>0</v>
      </c>
      <c r="AO770" s="13" t="n">
        <v>0</v>
      </c>
      <c r="AP770" s="13" t="n">
        <v>0</v>
      </c>
      <c r="AQ770" s="13" t="n">
        <v>0</v>
      </c>
      <c r="AR770" s="13" t="n">
        <v>0</v>
      </c>
      <c r="AS770" s="13" t="n">
        <v>0</v>
      </c>
      <c r="AT770" s="13" t="n">
        <v>0</v>
      </c>
    </row>
    <row r="771" customFormat="false" ht="15" hidden="false" customHeight="true" outlineLevel="0" collapsed="false">
      <c r="A771" s="12" t="s">
        <v>2362</v>
      </c>
      <c r="B771" s="12" t="s">
        <v>2363</v>
      </c>
      <c r="C771" s="12" t="n">
        <v>1</v>
      </c>
      <c r="D771" s="12" t="s">
        <v>2364</v>
      </c>
      <c r="E771" s="13" t="n">
        <v>0</v>
      </c>
      <c r="F771" s="13" t="n">
        <v>0</v>
      </c>
      <c r="G771" s="13" t="n">
        <v>0</v>
      </c>
      <c r="H771" s="13" t="n">
        <v>0</v>
      </c>
      <c r="I771" s="13" t="n">
        <v>0</v>
      </c>
      <c r="J771" s="13" t="n">
        <v>0</v>
      </c>
      <c r="K771" s="13" t="n">
        <v>0</v>
      </c>
      <c r="L771" s="13" t="n">
        <v>0</v>
      </c>
      <c r="M771" s="13" t="n">
        <v>0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  <c r="V771" s="13" t="n">
        <v>0</v>
      </c>
      <c r="W771" s="13" t="n">
        <v>0</v>
      </c>
      <c r="X771" s="13" t="n">
        <v>0</v>
      </c>
      <c r="Y771" s="13" t="n">
        <v>0</v>
      </c>
      <c r="Z771" s="13" t="n">
        <v>0</v>
      </c>
      <c r="AA771" s="13" t="n">
        <v>0</v>
      </c>
      <c r="AB771" s="13" t="n">
        <v>0</v>
      </c>
      <c r="AC771" s="13" t="n">
        <v>2223.1</v>
      </c>
      <c r="AD771" s="13" t="n">
        <v>2222.9884</v>
      </c>
      <c r="AE771" s="13" t="n">
        <v>2223.07092</v>
      </c>
      <c r="AF771" s="13" t="n">
        <v>2280.091</v>
      </c>
      <c r="AG771" s="13" t="n">
        <v>2222.93662</v>
      </c>
      <c r="AH771" s="13" t="n">
        <v>2222.95335</v>
      </c>
      <c r="AI771" s="13" t="n">
        <v>1994.92561</v>
      </c>
      <c r="AJ771" s="13" t="n">
        <v>1938.08322</v>
      </c>
      <c r="AK771" s="13" t="n">
        <v>1937.9658</v>
      </c>
      <c r="AL771" s="13" t="n">
        <v>1937.952482</v>
      </c>
      <c r="AM771" s="13" t="n">
        <v>2610.068157</v>
      </c>
      <c r="AN771" s="13" t="n">
        <v>2439.074979</v>
      </c>
      <c r="AO771" s="13" t="n">
        <v>2496.036156</v>
      </c>
      <c r="AP771" s="13" t="n">
        <v>2496.0804</v>
      </c>
      <c r="AQ771" s="13" t="n">
        <v>2552.948227</v>
      </c>
      <c r="AR771" s="13" t="n">
        <v>2609.988028</v>
      </c>
      <c r="AS771" s="13" t="n">
        <v>2667.078576</v>
      </c>
      <c r="AT771" s="13" t="n">
        <v>2723.949024</v>
      </c>
    </row>
    <row r="772" customFormat="false" ht="15" hidden="false" customHeight="true" outlineLevel="0" collapsed="false">
      <c r="A772" s="12" t="s">
        <v>2365</v>
      </c>
      <c r="B772" s="12" t="s">
        <v>2366</v>
      </c>
      <c r="C772" s="12" t="n">
        <v>1</v>
      </c>
      <c r="D772" s="12" t="s">
        <v>2367</v>
      </c>
      <c r="E772" s="13" t="n">
        <v>0</v>
      </c>
      <c r="F772" s="13" t="n">
        <v>0</v>
      </c>
      <c r="G772" s="13" t="n">
        <v>0</v>
      </c>
      <c r="H772" s="13" t="n">
        <v>0</v>
      </c>
      <c r="I772" s="13" t="n">
        <v>0</v>
      </c>
      <c r="J772" s="13" t="n">
        <v>0</v>
      </c>
      <c r="K772" s="13" t="n">
        <v>0</v>
      </c>
      <c r="L772" s="13" t="n">
        <v>0</v>
      </c>
      <c r="M772" s="13" t="n">
        <v>0</v>
      </c>
      <c r="N772" s="13" t="n">
        <v>0</v>
      </c>
      <c r="O772" s="13" t="n">
        <v>0</v>
      </c>
      <c r="P772" s="13" t="n">
        <v>0</v>
      </c>
      <c r="Q772" s="13" t="n">
        <v>0</v>
      </c>
      <c r="R772" s="13" t="n">
        <v>0</v>
      </c>
      <c r="S772" s="13" t="n">
        <v>0</v>
      </c>
      <c r="T772" s="13" t="n">
        <v>0</v>
      </c>
      <c r="U772" s="13" t="n">
        <v>0</v>
      </c>
      <c r="V772" s="13" t="n">
        <v>0</v>
      </c>
      <c r="W772" s="13" t="n">
        <v>0</v>
      </c>
      <c r="X772" s="13" t="n">
        <v>0</v>
      </c>
      <c r="Y772" s="13" t="n">
        <v>0</v>
      </c>
      <c r="Z772" s="13" t="n">
        <v>0</v>
      </c>
      <c r="AA772" s="13" t="n">
        <v>0</v>
      </c>
      <c r="AB772" s="13" t="n">
        <v>0</v>
      </c>
      <c r="AC772" s="13" t="n">
        <v>0</v>
      </c>
      <c r="AD772" s="13" t="n">
        <v>0</v>
      </c>
      <c r="AE772" s="13" t="n">
        <v>0</v>
      </c>
      <c r="AF772" s="13" t="n">
        <v>0</v>
      </c>
      <c r="AG772" s="13" t="n">
        <v>0</v>
      </c>
      <c r="AH772" s="13" t="n">
        <v>0</v>
      </c>
      <c r="AI772" s="13" t="n">
        <v>0</v>
      </c>
      <c r="AJ772" s="13" t="n">
        <v>0</v>
      </c>
      <c r="AK772" s="13" t="n">
        <v>8803.21515</v>
      </c>
      <c r="AL772" s="13" t="n">
        <v>8363.106667</v>
      </c>
      <c r="AM772" s="13" t="n">
        <v>8418.107236</v>
      </c>
      <c r="AN772" s="13" t="n">
        <v>7647.757991</v>
      </c>
      <c r="AO772" s="13" t="n">
        <v>8215.127702</v>
      </c>
      <c r="AP772" s="13" t="n">
        <v>8557.42296</v>
      </c>
      <c r="AQ772" s="13" t="n">
        <v>8215.28201</v>
      </c>
      <c r="AR772" s="13" t="n">
        <v>7530.687328</v>
      </c>
      <c r="AS772" s="13" t="n">
        <v>7644.655908</v>
      </c>
      <c r="AT772" s="13" t="n">
        <v>7245.312368</v>
      </c>
    </row>
    <row r="773" customFormat="false" ht="15" hidden="false" customHeight="true" outlineLevel="0" collapsed="false">
      <c r="A773" s="12" t="s">
        <v>2368</v>
      </c>
      <c r="B773" s="12" t="s">
        <v>2369</v>
      </c>
      <c r="C773" s="12" t="n">
        <v>1</v>
      </c>
      <c r="D773" s="12" t="s">
        <v>2370</v>
      </c>
      <c r="E773" s="13" t="n">
        <v>0</v>
      </c>
      <c r="F773" s="13" t="n">
        <v>0</v>
      </c>
      <c r="G773" s="13" t="n">
        <v>0</v>
      </c>
      <c r="H773" s="13" t="n">
        <v>0</v>
      </c>
      <c r="I773" s="13" t="n">
        <v>0</v>
      </c>
      <c r="J773" s="13" t="n">
        <v>0</v>
      </c>
      <c r="K773" s="13" t="n">
        <v>0</v>
      </c>
      <c r="L773" s="13" t="n">
        <v>0</v>
      </c>
      <c r="M773" s="13" t="n">
        <v>0</v>
      </c>
      <c r="N773" s="13" t="n">
        <v>0</v>
      </c>
      <c r="O773" s="13" t="n">
        <v>0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0</v>
      </c>
      <c r="W773" s="13" t="n">
        <v>0</v>
      </c>
      <c r="X773" s="13" t="n">
        <v>0</v>
      </c>
      <c r="Y773" s="13" t="n">
        <v>0</v>
      </c>
      <c r="Z773" s="13" t="n">
        <v>0</v>
      </c>
      <c r="AA773" s="13" t="n">
        <v>0</v>
      </c>
      <c r="AB773" s="13" t="n">
        <v>0</v>
      </c>
      <c r="AC773" s="13" t="n">
        <v>0</v>
      </c>
      <c r="AD773" s="13" t="n">
        <v>0</v>
      </c>
      <c r="AE773" s="13" t="n">
        <v>0</v>
      </c>
      <c r="AF773" s="13" t="n">
        <v>0</v>
      </c>
      <c r="AG773" s="13" t="n">
        <v>0</v>
      </c>
      <c r="AH773" s="13" t="n">
        <v>0</v>
      </c>
      <c r="AI773" s="13" t="n">
        <v>0</v>
      </c>
      <c r="AJ773" s="13" t="n">
        <v>0</v>
      </c>
      <c r="AK773" s="13" t="n">
        <v>0</v>
      </c>
      <c r="AL773" s="13" t="n">
        <v>0</v>
      </c>
      <c r="AM773" s="13" t="n">
        <v>0</v>
      </c>
      <c r="AN773" s="13" t="n">
        <v>0</v>
      </c>
      <c r="AO773" s="13" t="n">
        <v>1049.92818</v>
      </c>
      <c r="AP773" s="13" t="n">
        <v>1329.91992</v>
      </c>
      <c r="AQ773" s="13" t="n">
        <v>1364.928274</v>
      </c>
      <c r="AR773" s="13" t="n">
        <v>1155.004784</v>
      </c>
      <c r="AS773" s="13" t="n">
        <v>1259.973063</v>
      </c>
      <c r="AT773" s="13" t="n">
        <v>1154.930584</v>
      </c>
    </row>
    <row r="774" customFormat="false" ht="15" hidden="false" customHeight="true" outlineLevel="0" collapsed="false">
      <c r="A774" s="12" t="s">
        <v>2371</v>
      </c>
      <c r="B774" s="12" t="s">
        <v>2372</v>
      </c>
      <c r="C774" s="12" t="n">
        <v>1</v>
      </c>
      <c r="D774" s="12" t="s">
        <v>2373</v>
      </c>
      <c r="E774" s="13" t="n">
        <v>0</v>
      </c>
      <c r="F774" s="13" t="n">
        <v>0</v>
      </c>
      <c r="G774" s="13" t="n">
        <v>0</v>
      </c>
      <c r="H774" s="13" t="n">
        <v>0</v>
      </c>
      <c r="I774" s="13" t="n">
        <v>0</v>
      </c>
      <c r="J774" s="13" t="n">
        <v>0</v>
      </c>
      <c r="K774" s="13" t="n">
        <v>0</v>
      </c>
      <c r="L774" s="13" t="n">
        <v>0</v>
      </c>
      <c r="M774" s="13" t="n">
        <v>0</v>
      </c>
      <c r="N774" s="13" t="n">
        <v>0</v>
      </c>
      <c r="O774" s="13" t="n">
        <v>0</v>
      </c>
      <c r="P774" s="13" t="n">
        <v>0</v>
      </c>
      <c r="Q774" s="13" t="n">
        <v>0</v>
      </c>
      <c r="R774" s="13" t="n">
        <v>0</v>
      </c>
      <c r="S774" s="13" t="n">
        <v>0</v>
      </c>
      <c r="T774" s="13" t="n">
        <v>0</v>
      </c>
      <c r="U774" s="13" t="n">
        <v>0</v>
      </c>
      <c r="V774" s="13" t="n">
        <v>2400.042372</v>
      </c>
      <c r="W774" s="13" t="n">
        <v>2049.981232</v>
      </c>
      <c r="X774" s="13" t="n">
        <v>4075.0239</v>
      </c>
      <c r="Y774" s="13" t="n">
        <v>4050.091928</v>
      </c>
      <c r="Z774" s="13" t="n">
        <v>4224.979264</v>
      </c>
      <c r="AA774" s="13" t="n">
        <v>4299.97221</v>
      </c>
      <c r="AB774" s="13" t="n">
        <v>4549.92969</v>
      </c>
      <c r="AC774" s="13" t="n">
        <v>4636.8696</v>
      </c>
      <c r="AD774" s="13" t="n">
        <v>4428.5263</v>
      </c>
      <c r="AE774" s="13" t="n">
        <v>4532.68872</v>
      </c>
      <c r="AF774" s="13" t="n">
        <v>4558.8114</v>
      </c>
      <c r="AG774" s="13" t="n">
        <v>4662.97574</v>
      </c>
      <c r="AH774" s="13" t="n">
        <v>4662.89535</v>
      </c>
      <c r="AI774" s="13" t="n">
        <v>4975.5659</v>
      </c>
      <c r="AJ774" s="13" t="n">
        <v>4975.49466</v>
      </c>
      <c r="AK774" s="13" t="n">
        <v>5001.5808</v>
      </c>
      <c r="AL774" s="13" t="n">
        <v>4949.496013</v>
      </c>
      <c r="AM774" s="13" t="n">
        <v>5105.857555</v>
      </c>
      <c r="AN774" s="13" t="n">
        <v>5157.970106</v>
      </c>
      <c r="AO774" s="13" t="n">
        <v>5347.91004</v>
      </c>
      <c r="AP774" s="13" t="n">
        <v>7291.00512</v>
      </c>
      <c r="AQ774" s="13" t="n">
        <v>5384.024582</v>
      </c>
      <c r="AR774" s="13" t="n">
        <v>7401.924644</v>
      </c>
      <c r="AS774" s="13" t="n">
        <v>7698.142881</v>
      </c>
      <c r="AT774" s="13" t="n">
        <v>7316.193848</v>
      </c>
    </row>
    <row r="775" customFormat="false" ht="15" hidden="false" customHeight="true" outlineLevel="0" collapsed="false">
      <c r="A775" s="12" t="s">
        <v>2374</v>
      </c>
      <c r="B775" s="12" t="s">
        <v>2375</v>
      </c>
      <c r="C775" s="12" t="n">
        <v>1</v>
      </c>
      <c r="D775" s="12" t="s">
        <v>2376</v>
      </c>
      <c r="E775" s="13" t="n">
        <v>0</v>
      </c>
      <c r="F775" s="13" t="n">
        <v>0</v>
      </c>
      <c r="G775" s="13" t="n">
        <v>0</v>
      </c>
      <c r="H775" s="13" t="n">
        <v>0</v>
      </c>
      <c r="I775" s="13" t="n">
        <v>0</v>
      </c>
      <c r="J775" s="13" t="n">
        <v>0</v>
      </c>
      <c r="K775" s="13" t="n">
        <v>0</v>
      </c>
      <c r="L775" s="13" t="n">
        <v>0</v>
      </c>
      <c r="M775" s="13" t="n">
        <v>0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0</v>
      </c>
      <c r="V775" s="13" t="n">
        <v>0</v>
      </c>
      <c r="W775" s="13" t="n">
        <v>0</v>
      </c>
      <c r="X775" s="13" t="n">
        <v>0</v>
      </c>
      <c r="Y775" s="13" t="n">
        <v>0</v>
      </c>
      <c r="Z775" s="13" t="n">
        <v>0</v>
      </c>
      <c r="AA775" s="13" t="n">
        <v>0</v>
      </c>
      <c r="AB775" s="13" t="n">
        <v>0</v>
      </c>
      <c r="AC775" s="13" t="n">
        <v>0</v>
      </c>
      <c r="AD775" s="13" t="n">
        <v>0</v>
      </c>
      <c r="AE775" s="13" t="n">
        <v>0</v>
      </c>
      <c r="AF775" s="13" t="n">
        <v>0</v>
      </c>
      <c r="AG775" s="13" t="n">
        <v>0</v>
      </c>
      <c r="AH775" s="13" t="n">
        <v>0</v>
      </c>
      <c r="AI775" s="13" t="n">
        <v>0</v>
      </c>
      <c r="AJ775" s="13" t="n">
        <v>0</v>
      </c>
      <c r="AK775" s="13" t="n">
        <v>0</v>
      </c>
      <c r="AL775" s="13" t="n">
        <v>0</v>
      </c>
      <c r="AM775" s="13" t="n">
        <v>0</v>
      </c>
      <c r="AN775" s="13" t="n">
        <v>0</v>
      </c>
      <c r="AO775" s="13" t="n">
        <v>0</v>
      </c>
      <c r="AP775" s="13" t="n">
        <v>0</v>
      </c>
      <c r="AQ775" s="13" t="n">
        <v>0</v>
      </c>
      <c r="AR775" s="13" t="n">
        <v>0</v>
      </c>
      <c r="AS775" s="13" t="n">
        <v>0</v>
      </c>
      <c r="AT775" s="13" t="n">
        <v>2069.914232</v>
      </c>
    </row>
    <row r="776" customFormat="false" ht="15" hidden="false" customHeight="true" outlineLevel="0" collapsed="false">
      <c r="A776" s="12" t="s">
        <v>2377</v>
      </c>
      <c r="B776" s="12" t="s">
        <v>2378</v>
      </c>
      <c r="C776" s="12" t="n">
        <v>1</v>
      </c>
      <c r="D776" s="12" t="s">
        <v>2379</v>
      </c>
      <c r="E776" s="13" t="n">
        <v>0</v>
      </c>
      <c r="F776" s="13" t="n">
        <v>0</v>
      </c>
      <c r="G776" s="13" t="n">
        <v>0</v>
      </c>
      <c r="H776" s="13" t="n">
        <v>0</v>
      </c>
      <c r="I776" s="13" t="n">
        <v>0</v>
      </c>
      <c r="J776" s="13" t="n">
        <v>0</v>
      </c>
      <c r="K776" s="13" t="n">
        <v>0</v>
      </c>
      <c r="L776" s="13" t="n">
        <v>0</v>
      </c>
      <c r="M776" s="13" t="n">
        <v>0</v>
      </c>
      <c r="N776" s="13" t="n">
        <v>0</v>
      </c>
      <c r="O776" s="13" t="n">
        <v>0</v>
      </c>
      <c r="P776" s="13" t="n">
        <v>0</v>
      </c>
      <c r="Q776" s="13" t="n">
        <v>0</v>
      </c>
      <c r="R776" s="13" t="n">
        <v>0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0</v>
      </c>
      <c r="X776" s="13" t="n">
        <v>0</v>
      </c>
      <c r="Y776" s="13" t="n">
        <v>603.41881</v>
      </c>
      <c r="Z776" s="13" t="n">
        <v>0</v>
      </c>
      <c r="AA776" s="13" t="n">
        <v>0</v>
      </c>
      <c r="AB776" s="13" t="n">
        <v>0</v>
      </c>
      <c r="AC776" s="13" t="n">
        <v>0</v>
      </c>
      <c r="AD776" s="13" t="n">
        <v>0</v>
      </c>
      <c r="AE776" s="13" t="n">
        <v>0</v>
      </c>
      <c r="AF776" s="13" t="n">
        <v>0</v>
      </c>
      <c r="AG776" s="13" t="n">
        <v>0</v>
      </c>
      <c r="AH776" s="13" t="n">
        <v>0</v>
      </c>
      <c r="AI776" s="13" t="n">
        <v>12659.96747</v>
      </c>
      <c r="AJ776" s="13" t="n">
        <v>0</v>
      </c>
      <c r="AK776" s="13" t="n">
        <v>0</v>
      </c>
      <c r="AL776" s="13" t="n">
        <v>0</v>
      </c>
      <c r="AM776" s="13" t="n">
        <v>0</v>
      </c>
      <c r="AN776" s="13" t="n">
        <v>0</v>
      </c>
      <c r="AO776" s="13" t="n">
        <v>0</v>
      </c>
      <c r="AP776" s="13" t="n">
        <v>2364.9348</v>
      </c>
      <c r="AQ776" s="13" t="n">
        <v>2364.994453</v>
      </c>
      <c r="AR776" s="13" t="n">
        <v>2545.080408</v>
      </c>
      <c r="AS776" s="13" t="n">
        <v>2365.024311</v>
      </c>
      <c r="AT776" s="13" t="n">
        <v>2499.928544</v>
      </c>
    </row>
    <row r="777" customFormat="false" ht="15" hidden="false" customHeight="true" outlineLevel="0" collapsed="false">
      <c r="A777" s="12" t="s">
        <v>2380</v>
      </c>
      <c r="B777" s="12" t="s">
        <v>2381</v>
      </c>
      <c r="C777" s="12" t="n">
        <v>1</v>
      </c>
      <c r="D777" s="12" t="s">
        <v>2382</v>
      </c>
      <c r="E777" s="13" t="n">
        <v>0</v>
      </c>
      <c r="F777" s="13" t="n">
        <v>0</v>
      </c>
      <c r="G777" s="13" t="n">
        <v>0</v>
      </c>
      <c r="H777" s="13" t="n">
        <v>0</v>
      </c>
      <c r="I777" s="13" t="n">
        <v>0</v>
      </c>
      <c r="J777" s="13" t="n">
        <v>0</v>
      </c>
      <c r="K777" s="13" t="n">
        <v>0</v>
      </c>
      <c r="L777" s="13" t="n">
        <v>0</v>
      </c>
      <c r="M777" s="13" t="n">
        <v>0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0</v>
      </c>
      <c r="V777" s="13" t="n">
        <v>3279.4008</v>
      </c>
      <c r="W777" s="13" t="n">
        <v>5185.798128</v>
      </c>
      <c r="X777" s="13" t="n">
        <v>5018.724082</v>
      </c>
      <c r="Y777" s="13" t="n">
        <v>6410.808062</v>
      </c>
      <c r="Z777" s="13" t="n">
        <v>5594.549312</v>
      </c>
      <c r="AA777" s="13" t="n">
        <v>5399.60913</v>
      </c>
      <c r="AB777" s="13" t="n">
        <v>5596.504578</v>
      </c>
      <c r="AC777" s="13" t="n">
        <v>2841.6388</v>
      </c>
      <c r="AD777" s="13" t="n">
        <v>0</v>
      </c>
      <c r="AE777" s="13" t="n">
        <v>0</v>
      </c>
      <c r="AF777" s="13" t="n">
        <v>0</v>
      </c>
      <c r="AG777" s="13" t="n">
        <v>0</v>
      </c>
      <c r="AH777" s="13" t="n">
        <v>0</v>
      </c>
      <c r="AI777" s="13" t="n">
        <v>0</v>
      </c>
      <c r="AJ777" s="13" t="n">
        <v>0</v>
      </c>
      <c r="AK777" s="13" t="n">
        <v>0</v>
      </c>
      <c r="AL777" s="13" t="n">
        <v>0</v>
      </c>
      <c r="AM777" s="13" t="n">
        <v>0</v>
      </c>
      <c r="AN777" s="13" t="n">
        <v>0</v>
      </c>
      <c r="AO777" s="13" t="n">
        <v>0</v>
      </c>
      <c r="AP777" s="13" t="n">
        <v>0</v>
      </c>
      <c r="AQ777" s="13" t="n">
        <v>0</v>
      </c>
      <c r="AR777" s="13" t="n">
        <v>0</v>
      </c>
      <c r="AS777" s="13" t="n">
        <v>0</v>
      </c>
      <c r="AT777" s="13" t="n">
        <v>0</v>
      </c>
    </row>
    <row r="778" customFormat="false" ht="15" hidden="false" customHeight="true" outlineLevel="0" collapsed="false">
      <c r="A778" s="12" t="s">
        <v>2383</v>
      </c>
      <c r="B778" s="12" t="s">
        <v>2384</v>
      </c>
      <c r="C778" s="12" t="n">
        <v>1</v>
      </c>
      <c r="D778" s="12" t="s">
        <v>2385</v>
      </c>
      <c r="E778" s="13" t="n">
        <v>0</v>
      </c>
      <c r="F778" s="13" t="n">
        <v>0</v>
      </c>
      <c r="G778" s="13" t="n">
        <v>0</v>
      </c>
      <c r="H778" s="13" t="n">
        <v>0</v>
      </c>
      <c r="I778" s="13" t="n">
        <v>0</v>
      </c>
      <c r="J778" s="13" t="n">
        <v>0</v>
      </c>
      <c r="K778" s="13" t="n">
        <v>0</v>
      </c>
      <c r="L778" s="13" t="n">
        <v>0</v>
      </c>
      <c r="M778" s="13" t="n">
        <v>0</v>
      </c>
      <c r="N778" s="13" t="n">
        <v>0</v>
      </c>
      <c r="O778" s="13" t="n">
        <v>0</v>
      </c>
      <c r="P778" s="13" t="n">
        <v>0</v>
      </c>
      <c r="Q778" s="13" t="n">
        <v>0</v>
      </c>
      <c r="R778" s="13" t="n">
        <v>0</v>
      </c>
      <c r="S778" s="13" t="n">
        <v>4589.98875</v>
      </c>
      <c r="T778" s="13" t="n">
        <v>9690.0608</v>
      </c>
      <c r="U778" s="13" t="n">
        <v>9350.000185</v>
      </c>
      <c r="V778" s="13" t="n">
        <v>11168.939028</v>
      </c>
      <c r="W778" s="13" t="n">
        <v>11083.923952</v>
      </c>
      <c r="X778" s="13" t="n">
        <v>8636.076198</v>
      </c>
      <c r="Y778" s="13" t="n">
        <v>8023.993618</v>
      </c>
      <c r="Z778" s="13" t="n">
        <v>7394.916496</v>
      </c>
      <c r="AA778" s="13" t="n">
        <v>6884.97615</v>
      </c>
      <c r="AB778" s="13" t="n">
        <v>7225.04957</v>
      </c>
      <c r="AC778" s="13" t="n">
        <v>7194.3652</v>
      </c>
      <c r="AD778" s="13" t="n">
        <v>7141.1552</v>
      </c>
      <c r="AE778" s="13" t="n">
        <v>8682.85656</v>
      </c>
      <c r="AF778" s="13" t="n">
        <v>10064.9032</v>
      </c>
      <c r="AG778" s="13" t="n">
        <v>8168.8434</v>
      </c>
      <c r="AH778" s="13" t="n">
        <v>7814.613</v>
      </c>
      <c r="AI778" s="13" t="n">
        <v>7247.55929</v>
      </c>
      <c r="AJ778" s="13" t="n">
        <v>7088.03892</v>
      </c>
      <c r="AK778" s="13" t="n">
        <v>6379.2903</v>
      </c>
      <c r="AL778" s="13" t="n">
        <v>5936.15363</v>
      </c>
      <c r="AM778" s="13" t="n">
        <v>5794.465037</v>
      </c>
      <c r="AN778" s="13" t="n">
        <v>5191.958543</v>
      </c>
      <c r="AO778" s="13" t="n">
        <v>5106.892044</v>
      </c>
      <c r="AP778" s="13" t="n">
        <v>4243.42296</v>
      </c>
      <c r="AQ778" s="13" t="n">
        <v>3582.167159</v>
      </c>
      <c r="AR778" s="13" t="n">
        <v>2039.151824</v>
      </c>
      <c r="AS778" s="13" t="n">
        <v>716.448483</v>
      </c>
      <c r="AT778" s="13" t="n">
        <v>587.878744</v>
      </c>
    </row>
    <row r="779" customFormat="false" ht="15" hidden="false" customHeight="true" outlineLevel="0" collapsed="false">
      <c r="A779" s="12" t="s">
        <v>2386</v>
      </c>
      <c r="B779" s="12" t="s">
        <v>2387</v>
      </c>
      <c r="C779" s="12" t="n">
        <v>1</v>
      </c>
      <c r="D779" s="12" t="s">
        <v>2388</v>
      </c>
      <c r="E779" s="13" t="n">
        <v>0</v>
      </c>
      <c r="F779" s="13" t="n">
        <v>0</v>
      </c>
      <c r="G779" s="13" t="n">
        <v>0</v>
      </c>
      <c r="H779" s="13" t="n">
        <v>0</v>
      </c>
      <c r="I779" s="13" t="n">
        <v>0</v>
      </c>
      <c r="J779" s="13" t="n">
        <v>0</v>
      </c>
      <c r="K779" s="13" t="n">
        <v>0</v>
      </c>
      <c r="L779" s="13" t="n">
        <v>0</v>
      </c>
      <c r="M779" s="13" t="n">
        <v>0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  <c r="X779" s="13" t="n">
        <v>0</v>
      </c>
      <c r="Y779" s="13" t="n">
        <v>0</v>
      </c>
      <c r="Z779" s="13" t="n">
        <v>0</v>
      </c>
      <c r="AA779" s="13" t="n">
        <v>0</v>
      </c>
      <c r="AB779" s="13" t="n">
        <v>0</v>
      </c>
      <c r="AC779" s="13" t="n">
        <v>0</v>
      </c>
      <c r="AD779" s="13" t="n">
        <v>0</v>
      </c>
      <c r="AE779" s="13" t="n">
        <v>0</v>
      </c>
      <c r="AF779" s="13" t="n">
        <v>0</v>
      </c>
      <c r="AG779" s="13" t="n">
        <v>0</v>
      </c>
      <c r="AH779" s="13" t="n">
        <v>0</v>
      </c>
      <c r="AI779" s="13" t="n">
        <v>0</v>
      </c>
      <c r="AJ779" s="13" t="n">
        <v>0</v>
      </c>
      <c r="AK779" s="13" t="n">
        <v>0</v>
      </c>
      <c r="AL779" s="13" t="n">
        <v>0</v>
      </c>
      <c r="AM779" s="13" t="n">
        <v>0</v>
      </c>
      <c r="AN779" s="13" t="n">
        <v>2949.980532</v>
      </c>
      <c r="AO779" s="13" t="n">
        <v>2365.010636</v>
      </c>
      <c r="AP779" s="13" t="n">
        <v>0</v>
      </c>
      <c r="AQ779" s="13" t="n">
        <v>0</v>
      </c>
      <c r="AR779" s="13" t="n">
        <v>0</v>
      </c>
      <c r="AS779" s="13" t="n">
        <v>0</v>
      </c>
      <c r="AT779" s="13" t="n">
        <v>0</v>
      </c>
    </row>
    <row r="780" customFormat="false" ht="15" hidden="false" customHeight="true" outlineLevel="0" collapsed="false">
      <c r="A780" s="12" t="s">
        <v>2389</v>
      </c>
      <c r="B780" s="12" t="s">
        <v>2390</v>
      </c>
      <c r="C780" s="12" t="n">
        <v>1</v>
      </c>
      <c r="D780" s="12" t="s">
        <v>2391</v>
      </c>
      <c r="E780" s="13" t="n">
        <v>0</v>
      </c>
      <c r="F780" s="13" t="n">
        <v>0</v>
      </c>
      <c r="G780" s="13" t="n">
        <v>0</v>
      </c>
      <c r="H780" s="13" t="n">
        <v>0</v>
      </c>
      <c r="I780" s="13" t="n">
        <v>0</v>
      </c>
      <c r="J780" s="13" t="n">
        <v>0</v>
      </c>
      <c r="K780" s="13" t="n">
        <v>0</v>
      </c>
      <c r="L780" s="13" t="n">
        <v>0</v>
      </c>
      <c r="M780" s="13" t="n">
        <v>0</v>
      </c>
      <c r="N780" s="13" t="n">
        <v>0</v>
      </c>
      <c r="O780" s="13" t="n">
        <v>0</v>
      </c>
      <c r="P780" s="13" t="n">
        <v>0</v>
      </c>
      <c r="Q780" s="13" t="n">
        <v>0</v>
      </c>
      <c r="R780" s="13" t="n">
        <v>0</v>
      </c>
      <c r="S780" s="13" t="n">
        <v>0</v>
      </c>
      <c r="T780" s="13" t="n">
        <v>0</v>
      </c>
      <c r="U780" s="13" t="n">
        <v>0</v>
      </c>
      <c r="V780" s="13" t="n">
        <v>0</v>
      </c>
      <c r="W780" s="13" t="n">
        <v>0</v>
      </c>
      <c r="X780" s="13" t="n">
        <v>0</v>
      </c>
      <c r="Y780" s="13" t="n">
        <v>0</v>
      </c>
      <c r="Z780" s="13" t="n">
        <v>0</v>
      </c>
      <c r="AA780" s="13" t="n">
        <v>0</v>
      </c>
      <c r="AB780" s="13" t="n">
        <v>0</v>
      </c>
      <c r="AC780" s="13" t="n">
        <v>0</v>
      </c>
      <c r="AD780" s="13" t="n">
        <v>0</v>
      </c>
      <c r="AE780" s="13" t="n">
        <v>0</v>
      </c>
      <c r="AF780" s="13" t="n">
        <v>0</v>
      </c>
      <c r="AG780" s="13" t="n">
        <v>0</v>
      </c>
      <c r="AH780" s="13" t="n">
        <v>0</v>
      </c>
      <c r="AI780" s="13" t="n">
        <v>0</v>
      </c>
      <c r="AJ780" s="13" t="n">
        <v>0</v>
      </c>
      <c r="AK780" s="13" t="n">
        <v>0</v>
      </c>
      <c r="AL780" s="13" t="n">
        <v>0</v>
      </c>
      <c r="AM780" s="13" t="n">
        <v>0</v>
      </c>
      <c r="AN780" s="13" t="n">
        <v>0</v>
      </c>
      <c r="AO780" s="13" t="n">
        <v>0</v>
      </c>
      <c r="AP780" s="13" t="n">
        <v>0</v>
      </c>
      <c r="AQ780" s="13" t="n">
        <v>0</v>
      </c>
      <c r="AR780" s="13" t="n">
        <v>0</v>
      </c>
      <c r="AS780" s="13" t="n">
        <v>0</v>
      </c>
      <c r="AT780" s="13" t="n">
        <v>1494.986672</v>
      </c>
    </row>
    <row r="781" customFormat="false" ht="15" hidden="false" customHeight="true" outlineLevel="0" collapsed="false">
      <c r="A781" s="12" t="s">
        <v>2392</v>
      </c>
      <c r="B781" s="12" t="s">
        <v>2393</v>
      </c>
      <c r="C781" s="12" t="n">
        <v>1</v>
      </c>
      <c r="D781" s="12" t="s">
        <v>2394</v>
      </c>
      <c r="E781" s="13" t="n">
        <v>18352.613016</v>
      </c>
      <c r="F781" s="13" t="n">
        <v>17941.798896</v>
      </c>
      <c r="G781" s="13" t="n">
        <v>15408.061378</v>
      </c>
      <c r="H781" s="13" t="n">
        <v>15339.569319</v>
      </c>
      <c r="I781" s="13" t="n">
        <v>15818.851986</v>
      </c>
      <c r="J781" s="13" t="n">
        <v>15407.995615</v>
      </c>
      <c r="K781" s="13" t="n">
        <v>15476.488392</v>
      </c>
      <c r="L781" s="13" t="n">
        <v>15407.919149</v>
      </c>
      <c r="M781" s="13" t="n">
        <v>15408.02871</v>
      </c>
      <c r="N781" s="13" t="n">
        <v>15544.993086</v>
      </c>
      <c r="O781" s="13" t="n">
        <v>15544.928544</v>
      </c>
      <c r="P781" s="13" t="n">
        <v>15545.041589</v>
      </c>
      <c r="Q781" s="13" t="n">
        <v>15544.912527</v>
      </c>
      <c r="R781" s="13" t="n">
        <v>0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0</v>
      </c>
      <c r="X781" s="13" t="n">
        <v>0</v>
      </c>
      <c r="Y781" s="13" t="n">
        <v>0</v>
      </c>
      <c r="Z781" s="13" t="n">
        <v>0</v>
      </c>
      <c r="AA781" s="13" t="n">
        <v>0</v>
      </c>
      <c r="AB781" s="13" t="n">
        <v>0</v>
      </c>
      <c r="AC781" s="13" t="n">
        <v>0</v>
      </c>
      <c r="AD781" s="13" t="n">
        <v>0</v>
      </c>
      <c r="AE781" s="13" t="n">
        <v>0</v>
      </c>
      <c r="AF781" s="13" t="n">
        <v>0</v>
      </c>
      <c r="AG781" s="13" t="n">
        <v>0</v>
      </c>
      <c r="AH781" s="13" t="n">
        <v>0</v>
      </c>
      <c r="AI781" s="13" t="n">
        <v>0</v>
      </c>
      <c r="AJ781" s="13" t="n">
        <v>0</v>
      </c>
      <c r="AK781" s="13" t="n">
        <v>0</v>
      </c>
      <c r="AL781" s="13" t="n">
        <v>0</v>
      </c>
      <c r="AM781" s="13" t="n">
        <v>0</v>
      </c>
      <c r="AN781" s="13" t="n">
        <v>0</v>
      </c>
      <c r="AO781" s="13" t="n">
        <v>0</v>
      </c>
      <c r="AP781" s="13" t="n">
        <v>0</v>
      </c>
      <c r="AQ781" s="13" t="n">
        <v>0</v>
      </c>
      <c r="AR781" s="13" t="n">
        <v>0</v>
      </c>
      <c r="AS781" s="13" t="n">
        <v>0</v>
      </c>
      <c r="AT781" s="13" t="n">
        <v>0</v>
      </c>
    </row>
    <row r="782" customFormat="false" ht="15" hidden="false" customHeight="true" outlineLevel="0" collapsed="false">
      <c r="A782" s="12" t="s">
        <v>2395</v>
      </c>
      <c r="B782" s="12" t="s">
        <v>2396</v>
      </c>
      <c r="C782" s="12" t="n">
        <v>1</v>
      </c>
      <c r="D782" s="12" t="s">
        <v>2397</v>
      </c>
      <c r="E782" s="13" t="n">
        <v>0</v>
      </c>
      <c r="F782" s="13" t="n">
        <v>0</v>
      </c>
      <c r="G782" s="13" t="n">
        <v>0</v>
      </c>
      <c r="H782" s="13" t="n">
        <v>0</v>
      </c>
      <c r="I782" s="13" t="n">
        <v>0</v>
      </c>
      <c r="J782" s="13" t="n">
        <v>0</v>
      </c>
      <c r="K782" s="13" t="n">
        <v>0</v>
      </c>
      <c r="L782" s="13" t="n">
        <v>0</v>
      </c>
      <c r="M782" s="13" t="n">
        <v>0</v>
      </c>
      <c r="N782" s="13" t="n">
        <v>0</v>
      </c>
      <c r="O782" s="13" t="n">
        <v>0</v>
      </c>
      <c r="P782" s="13" t="n">
        <v>0</v>
      </c>
      <c r="Q782" s="13" t="n">
        <v>0</v>
      </c>
      <c r="R782" s="13" t="n">
        <v>0</v>
      </c>
      <c r="S782" s="13" t="n">
        <v>0</v>
      </c>
      <c r="T782" s="13" t="n">
        <v>0</v>
      </c>
      <c r="U782" s="13" t="n">
        <v>0</v>
      </c>
      <c r="V782" s="13" t="n">
        <v>4883.912124</v>
      </c>
      <c r="W782" s="13" t="n">
        <v>4883.916688</v>
      </c>
      <c r="X782" s="13" t="n">
        <v>6358.028774</v>
      </c>
      <c r="Y782" s="13" t="n">
        <v>5588.071616</v>
      </c>
      <c r="Z782" s="13" t="n">
        <v>5302.072336</v>
      </c>
      <c r="AA782" s="13" t="n">
        <v>5653.90527</v>
      </c>
      <c r="AB782" s="13" t="n">
        <v>6423.930084</v>
      </c>
      <c r="AC782" s="13" t="n">
        <v>6006.0924</v>
      </c>
      <c r="AD782" s="13" t="n">
        <v>5060.0291</v>
      </c>
      <c r="AE782" s="13" t="n">
        <v>4077.50112</v>
      </c>
      <c r="AF782" s="13" t="n">
        <v>4077.535</v>
      </c>
      <c r="AG782" s="13" t="n">
        <v>4165.08734</v>
      </c>
      <c r="AH782" s="13" t="n">
        <v>4339.96185</v>
      </c>
      <c r="AI782" s="13" t="n">
        <v>5005.07719</v>
      </c>
      <c r="AJ782" s="13" t="n">
        <v>5110.06824</v>
      </c>
      <c r="AK782" s="13" t="n">
        <v>4987.45515</v>
      </c>
      <c r="AL782" s="13" t="n">
        <v>4095.080354</v>
      </c>
      <c r="AM782" s="13" t="n">
        <v>4217.491536</v>
      </c>
      <c r="AN782" s="13" t="n">
        <v>4917.533385</v>
      </c>
      <c r="AO782" s="13" t="n">
        <v>4737.089754</v>
      </c>
      <c r="AP782" s="13" t="n">
        <v>3974.9196</v>
      </c>
      <c r="AQ782" s="13" t="n">
        <v>3938.518823</v>
      </c>
      <c r="AR782" s="13" t="n">
        <v>4047.428672</v>
      </c>
      <c r="AS782" s="13" t="n">
        <v>4337.81082</v>
      </c>
      <c r="AT782" s="13" t="n">
        <v>4718.956408</v>
      </c>
    </row>
    <row r="783" customFormat="false" ht="15" hidden="false" customHeight="true" outlineLevel="0" collapsed="false">
      <c r="A783" s="12" t="s">
        <v>2398</v>
      </c>
      <c r="B783" s="12" t="s">
        <v>2399</v>
      </c>
      <c r="C783" s="12" t="n">
        <v>1</v>
      </c>
      <c r="D783" s="12" t="s">
        <v>2400</v>
      </c>
      <c r="E783" s="13" t="n">
        <v>0</v>
      </c>
      <c r="F783" s="13" t="n">
        <v>0</v>
      </c>
      <c r="G783" s="13" t="n">
        <v>0</v>
      </c>
      <c r="H783" s="13" t="n">
        <v>0</v>
      </c>
      <c r="I783" s="13" t="n">
        <v>0</v>
      </c>
      <c r="J783" s="13" t="n">
        <v>0</v>
      </c>
      <c r="K783" s="13" t="n">
        <v>0</v>
      </c>
      <c r="L783" s="13" t="n">
        <v>0</v>
      </c>
      <c r="M783" s="13" t="n">
        <v>0</v>
      </c>
      <c r="N783" s="13" t="n">
        <v>1623.933864</v>
      </c>
      <c r="O783" s="13" t="n">
        <v>1624.081602</v>
      </c>
      <c r="P783" s="13" t="n">
        <v>1596.072422</v>
      </c>
      <c r="Q783" s="13" t="n">
        <v>1596.058128</v>
      </c>
      <c r="R783" s="13" t="n">
        <v>1623.9585</v>
      </c>
      <c r="S783" s="13" t="n">
        <v>1623.94629</v>
      </c>
      <c r="T783" s="13" t="n">
        <v>1679.92832</v>
      </c>
      <c r="U783" s="13" t="n">
        <v>1708.076922</v>
      </c>
      <c r="V783" s="13" t="n">
        <v>1792.063572</v>
      </c>
      <c r="W783" s="13" t="n">
        <v>1791.975728</v>
      </c>
      <c r="X783" s="13" t="n">
        <v>1707.940674</v>
      </c>
      <c r="Y783" s="13" t="n">
        <v>1763.99104</v>
      </c>
      <c r="Z783" s="13" t="n">
        <v>1820.012656</v>
      </c>
      <c r="AA783" s="13" t="n">
        <v>1763.94987</v>
      </c>
      <c r="AB783" s="13" t="n">
        <v>1763.919818</v>
      </c>
      <c r="AC783" s="13" t="n">
        <v>1896.7696</v>
      </c>
      <c r="AD783" s="13" t="n">
        <v>1896.7667</v>
      </c>
      <c r="AE783" s="13" t="n">
        <v>1896.68304</v>
      </c>
      <c r="AF783" s="13" t="n">
        <v>1959.958</v>
      </c>
      <c r="AG783" s="13" t="n">
        <v>1988.07996</v>
      </c>
      <c r="AH783" s="13" t="n">
        <v>2043.92355</v>
      </c>
      <c r="AI783" s="13" t="n">
        <v>1959.96319</v>
      </c>
      <c r="AJ783" s="13" t="n">
        <v>1931.93235</v>
      </c>
      <c r="AK783" s="13" t="n">
        <v>1959.9798</v>
      </c>
      <c r="AL783" s="13" t="n">
        <v>2240.009322</v>
      </c>
      <c r="AM783" s="13" t="n">
        <v>2240.083796</v>
      </c>
      <c r="AN783" s="13" t="n">
        <v>2184.071785</v>
      </c>
      <c r="AO783" s="13" t="n">
        <v>2322.427342</v>
      </c>
      <c r="AP783" s="13" t="n">
        <v>2467.608</v>
      </c>
      <c r="AQ783" s="13" t="n">
        <v>2612.702317</v>
      </c>
      <c r="AR783" s="13" t="n">
        <v>2612.619418</v>
      </c>
      <c r="AS783" s="13" t="n">
        <v>2786.8617</v>
      </c>
      <c r="AT783" s="13" t="n">
        <v>2641.691504</v>
      </c>
    </row>
    <row r="784" customFormat="false" ht="15" hidden="false" customHeight="true" outlineLevel="0" collapsed="false">
      <c r="A784" s="12" t="s">
        <v>2401</v>
      </c>
      <c r="B784" s="12" t="s">
        <v>2402</v>
      </c>
      <c r="C784" s="12" t="n">
        <v>1</v>
      </c>
      <c r="D784" s="12" t="s">
        <v>2403</v>
      </c>
      <c r="E784" s="13" t="n">
        <v>0</v>
      </c>
      <c r="F784" s="13" t="n">
        <v>0</v>
      </c>
      <c r="G784" s="13" t="n">
        <v>0</v>
      </c>
      <c r="H784" s="13" t="n">
        <v>0</v>
      </c>
      <c r="I784" s="13" t="n">
        <v>0</v>
      </c>
      <c r="J784" s="13" t="n">
        <v>0</v>
      </c>
      <c r="K784" s="13" t="n">
        <v>0</v>
      </c>
      <c r="L784" s="13" t="n">
        <v>0</v>
      </c>
      <c r="M784" s="13" t="n">
        <v>0</v>
      </c>
      <c r="N784" s="13" t="n">
        <v>0</v>
      </c>
      <c r="O784" s="13" t="n">
        <v>0</v>
      </c>
      <c r="P784" s="13" t="n">
        <v>0</v>
      </c>
      <c r="Q784" s="13" t="n">
        <v>0</v>
      </c>
      <c r="R784" s="13" t="n">
        <v>0</v>
      </c>
      <c r="S784" s="13" t="n">
        <v>0</v>
      </c>
      <c r="T784" s="13" t="n">
        <v>0</v>
      </c>
      <c r="U784" s="13" t="n">
        <v>0</v>
      </c>
      <c r="V784" s="13" t="n">
        <v>0</v>
      </c>
      <c r="W784" s="13" t="n">
        <v>7199.966096</v>
      </c>
      <c r="X784" s="13" t="n">
        <v>7200.002082</v>
      </c>
      <c r="Y784" s="13" t="n">
        <v>7200.075928</v>
      </c>
      <c r="Z784" s="13" t="n">
        <v>7200.065488</v>
      </c>
      <c r="AA784" s="13" t="n">
        <v>7200.09111</v>
      </c>
      <c r="AB784" s="13" t="n">
        <v>7199.957674</v>
      </c>
      <c r="AC784" s="13" t="n">
        <v>7199.9488</v>
      </c>
      <c r="AD784" s="13" t="n">
        <v>7200.0763</v>
      </c>
      <c r="AE784" s="13" t="n">
        <v>7199.92476</v>
      </c>
      <c r="AF784" s="13" t="n">
        <v>7199.9576</v>
      </c>
      <c r="AG784" s="13" t="n">
        <v>7200.0838</v>
      </c>
      <c r="AH784" s="13" t="n">
        <v>7199.90625</v>
      </c>
      <c r="AI784" s="13" t="n">
        <v>5363.91192</v>
      </c>
      <c r="AJ784" s="13" t="n">
        <v>4859.93286</v>
      </c>
      <c r="AK784" s="13" t="n">
        <v>5147.9739</v>
      </c>
      <c r="AL784" s="13" t="n">
        <v>5327.987968</v>
      </c>
      <c r="AM784" s="13" t="n">
        <v>5471.989823</v>
      </c>
      <c r="AN784" s="13" t="n">
        <v>5616.004757</v>
      </c>
      <c r="AO784" s="13" t="n">
        <v>5898.217224</v>
      </c>
      <c r="AP784" s="13" t="n">
        <v>5972.81928</v>
      </c>
      <c r="AQ784" s="13" t="n">
        <v>0</v>
      </c>
      <c r="AR784" s="13" t="n">
        <v>0</v>
      </c>
      <c r="AS784" s="13" t="n">
        <v>0</v>
      </c>
      <c r="AT784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</cols>
  <sheetData>
    <row r="1" customFormat="false" ht="81.75" hidden="false" customHeight="true" outlineLevel="0" collapsed="false">
      <c r="A1" s="11" t="s">
        <v>14</v>
      </c>
      <c r="B1" s="11" t="s">
        <v>2404</v>
      </c>
      <c r="C1" s="11" t="s">
        <v>2405</v>
      </c>
      <c r="D1" s="11" t="s">
        <v>2406</v>
      </c>
      <c r="E1" s="11" t="s">
        <v>2407</v>
      </c>
      <c r="F1" s="11" t="s">
        <v>2408</v>
      </c>
      <c r="G1" s="11" t="s">
        <v>3</v>
      </c>
      <c r="H1" s="11" t="s">
        <v>2409</v>
      </c>
    </row>
    <row r="2" customFormat="false" ht="15" hidden="false" customHeight="true" outlineLevel="0" collapsed="false">
      <c r="A2" s="12" t="s">
        <v>60</v>
      </c>
      <c r="B2" s="14" t="n">
        <v>18.885</v>
      </c>
      <c r="C2" s="14" t="str">
        <f aca="false">IF('MRR Conglomerado'!AH2&gt;0,'MRR Conglomerado'!AH2,"")</f>
        <v/>
      </c>
      <c r="D2" s="14" t="str">
        <f aca="false">IF(C2="","",'MRR Conglomerado'!AT2)</f>
        <v/>
      </c>
      <c r="E2" s="15" t="str">
        <f aca="false">IF(C2="","",D2/C2)</f>
        <v/>
      </c>
      <c r="F2" s="14" t="str">
        <f aca="false">IF(C2="","",C2/B2)</f>
        <v/>
      </c>
      <c r="G2" s="12" t="str">
        <f aca="false">IF(F2="","",IF(F2&lt;100,"Menos de 100 USD",IF(F2&lt;500,"100 a 500 USD",IF(F2&lt;2000,"500 a 2.000 USD","Más de 2.000 USD"))))</f>
        <v/>
      </c>
      <c r="H2" s="14" t="str">
        <f aca="false">IF(C2="","",MIN(D2,C2))</f>
        <v/>
      </c>
    </row>
    <row r="3" customFormat="false" ht="15" hidden="false" customHeight="true" outlineLevel="0" collapsed="false">
      <c r="A3" s="12" t="s">
        <v>63</v>
      </c>
      <c r="B3" s="14" t="n">
        <v>18.885</v>
      </c>
      <c r="C3" s="14" t="n">
        <f aca="false">IF('MRR Conglomerado'!AH3&gt;0,'MRR Conglomerado'!AH3,"")</f>
        <v>2445.6075</v>
      </c>
      <c r="D3" s="14" t="n">
        <f aca="false">IF(C3="","",'MRR Conglomerado'!AT3)</f>
        <v>4573.16808</v>
      </c>
      <c r="E3" s="15" t="n">
        <f aca="false">IF(C3="","",D3/C3)</f>
        <v>1.86995177271905</v>
      </c>
      <c r="F3" s="14" t="n">
        <f aca="false">IF(C3="","",C3/B3)</f>
        <v>129.5</v>
      </c>
      <c r="G3" s="12" t="str">
        <f aca="false">IF(F3="","",IF(F3&lt;100,"Menos de 100 USD",IF(F3&lt;500,"100 a 500 USD",IF(F3&lt;2000,"500 a 2.000 USD","Más de 2.000 USD"))))</f>
        <v>100 a 500 USD</v>
      </c>
      <c r="H3" s="14" t="n">
        <f aca="false">IF(C3="","",MIN(D3,C3))</f>
        <v>2445.6075</v>
      </c>
    </row>
    <row r="4" customFormat="false" ht="15" hidden="false" customHeight="true" outlineLevel="0" collapsed="false">
      <c r="A4" s="12" t="s">
        <v>66</v>
      </c>
      <c r="B4" s="14" t="n">
        <v>18.885</v>
      </c>
      <c r="C4" s="14" t="str">
        <f aca="false">IF('MRR Conglomerado'!AH4&gt;0,'MRR Conglomerado'!AH4,"")</f>
        <v/>
      </c>
      <c r="D4" s="14" t="str">
        <f aca="false">IF(C4="","",'MRR Conglomerado'!AT4)</f>
        <v/>
      </c>
      <c r="E4" s="15" t="str">
        <f aca="false">IF(C4="","",D4/C4)</f>
        <v/>
      </c>
      <c r="F4" s="14" t="str">
        <f aca="false">IF(C4="","",C4/B4)</f>
        <v/>
      </c>
      <c r="G4" s="12" t="str">
        <f aca="false">IF(F4="","",IF(F4&lt;100,"Menos de 100 USD",IF(F4&lt;500,"100 a 500 USD",IF(F4&lt;2000,"500 a 2.000 USD","Más de 2.000 USD"))))</f>
        <v/>
      </c>
      <c r="H4" s="14" t="str">
        <f aca="false">IF(C4="","",MIN(D4,C4))</f>
        <v/>
      </c>
    </row>
    <row r="5" customFormat="false" ht="15" hidden="false" customHeight="true" outlineLevel="0" collapsed="false">
      <c r="A5" s="12" t="s">
        <v>69</v>
      </c>
      <c r="B5" s="14" t="n">
        <v>18.885</v>
      </c>
      <c r="C5" s="14" t="str">
        <f aca="false">IF('MRR Conglomerado'!AH5&gt;0,'MRR Conglomerado'!AH5,"")</f>
        <v/>
      </c>
      <c r="D5" s="14" t="str">
        <f aca="false">IF(C5="","",'MRR Conglomerado'!AT5)</f>
        <v/>
      </c>
      <c r="E5" s="15" t="str">
        <f aca="false">IF(C5="","",D5/C5)</f>
        <v/>
      </c>
      <c r="F5" s="14" t="str">
        <f aca="false">IF(C5="","",C5/B5)</f>
        <v/>
      </c>
      <c r="G5" s="12" t="str">
        <f aca="false">IF(F5="","",IF(F5&lt;100,"Menos de 100 USD",IF(F5&lt;500,"100 a 500 USD",IF(F5&lt;2000,"500 a 2.000 USD","Más de 2.000 USD"))))</f>
        <v/>
      </c>
      <c r="H5" s="14" t="str">
        <f aca="false">IF(C5="","",MIN(D5,C5))</f>
        <v/>
      </c>
    </row>
    <row r="6" customFormat="false" ht="15" hidden="false" customHeight="true" outlineLevel="0" collapsed="false">
      <c r="A6" s="12" t="s">
        <v>72</v>
      </c>
      <c r="B6" s="14" t="n">
        <v>18.885</v>
      </c>
      <c r="C6" s="14" t="str">
        <f aca="false">IF('MRR Conglomerado'!AH6&gt;0,'MRR Conglomerado'!AH6,"")</f>
        <v/>
      </c>
      <c r="D6" s="14" t="str">
        <f aca="false">IF(C6="","",'MRR Conglomerado'!AT6)</f>
        <v/>
      </c>
      <c r="E6" s="15" t="str">
        <f aca="false">IF(C6="","",D6/C6)</f>
        <v/>
      </c>
      <c r="F6" s="14" t="str">
        <f aca="false">IF(C6="","",C6/B6)</f>
        <v/>
      </c>
      <c r="G6" s="12" t="str">
        <f aca="false">IF(F6="","",IF(F6&lt;100,"Menos de 100 USD",IF(F6&lt;500,"100 a 500 USD",IF(F6&lt;2000,"500 a 2.000 USD","Más de 2.000 USD"))))</f>
        <v/>
      </c>
      <c r="H6" s="14" t="str">
        <f aca="false">IF(C6="","",MIN(D6,C6))</f>
        <v/>
      </c>
    </row>
    <row r="7" customFormat="false" ht="15" hidden="false" customHeight="true" outlineLevel="0" collapsed="false">
      <c r="A7" s="12" t="s">
        <v>75</v>
      </c>
      <c r="B7" s="14" t="n">
        <v>18.885</v>
      </c>
      <c r="C7" s="14" t="n">
        <f aca="false">IF('MRR Conglomerado'!AH7&gt;0,'MRR Conglomerado'!AH7,"")</f>
        <v>2844.64755</v>
      </c>
      <c r="D7" s="14" t="n">
        <f aca="false">IF(C7="","",'MRR Conglomerado'!AT7)</f>
        <v>2458.274736</v>
      </c>
      <c r="E7" s="15" t="n">
        <f aca="false">IF(C7="","",D7/C7)</f>
        <v>0.864175506030615</v>
      </c>
      <c r="F7" s="14" t="n">
        <f aca="false">IF(C7="","",C7/B7)</f>
        <v>150.63</v>
      </c>
      <c r="G7" s="12" t="str">
        <f aca="false">IF(F7="","",IF(F7&lt;100,"Menos de 100 USD",IF(F7&lt;500,"100 a 500 USD",IF(F7&lt;2000,"500 a 2.000 USD","Más de 2.000 USD"))))</f>
        <v>100 a 500 USD</v>
      </c>
      <c r="H7" s="14" t="n">
        <f aca="false">IF(C7="","",MIN(D7,C7))</f>
        <v>2458.274736</v>
      </c>
    </row>
    <row r="8" customFormat="false" ht="15" hidden="false" customHeight="true" outlineLevel="0" collapsed="false">
      <c r="A8" s="12" t="s">
        <v>78</v>
      </c>
      <c r="B8" s="14" t="n">
        <v>18.885</v>
      </c>
      <c r="C8" s="14" t="n">
        <f aca="false">IF('MRR Conglomerado'!AH8&gt;0,'MRR Conglomerado'!AH8,"")</f>
        <v>562.773</v>
      </c>
      <c r="D8" s="14" t="n">
        <f aca="false">IF(C8="","",'MRR Conglomerado'!AT8)</f>
        <v>0</v>
      </c>
      <c r="E8" s="15" t="n">
        <f aca="false">IF(C8="","",D8/C8)</f>
        <v>0</v>
      </c>
      <c r="F8" s="14" t="n">
        <f aca="false">IF(C8="","",C8/B8)</f>
        <v>29.8</v>
      </c>
      <c r="G8" s="12" t="str">
        <f aca="false">IF(F8="","",IF(F8&lt;100,"Menos de 100 USD",IF(F8&lt;500,"100 a 500 USD",IF(F8&lt;2000,"500 a 2.000 USD","Más de 2.000 USD"))))</f>
        <v>Menos de 100 USD</v>
      </c>
      <c r="H8" s="14" t="n">
        <f aca="false">IF(C8="","",MIN(D8,C8))</f>
        <v>0</v>
      </c>
    </row>
    <row r="9" customFormat="false" ht="15" hidden="false" customHeight="true" outlineLevel="0" collapsed="false">
      <c r="A9" s="12" t="s">
        <v>81</v>
      </c>
      <c r="B9" s="14" t="n">
        <v>18.885</v>
      </c>
      <c r="C9" s="14" t="str">
        <f aca="false">IF('MRR Conglomerado'!AH9&gt;0,'MRR Conglomerado'!AH9,"")</f>
        <v/>
      </c>
      <c r="D9" s="14" t="str">
        <f aca="false">IF(C9="","",'MRR Conglomerado'!AT9)</f>
        <v/>
      </c>
      <c r="E9" s="15" t="str">
        <f aca="false">IF(C9="","",D9/C9)</f>
        <v/>
      </c>
      <c r="F9" s="14" t="str">
        <f aca="false">IF(C9="","",C9/B9)</f>
        <v/>
      </c>
      <c r="G9" s="12" t="str">
        <f aca="false">IF(F9="","",IF(F9&lt;100,"Menos de 100 USD",IF(F9&lt;500,"100 a 500 USD",IF(F9&lt;2000,"500 a 2.000 USD","Más de 2.000 USD"))))</f>
        <v/>
      </c>
      <c r="H9" s="14" t="str">
        <f aca="false">IF(C9="","",MIN(D9,C9))</f>
        <v/>
      </c>
    </row>
    <row r="10" customFormat="false" ht="15" hidden="false" customHeight="true" outlineLevel="0" collapsed="false">
      <c r="A10" s="12" t="s">
        <v>84</v>
      </c>
      <c r="B10" s="14" t="n">
        <v>18.885</v>
      </c>
      <c r="C10" s="14" t="n">
        <f aca="false">IF('MRR Conglomerado'!AH10&gt;0,'MRR Conglomerado'!AH10,"")</f>
        <v>6850.53375</v>
      </c>
      <c r="D10" s="14" t="n">
        <f aca="false">IF(C10="","",'MRR Conglomerado'!AT10)</f>
        <v>7177.056128</v>
      </c>
      <c r="E10" s="15" t="n">
        <f aca="false">IF(C10="","",D10/C10)</f>
        <v>1.04766378648963</v>
      </c>
      <c r="F10" s="14" t="n">
        <f aca="false">IF(C10="","",C10/B10)</f>
        <v>362.75</v>
      </c>
      <c r="G10" s="12" t="str">
        <f aca="false">IF(F10="","",IF(F10&lt;100,"Menos de 100 USD",IF(F10&lt;500,"100 a 500 USD",IF(F10&lt;2000,"500 a 2.000 USD","Más de 2.000 USD"))))</f>
        <v>100 a 500 USD</v>
      </c>
      <c r="H10" s="14" t="n">
        <f aca="false">IF(C10="","",MIN(D10,C10))</f>
        <v>6850.53375</v>
      </c>
    </row>
    <row r="11" customFormat="false" ht="15" hidden="false" customHeight="true" outlineLevel="0" collapsed="false">
      <c r="A11" s="12" t="s">
        <v>87</v>
      </c>
      <c r="B11" s="14" t="n">
        <v>18.885</v>
      </c>
      <c r="C11" s="14" t="str">
        <f aca="false">IF('MRR Conglomerado'!AH11&gt;0,'MRR Conglomerado'!AH11,"")</f>
        <v/>
      </c>
      <c r="D11" s="14" t="str">
        <f aca="false">IF(C11="","",'MRR Conglomerado'!AT11)</f>
        <v/>
      </c>
      <c r="E11" s="15" t="str">
        <f aca="false">IF(C11="","",D11/C11)</f>
        <v/>
      </c>
      <c r="F11" s="14" t="str">
        <f aca="false">IF(C11="","",C11/B11)</f>
        <v/>
      </c>
      <c r="G11" s="12" t="str">
        <f aca="false">IF(F11="","",IF(F11&lt;100,"Menos de 100 USD",IF(F11&lt;500,"100 a 500 USD",IF(F11&lt;2000,"500 a 2.000 USD","Más de 2.000 USD"))))</f>
        <v/>
      </c>
      <c r="H11" s="14" t="str">
        <f aca="false">IF(C11="","",MIN(D11,C11))</f>
        <v/>
      </c>
    </row>
    <row r="12" customFormat="false" ht="15" hidden="false" customHeight="true" outlineLevel="0" collapsed="false">
      <c r="A12" s="12" t="s">
        <v>90</v>
      </c>
      <c r="B12" s="14" t="n">
        <v>18.885</v>
      </c>
      <c r="C12" s="14" t="str">
        <f aca="false">IF('MRR Conglomerado'!AH12&gt;0,'MRR Conglomerado'!AH12,"")</f>
        <v/>
      </c>
      <c r="D12" s="14" t="str">
        <f aca="false">IF(C12="","",'MRR Conglomerado'!AT12)</f>
        <v/>
      </c>
      <c r="E12" s="15" t="str">
        <f aca="false">IF(C12="","",D12/C12)</f>
        <v/>
      </c>
      <c r="F12" s="14" t="str">
        <f aca="false">IF(C12="","",C12/B12)</f>
        <v/>
      </c>
      <c r="G12" s="12" t="str">
        <f aca="false">IF(F12="","",IF(F12&lt;100,"Menos de 100 USD",IF(F12&lt;500,"100 a 500 USD",IF(F12&lt;2000,"500 a 2.000 USD","Más de 2.000 USD"))))</f>
        <v/>
      </c>
      <c r="H12" s="14" t="str">
        <f aca="false">IF(C12="","",MIN(D12,C12))</f>
        <v/>
      </c>
    </row>
    <row r="13" customFormat="false" ht="15" hidden="false" customHeight="true" outlineLevel="0" collapsed="false">
      <c r="A13" s="12" t="s">
        <v>92</v>
      </c>
      <c r="B13" s="14" t="n">
        <v>18.885</v>
      </c>
      <c r="C13" s="14" t="str">
        <f aca="false">IF('MRR Conglomerado'!AH13&gt;0,'MRR Conglomerado'!AH13,"")</f>
        <v/>
      </c>
      <c r="D13" s="14" t="str">
        <f aca="false">IF(C13="","",'MRR Conglomerado'!AT13)</f>
        <v/>
      </c>
      <c r="E13" s="15" t="str">
        <f aca="false">IF(C13="","",D13/C13)</f>
        <v/>
      </c>
      <c r="F13" s="14" t="str">
        <f aca="false">IF(C13="","",C13/B13)</f>
        <v/>
      </c>
      <c r="G13" s="12" t="str">
        <f aca="false">IF(F13="","",IF(F13&lt;100,"Menos de 100 USD",IF(F13&lt;500,"100 a 500 USD",IF(F13&lt;2000,"500 a 2.000 USD","Más de 2.000 USD"))))</f>
        <v/>
      </c>
      <c r="H13" s="14" t="str">
        <f aca="false">IF(C13="","",MIN(D13,C13))</f>
        <v/>
      </c>
    </row>
    <row r="14" customFormat="false" ht="15" hidden="false" customHeight="true" outlineLevel="0" collapsed="false">
      <c r="A14" s="12" t="s">
        <v>95</v>
      </c>
      <c r="B14" s="14" t="n">
        <v>18.885</v>
      </c>
      <c r="C14" s="14" t="n">
        <f aca="false">IF('MRR Conglomerado'!AH14&gt;0,'MRR Conglomerado'!AH14,"")</f>
        <v>992.02905</v>
      </c>
      <c r="D14" s="14" t="n">
        <f aca="false">IF(C14="","",'MRR Conglomerado'!AT14)</f>
        <v>997.416184</v>
      </c>
      <c r="E14" s="15" t="n">
        <f aca="false">IF(C14="","",D14/C14)</f>
        <v>1.00543041960314</v>
      </c>
      <c r="F14" s="14" t="n">
        <f aca="false">IF(C14="","",C14/B14)</f>
        <v>52.53</v>
      </c>
      <c r="G14" s="12" t="str">
        <f aca="false">IF(F14="","",IF(F14&lt;100,"Menos de 100 USD",IF(F14&lt;500,"100 a 500 USD",IF(F14&lt;2000,"500 a 2.000 USD","Más de 2.000 USD"))))</f>
        <v>Menos de 100 USD</v>
      </c>
      <c r="H14" s="14" t="n">
        <f aca="false">IF(C14="","",MIN(D14,C14))</f>
        <v>992.02905</v>
      </c>
    </row>
    <row r="15" customFormat="false" ht="15" hidden="false" customHeight="true" outlineLevel="0" collapsed="false">
      <c r="A15" s="12" t="s">
        <v>98</v>
      </c>
      <c r="B15" s="14" t="n">
        <v>18.885</v>
      </c>
      <c r="C15" s="14" t="str">
        <f aca="false">IF('MRR Conglomerado'!AH15&gt;0,'MRR Conglomerado'!AH15,"")</f>
        <v/>
      </c>
      <c r="D15" s="14" t="str">
        <f aca="false">IF(C15="","",'MRR Conglomerado'!AT15)</f>
        <v/>
      </c>
      <c r="E15" s="15" t="str">
        <f aca="false">IF(C15="","",D15/C15)</f>
        <v/>
      </c>
      <c r="F15" s="14" t="str">
        <f aca="false">IF(C15="","",C15/B15)</f>
        <v/>
      </c>
      <c r="G15" s="12" t="str">
        <f aca="false">IF(F15="","",IF(F15&lt;100,"Menos de 100 USD",IF(F15&lt;500,"100 a 500 USD",IF(F15&lt;2000,"500 a 2.000 USD","Más de 2.000 USD"))))</f>
        <v/>
      </c>
      <c r="H15" s="14" t="str">
        <f aca="false">IF(C15="","",MIN(D15,C15))</f>
        <v/>
      </c>
    </row>
    <row r="16" customFormat="false" ht="15" hidden="false" customHeight="true" outlineLevel="0" collapsed="false">
      <c r="A16" s="12" t="s">
        <v>101</v>
      </c>
      <c r="B16" s="14" t="n">
        <v>18.885</v>
      </c>
      <c r="C16" s="14" t="str">
        <f aca="false">IF('MRR Conglomerado'!AH16&gt;0,'MRR Conglomerado'!AH16,"")</f>
        <v/>
      </c>
      <c r="D16" s="14" t="str">
        <f aca="false">IF(C16="","",'MRR Conglomerado'!AT16)</f>
        <v/>
      </c>
      <c r="E16" s="15" t="str">
        <f aca="false">IF(C16="","",D16/C16)</f>
        <v/>
      </c>
      <c r="F16" s="14" t="str">
        <f aca="false">IF(C16="","",C16/B16)</f>
        <v/>
      </c>
      <c r="G16" s="12" t="str">
        <f aca="false">IF(F16="","",IF(F16&lt;100,"Menos de 100 USD",IF(F16&lt;500,"100 a 500 USD",IF(F16&lt;2000,"500 a 2.000 USD","Más de 2.000 USD"))))</f>
        <v/>
      </c>
      <c r="H16" s="14" t="str">
        <f aca="false">IF(C16="","",MIN(D16,C16))</f>
        <v/>
      </c>
    </row>
    <row r="17" customFormat="false" ht="15" hidden="false" customHeight="true" outlineLevel="0" collapsed="false">
      <c r="A17" s="12" t="s">
        <v>104</v>
      </c>
      <c r="B17" s="14" t="n">
        <v>18.885</v>
      </c>
      <c r="C17" s="14" t="str">
        <f aca="false">IF('MRR Conglomerado'!AH17&gt;0,'MRR Conglomerado'!AH17,"")</f>
        <v/>
      </c>
      <c r="D17" s="14" t="str">
        <f aca="false">IF(C17="","",'MRR Conglomerado'!AT17)</f>
        <v/>
      </c>
      <c r="E17" s="15" t="str">
        <f aca="false">IF(C17="","",D17/C17)</f>
        <v/>
      </c>
      <c r="F17" s="14" t="str">
        <f aca="false">IF(C17="","",C17/B17)</f>
        <v/>
      </c>
      <c r="G17" s="12" t="str">
        <f aca="false">IF(F17="","",IF(F17&lt;100,"Menos de 100 USD",IF(F17&lt;500,"100 a 500 USD",IF(F17&lt;2000,"500 a 2.000 USD","Más de 2.000 USD"))))</f>
        <v/>
      </c>
      <c r="H17" s="14" t="str">
        <f aca="false">IF(C17="","",MIN(D17,C17))</f>
        <v/>
      </c>
    </row>
    <row r="18" customFormat="false" ht="15" hidden="false" customHeight="true" outlineLevel="0" collapsed="false">
      <c r="A18" s="12" t="s">
        <v>107</v>
      </c>
      <c r="B18" s="14" t="n">
        <v>18.885</v>
      </c>
      <c r="C18" s="14" t="str">
        <f aca="false">IF('MRR Conglomerado'!AH18&gt;0,'MRR Conglomerado'!AH18,"")</f>
        <v/>
      </c>
      <c r="D18" s="14" t="str">
        <f aca="false">IF(C18="","",'MRR Conglomerado'!AT18)</f>
        <v/>
      </c>
      <c r="E18" s="15" t="str">
        <f aca="false">IF(C18="","",D18/C18)</f>
        <v/>
      </c>
      <c r="F18" s="14" t="str">
        <f aca="false">IF(C18="","",C18/B18)</f>
        <v/>
      </c>
      <c r="G18" s="12" t="str">
        <f aca="false">IF(F18="","",IF(F18&lt;100,"Menos de 100 USD",IF(F18&lt;500,"100 a 500 USD",IF(F18&lt;2000,"500 a 2.000 USD","Más de 2.000 USD"))))</f>
        <v/>
      </c>
      <c r="H18" s="14" t="str">
        <f aca="false">IF(C18="","",MIN(D18,C18))</f>
        <v/>
      </c>
    </row>
    <row r="19" customFormat="false" ht="15" hidden="false" customHeight="true" outlineLevel="0" collapsed="false">
      <c r="A19" s="12" t="s">
        <v>110</v>
      </c>
      <c r="B19" s="14" t="n">
        <v>18.885</v>
      </c>
      <c r="C19" s="14" t="n">
        <f aca="false">IF('MRR Conglomerado'!AH19&gt;0,'MRR Conglomerado'!AH19,"")</f>
        <v>1890.0108</v>
      </c>
      <c r="D19" s="14" t="n">
        <f aca="false">IF(C19="","",'MRR Conglomerado'!AT19)</f>
        <v>0</v>
      </c>
      <c r="E19" s="15" t="n">
        <f aca="false">IF(C19="","",D19/C19)</f>
        <v>0</v>
      </c>
      <c r="F19" s="14" t="n">
        <f aca="false">IF(C19="","",C19/B19)</f>
        <v>100.08</v>
      </c>
      <c r="G19" s="12" t="str">
        <f aca="false">IF(F19="","",IF(F19&lt;100,"Menos de 100 USD",IF(F19&lt;500,"100 a 500 USD",IF(F19&lt;2000,"500 a 2.000 USD","Más de 2.000 USD"))))</f>
        <v>100 a 500 USD</v>
      </c>
      <c r="H19" s="14" t="n">
        <f aca="false">IF(C19="","",MIN(D19,C19))</f>
        <v>0</v>
      </c>
    </row>
    <row r="20" customFormat="false" ht="15" hidden="false" customHeight="true" outlineLevel="0" collapsed="false">
      <c r="A20" s="12" t="s">
        <v>113</v>
      </c>
      <c r="B20" s="14" t="n">
        <v>18.885</v>
      </c>
      <c r="C20" s="14" t="n">
        <f aca="false">IF('MRR Conglomerado'!AH20&gt;0,'MRR Conglomerado'!AH20,"")</f>
        <v>6730.614</v>
      </c>
      <c r="D20" s="14" t="n">
        <f aca="false">IF(C20="","",'MRR Conglomerado'!AT20)</f>
        <v>6939.909448</v>
      </c>
      <c r="E20" s="15" t="n">
        <f aca="false">IF(C20="","",D20/C20)</f>
        <v>1.03109604086641</v>
      </c>
      <c r="F20" s="14" t="n">
        <f aca="false">IF(C20="","",C20/B20)</f>
        <v>356.4</v>
      </c>
      <c r="G20" s="12" t="str">
        <f aca="false">IF(F20="","",IF(F20&lt;100,"Menos de 100 USD",IF(F20&lt;500,"100 a 500 USD",IF(F20&lt;2000,"500 a 2.000 USD","Más de 2.000 USD"))))</f>
        <v>100 a 500 USD</v>
      </c>
      <c r="H20" s="14" t="n">
        <f aca="false">IF(C20="","",MIN(D20,C20))</f>
        <v>6730.614</v>
      </c>
    </row>
    <row r="21" customFormat="false" ht="15" hidden="false" customHeight="true" outlineLevel="0" collapsed="false">
      <c r="A21" s="12" t="s">
        <v>116</v>
      </c>
      <c r="B21" s="14" t="n">
        <v>18.885</v>
      </c>
      <c r="C21" s="14" t="n">
        <f aca="false">IF('MRR Conglomerado'!AH21&gt;0,'MRR Conglomerado'!AH21,"")</f>
        <v>23442.51705</v>
      </c>
      <c r="D21" s="14" t="n">
        <f aca="false">IF(C21="","",'MRR Conglomerado'!AT21)</f>
        <v>21877</v>
      </c>
      <c r="E21" s="15" t="n">
        <f aca="false">IF(C21="","",D21/C21)</f>
        <v>0.933218901082126</v>
      </c>
      <c r="F21" s="14" t="n">
        <f aca="false">IF(C21="","",C21/B21)</f>
        <v>1241.33</v>
      </c>
      <c r="G21" s="12" t="str">
        <f aca="false">IF(F21="","",IF(F21&lt;100,"Menos de 100 USD",IF(F21&lt;500,"100 a 500 USD",IF(F21&lt;2000,"500 a 2.000 USD","Más de 2.000 USD"))))</f>
        <v>500 a 2.000 USD</v>
      </c>
      <c r="H21" s="14" t="n">
        <f aca="false">IF(C21="","",MIN(D21,C21))</f>
        <v>21877</v>
      </c>
    </row>
    <row r="22" customFormat="false" ht="15" hidden="false" customHeight="true" outlineLevel="0" collapsed="false">
      <c r="A22" s="12" t="s">
        <v>119</v>
      </c>
      <c r="B22" s="14" t="n">
        <v>18.885</v>
      </c>
      <c r="C22" s="14" t="str">
        <f aca="false">IF('MRR Conglomerado'!AH22&gt;0,'MRR Conglomerado'!AH22,"")</f>
        <v/>
      </c>
      <c r="D22" s="14" t="str">
        <f aca="false">IF(C22="","",'MRR Conglomerado'!AT22)</f>
        <v/>
      </c>
      <c r="E22" s="15" t="str">
        <f aca="false">IF(C22="","",D22/C22)</f>
        <v/>
      </c>
      <c r="F22" s="14" t="str">
        <f aca="false">IF(C22="","",C22/B22)</f>
        <v/>
      </c>
      <c r="G22" s="12" t="str">
        <f aca="false">IF(F22="","",IF(F22&lt;100,"Menos de 100 USD",IF(F22&lt;500,"100 a 500 USD",IF(F22&lt;2000,"500 a 2.000 USD","Más de 2.000 USD"))))</f>
        <v/>
      </c>
      <c r="H22" s="14" t="str">
        <f aca="false">IF(C22="","",MIN(D22,C22))</f>
        <v/>
      </c>
    </row>
    <row r="23" customFormat="false" ht="15" hidden="false" customHeight="true" outlineLevel="0" collapsed="false">
      <c r="A23" s="12" t="s">
        <v>122</v>
      </c>
      <c r="B23" s="14" t="n">
        <v>18.885</v>
      </c>
      <c r="C23" s="14" t="n">
        <f aca="false">IF('MRR Conglomerado'!AH23&gt;0,'MRR Conglomerado'!AH23,"")</f>
        <v>2261.10105</v>
      </c>
      <c r="D23" s="14" t="n">
        <f aca="false">IF(C23="","",'MRR Conglomerado'!AT23)</f>
        <v>2042.261704</v>
      </c>
      <c r="E23" s="15" t="n">
        <f aca="false">IF(C23="","",D23/C23)</f>
        <v>0.90321558339907</v>
      </c>
      <c r="F23" s="14" t="n">
        <f aca="false">IF(C23="","",C23/B23)</f>
        <v>119.73</v>
      </c>
      <c r="G23" s="12" t="str">
        <f aca="false">IF(F23="","",IF(F23&lt;100,"Menos de 100 USD",IF(F23&lt;500,"100 a 500 USD",IF(F23&lt;2000,"500 a 2.000 USD","Más de 2.000 USD"))))</f>
        <v>100 a 500 USD</v>
      </c>
      <c r="H23" s="14" t="n">
        <f aca="false">IF(C23="","",MIN(D23,C23))</f>
        <v>2042.261704</v>
      </c>
    </row>
    <row r="24" customFormat="false" ht="15" hidden="false" customHeight="true" outlineLevel="0" collapsed="false">
      <c r="A24" s="12" t="s">
        <v>125</v>
      </c>
      <c r="B24" s="14" t="n">
        <v>18.885</v>
      </c>
      <c r="C24" s="14" t="str">
        <f aca="false">IF('MRR Conglomerado'!AH24&gt;0,'MRR Conglomerado'!AH24,"")</f>
        <v/>
      </c>
      <c r="D24" s="14" t="str">
        <f aca="false">IF(C24="","",'MRR Conglomerado'!AT24)</f>
        <v/>
      </c>
      <c r="E24" s="15" t="str">
        <f aca="false">IF(C24="","",D24/C24)</f>
        <v/>
      </c>
      <c r="F24" s="14" t="str">
        <f aca="false">IF(C24="","",C24/B24)</f>
        <v/>
      </c>
      <c r="G24" s="12" t="str">
        <f aca="false">IF(F24="","",IF(F24&lt;100,"Menos de 100 USD",IF(F24&lt;500,"100 a 500 USD",IF(F24&lt;2000,"500 a 2.000 USD","Más de 2.000 USD"))))</f>
        <v/>
      </c>
      <c r="H24" s="14" t="str">
        <f aca="false">IF(C24="","",MIN(D24,C24))</f>
        <v/>
      </c>
    </row>
    <row r="25" customFormat="false" ht="15" hidden="false" customHeight="true" outlineLevel="0" collapsed="false">
      <c r="A25" s="12" t="s">
        <v>128</v>
      </c>
      <c r="B25" s="14" t="n">
        <v>18.885</v>
      </c>
      <c r="C25" s="14" t="n">
        <f aca="false">IF('MRR Conglomerado'!AH25&gt;0,'MRR Conglomerado'!AH25,"")</f>
        <v>4446.47325</v>
      </c>
      <c r="D25" s="14" t="n">
        <f aca="false">IF(C25="","",'MRR Conglomerado'!AT25)</f>
        <v>5366.340592</v>
      </c>
      <c r="E25" s="15" t="n">
        <f aca="false">IF(C25="","",D25/C25)</f>
        <v>1.20687571706408</v>
      </c>
      <c r="F25" s="14" t="n">
        <f aca="false">IF(C25="","",C25/B25)</f>
        <v>235.45</v>
      </c>
      <c r="G25" s="12" t="str">
        <f aca="false">IF(F25="","",IF(F25&lt;100,"Menos de 100 USD",IF(F25&lt;500,"100 a 500 USD",IF(F25&lt;2000,"500 a 2.000 USD","Más de 2.000 USD"))))</f>
        <v>100 a 500 USD</v>
      </c>
      <c r="H25" s="14" t="n">
        <f aca="false">IF(C25="","",MIN(D25,C25))</f>
        <v>4446.47325</v>
      </c>
    </row>
    <row r="26" customFormat="false" ht="15" hidden="false" customHeight="true" outlineLevel="0" collapsed="false">
      <c r="A26" s="12" t="s">
        <v>131</v>
      </c>
      <c r="B26" s="14" t="n">
        <v>18.885</v>
      </c>
      <c r="C26" s="14" t="str">
        <f aca="false">IF('MRR Conglomerado'!AH26&gt;0,'MRR Conglomerado'!AH26,"")</f>
        <v/>
      </c>
      <c r="D26" s="14" t="str">
        <f aca="false">IF(C26="","",'MRR Conglomerado'!AT26)</f>
        <v/>
      </c>
      <c r="E26" s="15" t="str">
        <f aca="false">IF(C26="","",D26/C26)</f>
        <v/>
      </c>
      <c r="F26" s="14" t="str">
        <f aca="false">IF(C26="","",C26/B26)</f>
        <v/>
      </c>
      <c r="G26" s="12" t="str">
        <f aca="false">IF(F26="","",IF(F26&lt;100,"Menos de 100 USD",IF(F26&lt;500,"100 a 500 USD",IF(F26&lt;2000,"500 a 2.000 USD","Más de 2.000 USD"))))</f>
        <v/>
      </c>
      <c r="H26" s="14" t="str">
        <f aca="false">IF(C26="","",MIN(D26,C26))</f>
        <v/>
      </c>
    </row>
    <row r="27" customFormat="false" ht="15" hidden="false" customHeight="true" outlineLevel="0" collapsed="false">
      <c r="A27" s="12" t="s">
        <v>134</v>
      </c>
      <c r="B27" s="14" t="n">
        <v>18.885</v>
      </c>
      <c r="C27" s="14" t="str">
        <f aca="false">IF('MRR Conglomerado'!AH27&gt;0,'MRR Conglomerado'!AH27,"")</f>
        <v/>
      </c>
      <c r="D27" s="14" t="str">
        <f aca="false">IF(C27="","",'MRR Conglomerado'!AT27)</f>
        <v/>
      </c>
      <c r="E27" s="15" t="str">
        <f aca="false">IF(C27="","",D27/C27)</f>
        <v/>
      </c>
      <c r="F27" s="14" t="str">
        <f aca="false">IF(C27="","",C27/B27)</f>
        <v/>
      </c>
      <c r="G27" s="12" t="str">
        <f aca="false">IF(F27="","",IF(F27&lt;100,"Menos de 100 USD",IF(F27&lt;500,"100 a 500 USD",IF(F27&lt;2000,"500 a 2.000 USD","Más de 2.000 USD"))))</f>
        <v/>
      </c>
      <c r="H27" s="14" t="str">
        <f aca="false">IF(C27="","",MIN(D27,C27))</f>
        <v/>
      </c>
    </row>
    <row r="28" customFormat="false" ht="15" hidden="false" customHeight="true" outlineLevel="0" collapsed="false">
      <c r="A28" s="12" t="s">
        <v>137</v>
      </c>
      <c r="B28" s="14" t="n">
        <v>18.885</v>
      </c>
      <c r="C28" s="14" t="n">
        <f aca="false">IF('MRR Conglomerado'!AH28&gt;0,'MRR Conglomerado'!AH28,"")</f>
        <v>4172.26305</v>
      </c>
      <c r="D28" s="14" t="n">
        <f aca="false">IF(C28="","",'MRR Conglomerado'!AT28)</f>
        <v>7289.766432</v>
      </c>
      <c r="E28" s="15" t="n">
        <f aca="false">IF(C28="","",D28/C28)</f>
        <v>1.74719722717387</v>
      </c>
      <c r="F28" s="14" t="n">
        <f aca="false">IF(C28="","",C28/B28)</f>
        <v>220.93</v>
      </c>
      <c r="G28" s="12" t="str">
        <f aca="false">IF(F28="","",IF(F28&lt;100,"Menos de 100 USD",IF(F28&lt;500,"100 a 500 USD",IF(F28&lt;2000,"500 a 2.000 USD","Más de 2.000 USD"))))</f>
        <v>100 a 500 USD</v>
      </c>
      <c r="H28" s="14" t="n">
        <f aca="false">IF(C28="","",MIN(D28,C28))</f>
        <v>4172.26305</v>
      </c>
    </row>
    <row r="29" customFormat="false" ht="15" hidden="false" customHeight="true" outlineLevel="0" collapsed="false">
      <c r="A29" s="12" t="s">
        <v>140</v>
      </c>
      <c r="B29" s="14" t="n">
        <v>18.885</v>
      </c>
      <c r="C29" s="14" t="n">
        <f aca="false">IF('MRR Conglomerado'!AH29&gt;0,'MRR Conglomerado'!AH29,"")</f>
        <v>3180.04515</v>
      </c>
      <c r="D29" s="14" t="n">
        <f aca="false">IF(C29="","",'MRR Conglomerado'!AT29)</f>
        <v>0</v>
      </c>
      <c r="E29" s="15" t="n">
        <f aca="false">IF(C29="","",D29/C29)</f>
        <v>0</v>
      </c>
      <c r="F29" s="14" t="n">
        <f aca="false">IF(C29="","",C29/B29)</f>
        <v>168.39</v>
      </c>
      <c r="G29" s="12" t="str">
        <f aca="false">IF(F29="","",IF(F29&lt;100,"Menos de 100 USD",IF(F29&lt;500,"100 a 500 USD",IF(F29&lt;2000,"500 a 2.000 USD","Más de 2.000 USD"))))</f>
        <v>100 a 500 USD</v>
      </c>
      <c r="H29" s="14" t="n">
        <f aca="false">IF(C29="","",MIN(D29,C29))</f>
        <v>0</v>
      </c>
    </row>
    <row r="30" customFormat="false" ht="15" hidden="false" customHeight="true" outlineLevel="0" collapsed="false">
      <c r="A30" s="12" t="s">
        <v>143</v>
      </c>
      <c r="B30" s="14" t="n">
        <v>18.885</v>
      </c>
      <c r="C30" s="14" t="str">
        <f aca="false">IF('MRR Conglomerado'!AH30&gt;0,'MRR Conglomerado'!AH30,"")</f>
        <v/>
      </c>
      <c r="D30" s="14" t="str">
        <f aca="false">IF(C30="","",'MRR Conglomerado'!AT30)</f>
        <v/>
      </c>
      <c r="E30" s="15" t="str">
        <f aca="false">IF(C30="","",D30/C30)</f>
        <v/>
      </c>
      <c r="F30" s="14" t="str">
        <f aca="false">IF(C30="","",C30/B30)</f>
        <v/>
      </c>
      <c r="G30" s="12" t="str">
        <f aca="false">IF(F30="","",IF(F30&lt;100,"Menos de 100 USD",IF(F30&lt;500,"100 a 500 USD",IF(F30&lt;2000,"500 a 2.000 USD","Más de 2.000 USD"))))</f>
        <v/>
      </c>
      <c r="H30" s="14" t="str">
        <f aca="false">IF(C30="","",MIN(D30,C30))</f>
        <v/>
      </c>
    </row>
    <row r="31" customFormat="false" ht="15" hidden="false" customHeight="true" outlineLevel="0" collapsed="false">
      <c r="A31" s="12" t="s">
        <v>146</v>
      </c>
      <c r="B31" s="14" t="n">
        <v>18.885</v>
      </c>
      <c r="C31" s="14" t="n">
        <f aca="false">IF('MRR Conglomerado'!AH31&gt;0,'MRR Conglomerado'!AH31,"")</f>
        <v>2970.04395</v>
      </c>
      <c r="D31" s="14" t="n">
        <f aca="false">IF(C31="","",'MRR Conglomerado'!AT31)</f>
        <v>3285.05032</v>
      </c>
      <c r="E31" s="15" t="n">
        <f aca="false">IF(C31="","",D31/C31)</f>
        <v>1.10606118135053</v>
      </c>
      <c r="F31" s="14" t="n">
        <f aca="false">IF(C31="","",C31/B31)</f>
        <v>157.27</v>
      </c>
      <c r="G31" s="12" t="str">
        <f aca="false">IF(F31="","",IF(F31&lt;100,"Menos de 100 USD",IF(F31&lt;500,"100 a 500 USD",IF(F31&lt;2000,"500 a 2.000 USD","Más de 2.000 USD"))))</f>
        <v>100 a 500 USD</v>
      </c>
      <c r="H31" s="14" t="n">
        <f aca="false">IF(C31="","",MIN(D31,C31))</f>
        <v>2970.04395</v>
      </c>
    </row>
    <row r="32" customFormat="false" ht="15" hidden="false" customHeight="true" outlineLevel="0" collapsed="false">
      <c r="A32" s="12" t="s">
        <v>149</v>
      </c>
      <c r="B32" s="14" t="n">
        <v>18.885</v>
      </c>
      <c r="C32" s="14" t="n">
        <f aca="false">IF('MRR Conglomerado'!AH32&gt;0,'MRR Conglomerado'!AH32,"")</f>
        <v>2100.012</v>
      </c>
      <c r="D32" s="14" t="n">
        <f aca="false">IF(C32="","",'MRR Conglomerado'!AT32)</f>
        <v>1946.002904</v>
      </c>
      <c r="E32" s="15" t="n">
        <f aca="false">IF(C32="","",D32/C32)</f>
        <v>0.926662754308071</v>
      </c>
      <c r="F32" s="14" t="n">
        <f aca="false">IF(C32="","",C32/B32)</f>
        <v>111.2</v>
      </c>
      <c r="G32" s="12" t="str">
        <f aca="false">IF(F32="","",IF(F32&lt;100,"Menos de 100 USD",IF(F32&lt;500,"100 a 500 USD",IF(F32&lt;2000,"500 a 2.000 USD","Más de 2.000 USD"))))</f>
        <v>100 a 500 USD</v>
      </c>
      <c r="H32" s="14" t="n">
        <f aca="false">IF(C32="","",MIN(D32,C32))</f>
        <v>1946.002904</v>
      </c>
    </row>
    <row r="33" customFormat="false" ht="15" hidden="false" customHeight="true" outlineLevel="0" collapsed="false">
      <c r="A33" s="12" t="s">
        <v>152</v>
      </c>
      <c r="B33" s="14" t="n">
        <v>18.885</v>
      </c>
      <c r="C33" s="14" t="str">
        <f aca="false">IF('MRR Conglomerado'!AH33&gt;0,'MRR Conglomerado'!AH33,"")</f>
        <v/>
      </c>
      <c r="D33" s="14" t="str">
        <f aca="false">IF(C33="","",'MRR Conglomerado'!AT33)</f>
        <v/>
      </c>
      <c r="E33" s="15" t="str">
        <f aca="false">IF(C33="","",D33/C33)</f>
        <v/>
      </c>
      <c r="F33" s="14" t="str">
        <f aca="false">IF(C33="","",C33/B33)</f>
        <v/>
      </c>
      <c r="G33" s="12" t="str">
        <f aca="false">IF(F33="","",IF(F33&lt;100,"Menos de 100 USD",IF(F33&lt;500,"100 a 500 USD",IF(F33&lt;2000,"500 a 2.000 USD","Más de 2.000 USD"))))</f>
        <v/>
      </c>
      <c r="H33" s="14" t="str">
        <f aca="false">IF(C33="","",MIN(D33,C33))</f>
        <v/>
      </c>
    </row>
    <row r="34" customFormat="false" ht="15" hidden="false" customHeight="true" outlineLevel="0" collapsed="false">
      <c r="A34" s="12" t="s">
        <v>155</v>
      </c>
      <c r="B34" s="14" t="n">
        <v>18.885</v>
      </c>
      <c r="C34" s="14" t="str">
        <f aca="false">IF('MRR Conglomerado'!AH34&gt;0,'MRR Conglomerado'!AH34,"")</f>
        <v/>
      </c>
      <c r="D34" s="14" t="str">
        <f aca="false">IF(C34="","",'MRR Conglomerado'!AT34)</f>
        <v/>
      </c>
      <c r="E34" s="15" t="str">
        <f aca="false">IF(C34="","",D34/C34)</f>
        <v/>
      </c>
      <c r="F34" s="14" t="str">
        <f aca="false">IF(C34="","",C34/B34)</f>
        <v/>
      </c>
      <c r="G34" s="12" t="str">
        <f aca="false">IF(F34="","",IF(F34&lt;100,"Menos de 100 USD",IF(F34&lt;500,"100 a 500 USD",IF(F34&lt;2000,"500 a 2.000 USD","Más de 2.000 USD"))))</f>
        <v/>
      </c>
      <c r="H34" s="14" t="str">
        <f aca="false">IF(C34="","",MIN(D34,C34))</f>
        <v/>
      </c>
    </row>
    <row r="35" customFormat="false" ht="15" hidden="false" customHeight="true" outlineLevel="0" collapsed="false">
      <c r="A35" s="12" t="s">
        <v>158</v>
      </c>
      <c r="B35" s="14" t="n">
        <v>18.885</v>
      </c>
      <c r="C35" s="14" t="n">
        <f aca="false">IF('MRR Conglomerado'!AH35&gt;0,'MRR Conglomerado'!AH35,"")</f>
        <v>1008.0813</v>
      </c>
      <c r="D35" s="14" t="n">
        <f aca="false">IF(C35="","",'MRR Conglomerado'!AT35)</f>
        <v>993.565832</v>
      </c>
      <c r="E35" s="15" t="n">
        <f aca="false">IF(C35="","",D35/C35)</f>
        <v>0.985600895483331</v>
      </c>
      <c r="F35" s="14" t="n">
        <f aca="false">IF(C35="","",C35/B35)</f>
        <v>53.38</v>
      </c>
      <c r="G35" s="12" t="str">
        <f aca="false">IF(F35="","",IF(F35&lt;100,"Menos de 100 USD",IF(F35&lt;500,"100 a 500 USD",IF(F35&lt;2000,"500 a 2.000 USD","Más de 2.000 USD"))))</f>
        <v>Menos de 100 USD</v>
      </c>
      <c r="H35" s="14" t="n">
        <f aca="false">IF(C35="","",MIN(D35,C35))</f>
        <v>993.565832</v>
      </c>
    </row>
    <row r="36" customFormat="false" ht="15" hidden="false" customHeight="true" outlineLevel="0" collapsed="false">
      <c r="A36" s="12" t="s">
        <v>161</v>
      </c>
      <c r="B36" s="14" t="n">
        <v>18.885</v>
      </c>
      <c r="C36" s="14" t="str">
        <f aca="false">IF('MRR Conglomerado'!AH36&gt;0,'MRR Conglomerado'!AH36,"")</f>
        <v/>
      </c>
      <c r="D36" s="14" t="str">
        <f aca="false">IF(C36="","",'MRR Conglomerado'!AT36)</f>
        <v/>
      </c>
      <c r="E36" s="15" t="str">
        <f aca="false">IF(C36="","",D36/C36)</f>
        <v/>
      </c>
      <c r="F36" s="14" t="str">
        <f aca="false">IF(C36="","",C36/B36)</f>
        <v/>
      </c>
      <c r="G36" s="12" t="str">
        <f aca="false">IF(F36="","",IF(F36&lt;100,"Menos de 100 USD",IF(F36&lt;500,"100 a 500 USD",IF(F36&lt;2000,"500 a 2.000 USD","Más de 2.000 USD"))))</f>
        <v/>
      </c>
      <c r="H36" s="14" t="str">
        <f aca="false">IF(C36="","",MIN(D36,C36))</f>
        <v/>
      </c>
    </row>
    <row r="37" customFormat="false" ht="15" hidden="false" customHeight="true" outlineLevel="0" collapsed="false">
      <c r="A37" s="12" t="s">
        <v>164</v>
      </c>
      <c r="B37" s="14" t="n">
        <v>18.885</v>
      </c>
      <c r="C37" s="14" t="str">
        <f aca="false">IF('MRR Conglomerado'!AH37&gt;0,'MRR Conglomerado'!AH37,"")</f>
        <v/>
      </c>
      <c r="D37" s="14" t="str">
        <f aca="false">IF(C37="","",'MRR Conglomerado'!AT37)</f>
        <v/>
      </c>
      <c r="E37" s="15" t="str">
        <f aca="false">IF(C37="","",D37/C37)</f>
        <v/>
      </c>
      <c r="F37" s="14" t="str">
        <f aca="false">IF(C37="","",C37/B37)</f>
        <v/>
      </c>
      <c r="G37" s="12" t="str">
        <f aca="false">IF(F37="","",IF(F37&lt;100,"Menos de 100 USD",IF(F37&lt;500,"100 a 500 USD",IF(F37&lt;2000,"500 a 2.000 USD","Más de 2.000 USD"))))</f>
        <v/>
      </c>
      <c r="H37" s="14" t="str">
        <f aca="false">IF(C37="","",MIN(D37,C37))</f>
        <v/>
      </c>
    </row>
    <row r="38" customFormat="false" ht="15" hidden="false" customHeight="true" outlineLevel="0" collapsed="false">
      <c r="A38" s="12" t="s">
        <v>167</v>
      </c>
      <c r="B38" s="14" t="n">
        <v>18.885</v>
      </c>
      <c r="C38" s="14" t="n">
        <f aca="false">IF('MRR Conglomerado'!AH38&gt;0,'MRR Conglomerado'!AH38,"")</f>
        <v>559.94025</v>
      </c>
      <c r="D38" s="14" t="n">
        <f aca="false">IF(C38="","",'MRR Conglomerado'!AT38)</f>
        <v>0</v>
      </c>
      <c r="E38" s="15" t="n">
        <f aca="false">IF(C38="","",D38/C38)</f>
        <v>0</v>
      </c>
      <c r="F38" s="14" t="n">
        <f aca="false">IF(C38="","",C38/B38)</f>
        <v>29.65</v>
      </c>
      <c r="G38" s="12" t="str">
        <f aca="false">IF(F38="","",IF(F38&lt;100,"Menos de 100 USD",IF(F38&lt;500,"100 a 500 USD",IF(F38&lt;2000,"500 a 2.000 USD","Más de 2.000 USD"))))</f>
        <v>Menos de 100 USD</v>
      </c>
      <c r="H38" s="14" t="n">
        <f aca="false">IF(C38="","",MIN(D38,C38))</f>
        <v>0</v>
      </c>
    </row>
    <row r="39" customFormat="false" ht="15" hidden="false" customHeight="true" outlineLevel="0" collapsed="false">
      <c r="A39" s="12" t="s">
        <v>170</v>
      </c>
      <c r="B39" s="14" t="n">
        <v>18.885</v>
      </c>
      <c r="C39" s="14" t="n">
        <f aca="false">IF('MRR Conglomerado'!AH39&gt;0,'MRR Conglomerado'!AH39,"")</f>
        <v>6193.1469</v>
      </c>
      <c r="D39" s="14" t="n">
        <f aca="false">IF(C39="","",'MRR Conglomerado'!AT39)</f>
        <v>7304.117744</v>
      </c>
      <c r="E39" s="15" t="n">
        <f aca="false">IF(C39="","",D39/C39)</f>
        <v>1.17938712934453</v>
      </c>
      <c r="F39" s="14" t="n">
        <f aca="false">IF(C39="","",C39/B39)</f>
        <v>327.94</v>
      </c>
      <c r="G39" s="12" t="str">
        <f aca="false">IF(F39="","",IF(F39&lt;100,"Menos de 100 USD",IF(F39&lt;500,"100 a 500 USD",IF(F39&lt;2000,"500 a 2.000 USD","Más de 2.000 USD"))))</f>
        <v>100 a 500 USD</v>
      </c>
      <c r="H39" s="14" t="n">
        <f aca="false">IF(C39="","",MIN(D39,C39))</f>
        <v>6193.1469</v>
      </c>
    </row>
    <row r="40" customFormat="false" ht="15" hidden="false" customHeight="true" outlineLevel="0" collapsed="false">
      <c r="A40" s="12" t="s">
        <v>173</v>
      </c>
      <c r="B40" s="14" t="n">
        <v>18.885</v>
      </c>
      <c r="C40" s="14" t="str">
        <f aca="false">IF('MRR Conglomerado'!AH40&gt;0,'MRR Conglomerado'!AH40,"")</f>
        <v/>
      </c>
      <c r="D40" s="14" t="str">
        <f aca="false">IF(C40="","",'MRR Conglomerado'!AT40)</f>
        <v/>
      </c>
      <c r="E40" s="15" t="str">
        <f aca="false">IF(C40="","",D40/C40)</f>
        <v/>
      </c>
      <c r="F40" s="14" t="str">
        <f aca="false">IF(C40="","",C40/B40)</f>
        <v/>
      </c>
      <c r="G40" s="12" t="str">
        <f aca="false">IF(F40="","",IF(F40&lt;100,"Menos de 100 USD",IF(F40&lt;500,"100 a 500 USD",IF(F40&lt;2000,"500 a 2.000 USD","Más de 2.000 USD"))))</f>
        <v/>
      </c>
      <c r="H40" s="14" t="str">
        <f aca="false">IF(C40="","",MIN(D40,C40))</f>
        <v/>
      </c>
    </row>
    <row r="41" customFormat="false" ht="15" hidden="false" customHeight="true" outlineLevel="0" collapsed="false">
      <c r="A41" s="12" t="s">
        <v>176</v>
      </c>
      <c r="B41" s="14" t="n">
        <v>18.885</v>
      </c>
      <c r="C41" s="14" t="n">
        <f aca="false">IF('MRR Conglomerado'!AH41&gt;0,'MRR Conglomerado'!AH41,"")</f>
        <v>22149.4611</v>
      </c>
      <c r="D41" s="14" t="n">
        <f aca="false">IF(C41="","",'MRR Conglomerado'!AT41)</f>
        <v>23681.239944</v>
      </c>
      <c r="E41" s="15" t="n">
        <f aca="false">IF(C41="","",D41/C41)</f>
        <v>1.06915648363111</v>
      </c>
      <c r="F41" s="14" t="n">
        <f aca="false">IF(C41="","",C41/B41)</f>
        <v>1172.86</v>
      </c>
      <c r="G41" s="12" t="str">
        <f aca="false">IF(F41="","",IF(F41&lt;100,"Menos de 100 USD",IF(F41&lt;500,"100 a 500 USD",IF(F41&lt;2000,"500 a 2.000 USD","Más de 2.000 USD"))))</f>
        <v>500 a 2.000 USD</v>
      </c>
      <c r="H41" s="14" t="n">
        <f aca="false">IF(C41="","",MIN(D41,C41))</f>
        <v>22149.4611</v>
      </c>
    </row>
    <row r="42" customFormat="false" ht="15" hidden="false" customHeight="true" outlineLevel="0" collapsed="false">
      <c r="A42" s="12" t="s">
        <v>179</v>
      </c>
      <c r="B42" s="14" t="n">
        <v>18.885</v>
      </c>
      <c r="C42" s="14" t="str">
        <f aca="false">IF('MRR Conglomerado'!AH42&gt;0,'MRR Conglomerado'!AH42,"")</f>
        <v/>
      </c>
      <c r="D42" s="14" t="str">
        <f aca="false">IF(C42="","",'MRR Conglomerado'!AT42)</f>
        <v/>
      </c>
      <c r="E42" s="15" t="str">
        <f aca="false">IF(C42="","",D42/C42)</f>
        <v/>
      </c>
      <c r="F42" s="14" t="str">
        <f aca="false">IF(C42="","",C42/B42)</f>
        <v/>
      </c>
      <c r="G42" s="12" t="str">
        <f aca="false">IF(F42="","",IF(F42&lt;100,"Menos de 100 USD",IF(F42&lt;500,"100 a 500 USD",IF(F42&lt;2000,"500 a 2.000 USD","Más de 2.000 USD"))))</f>
        <v/>
      </c>
      <c r="H42" s="14" t="str">
        <f aca="false">IF(C42="","",MIN(D42,C42))</f>
        <v/>
      </c>
    </row>
    <row r="43" customFormat="false" ht="15" hidden="false" customHeight="true" outlineLevel="0" collapsed="false">
      <c r="A43" s="12" t="s">
        <v>182</v>
      </c>
      <c r="B43" s="14" t="n">
        <v>18.885</v>
      </c>
      <c r="C43" s="14" t="n">
        <f aca="false">IF('MRR Conglomerado'!AH43&gt;0,'MRR Conglomerado'!AH43,"")</f>
        <v>7337.01135</v>
      </c>
      <c r="D43" s="14" t="n">
        <f aca="false">IF(C43="","",'MRR Conglomerado'!AT43)</f>
        <v>0</v>
      </c>
      <c r="E43" s="15" t="n">
        <f aca="false">IF(C43="","",D43/C43)</f>
        <v>0</v>
      </c>
      <c r="F43" s="14" t="n">
        <f aca="false">IF(C43="","",C43/B43)</f>
        <v>388.51</v>
      </c>
      <c r="G43" s="12" t="str">
        <f aca="false">IF(F43="","",IF(F43&lt;100,"Menos de 100 USD",IF(F43&lt;500,"100 a 500 USD",IF(F43&lt;2000,"500 a 2.000 USD","Más de 2.000 USD"))))</f>
        <v>100 a 500 USD</v>
      </c>
      <c r="H43" s="14" t="n">
        <f aca="false">IF(C43="","",MIN(D43,C43))</f>
        <v>0</v>
      </c>
    </row>
    <row r="44" customFormat="false" ht="15" hidden="false" customHeight="true" outlineLevel="0" collapsed="false">
      <c r="A44" s="12" t="s">
        <v>185</v>
      </c>
      <c r="B44" s="14" t="n">
        <v>18.885</v>
      </c>
      <c r="C44" s="14" t="n">
        <f aca="false">IF('MRR Conglomerado'!AH44&gt;0,'MRR Conglomerado'!AH44,"")</f>
        <v>6121.3839</v>
      </c>
      <c r="D44" s="14" t="n">
        <f aca="false">IF(C44="","",'MRR Conglomerado'!AT44)</f>
        <v>6139.036232</v>
      </c>
      <c r="E44" s="15" t="n">
        <f aca="false">IF(C44="","",D44/C44)</f>
        <v>1.00288371588653</v>
      </c>
      <c r="F44" s="14" t="n">
        <f aca="false">IF(C44="","",C44/B44)</f>
        <v>324.14</v>
      </c>
      <c r="G44" s="12" t="str">
        <f aca="false">IF(F44="","",IF(F44&lt;100,"Menos de 100 USD",IF(F44&lt;500,"100 a 500 USD",IF(F44&lt;2000,"500 a 2.000 USD","Más de 2.000 USD"))))</f>
        <v>100 a 500 USD</v>
      </c>
      <c r="H44" s="14" t="n">
        <f aca="false">IF(C44="","",MIN(D44,C44))</f>
        <v>6121.3839</v>
      </c>
    </row>
    <row r="45" customFormat="false" ht="15" hidden="false" customHeight="true" outlineLevel="0" collapsed="false">
      <c r="A45" s="12" t="s">
        <v>188</v>
      </c>
      <c r="B45" s="14" t="n">
        <v>18.885</v>
      </c>
      <c r="C45" s="14" t="str">
        <f aca="false">IF('MRR Conglomerado'!AH45&gt;0,'MRR Conglomerado'!AH45,"")</f>
        <v/>
      </c>
      <c r="D45" s="14" t="str">
        <f aca="false">IF(C45="","",'MRR Conglomerado'!AT45)</f>
        <v/>
      </c>
      <c r="E45" s="15" t="str">
        <f aca="false">IF(C45="","",D45/C45)</f>
        <v/>
      </c>
      <c r="F45" s="14" t="str">
        <f aca="false">IF(C45="","",C45/B45)</f>
        <v/>
      </c>
      <c r="G45" s="12" t="str">
        <f aca="false">IF(F45="","",IF(F45&lt;100,"Menos de 100 USD",IF(F45&lt;500,"100 a 500 USD",IF(F45&lt;2000,"500 a 2.000 USD","Más de 2.000 USD"))))</f>
        <v/>
      </c>
      <c r="H45" s="14" t="str">
        <f aca="false">IF(C45="","",MIN(D45,C45))</f>
        <v/>
      </c>
    </row>
    <row r="46" customFormat="false" ht="15" hidden="false" customHeight="true" outlineLevel="0" collapsed="false">
      <c r="A46" s="12" t="s">
        <v>191</v>
      </c>
      <c r="B46" s="14" t="n">
        <v>18.885</v>
      </c>
      <c r="C46" s="14" t="n">
        <f aca="false">IF('MRR Conglomerado'!AH46&gt;0,'MRR Conglomerado'!AH46,"")</f>
        <v>1750.6395</v>
      </c>
      <c r="D46" s="14" t="n">
        <f aca="false">IF(C46="","",'MRR Conglomerado'!AT46)</f>
        <v>1701.855584</v>
      </c>
      <c r="E46" s="15" t="n">
        <f aca="false">IF(C46="","",D46/C46)</f>
        <v>0.972133659728345</v>
      </c>
      <c r="F46" s="14" t="n">
        <f aca="false">IF(C46="","",C46/B46)</f>
        <v>92.7</v>
      </c>
      <c r="G46" s="12" t="str">
        <f aca="false">IF(F46="","",IF(F46&lt;100,"Menos de 100 USD",IF(F46&lt;500,"100 a 500 USD",IF(F46&lt;2000,"500 a 2.000 USD","Más de 2.000 USD"))))</f>
        <v>Menos de 100 USD</v>
      </c>
      <c r="H46" s="14" t="n">
        <f aca="false">IF(C46="","",MIN(D46,C46))</f>
        <v>1701.855584</v>
      </c>
    </row>
    <row r="47" customFormat="false" ht="15" hidden="false" customHeight="true" outlineLevel="0" collapsed="false">
      <c r="A47" s="12" t="s">
        <v>194</v>
      </c>
      <c r="B47" s="14" t="n">
        <v>18.885</v>
      </c>
      <c r="C47" s="14" t="str">
        <f aca="false">IF('MRR Conglomerado'!AH47&gt;0,'MRR Conglomerado'!AH47,"")</f>
        <v/>
      </c>
      <c r="D47" s="14" t="str">
        <f aca="false">IF(C47="","",'MRR Conglomerado'!AT47)</f>
        <v/>
      </c>
      <c r="E47" s="15" t="str">
        <f aca="false">IF(C47="","",D47/C47)</f>
        <v/>
      </c>
      <c r="F47" s="14" t="str">
        <f aca="false">IF(C47="","",C47/B47)</f>
        <v/>
      </c>
      <c r="G47" s="12" t="str">
        <f aca="false">IF(F47="","",IF(F47&lt;100,"Menos de 100 USD",IF(F47&lt;500,"100 a 500 USD",IF(F47&lt;2000,"500 a 2.000 USD","Más de 2.000 USD"))))</f>
        <v/>
      </c>
      <c r="H47" s="14" t="str">
        <f aca="false">IF(C47="","",MIN(D47,C47))</f>
        <v/>
      </c>
    </row>
    <row r="48" customFormat="false" ht="15" hidden="false" customHeight="true" outlineLevel="0" collapsed="false">
      <c r="A48" s="12" t="s">
        <v>197</v>
      </c>
      <c r="B48" s="14" t="n">
        <v>18.885</v>
      </c>
      <c r="C48" s="14" t="str">
        <f aca="false">IF('MRR Conglomerado'!AH48&gt;0,'MRR Conglomerado'!AH48,"")</f>
        <v/>
      </c>
      <c r="D48" s="14" t="str">
        <f aca="false">IF(C48="","",'MRR Conglomerado'!AT48)</f>
        <v/>
      </c>
      <c r="E48" s="15" t="str">
        <f aca="false">IF(C48="","",D48/C48)</f>
        <v/>
      </c>
      <c r="F48" s="14" t="str">
        <f aca="false">IF(C48="","",C48/B48)</f>
        <v/>
      </c>
      <c r="G48" s="12" t="str">
        <f aca="false">IF(F48="","",IF(F48&lt;100,"Menos de 100 USD",IF(F48&lt;500,"100 a 500 USD",IF(F48&lt;2000,"500 a 2.000 USD","Más de 2.000 USD"))))</f>
        <v/>
      </c>
      <c r="H48" s="14" t="str">
        <f aca="false">IF(C48="","",MIN(D48,C48))</f>
        <v/>
      </c>
    </row>
    <row r="49" customFormat="false" ht="15" hidden="false" customHeight="true" outlineLevel="0" collapsed="false">
      <c r="A49" s="12" t="s">
        <v>200</v>
      </c>
      <c r="B49" s="14" t="n">
        <v>18.885</v>
      </c>
      <c r="C49" s="14" t="str">
        <f aca="false">IF('MRR Conglomerado'!AH49&gt;0,'MRR Conglomerado'!AH49,"")</f>
        <v/>
      </c>
      <c r="D49" s="14" t="str">
        <f aca="false">IF(C49="","",'MRR Conglomerado'!AT49)</f>
        <v/>
      </c>
      <c r="E49" s="15" t="str">
        <f aca="false">IF(C49="","",D49/C49)</f>
        <v/>
      </c>
      <c r="F49" s="14" t="str">
        <f aca="false">IF(C49="","",C49/B49)</f>
        <v/>
      </c>
      <c r="G49" s="12" t="str">
        <f aca="false">IF(F49="","",IF(F49&lt;100,"Menos de 100 USD",IF(F49&lt;500,"100 a 500 USD",IF(F49&lt;2000,"500 a 2.000 USD","Más de 2.000 USD"))))</f>
        <v/>
      </c>
      <c r="H49" s="14" t="str">
        <f aca="false">IF(C49="","",MIN(D49,C49))</f>
        <v/>
      </c>
    </row>
    <row r="50" customFormat="false" ht="15" hidden="false" customHeight="true" outlineLevel="0" collapsed="false">
      <c r="A50" s="12" t="s">
        <v>203</v>
      </c>
      <c r="B50" s="14" t="n">
        <v>18.885</v>
      </c>
      <c r="C50" s="14" t="n">
        <f aca="false">IF('MRR Conglomerado'!AH50&gt;0,'MRR Conglomerado'!AH50,"")</f>
        <v>3255.0186</v>
      </c>
      <c r="D50" s="14" t="n">
        <f aca="false">IF(C50="","",'MRR Conglomerado'!AT50)</f>
        <v>3374.30848</v>
      </c>
      <c r="E50" s="15" t="n">
        <f aca="false">IF(C50="","",D50/C50)</f>
        <v>1.03664798720351</v>
      </c>
      <c r="F50" s="14" t="n">
        <f aca="false">IF(C50="","",C50/B50)</f>
        <v>172.36</v>
      </c>
      <c r="G50" s="12" t="str">
        <f aca="false">IF(F50="","",IF(F50&lt;100,"Menos de 100 USD",IF(F50&lt;500,"100 a 500 USD",IF(F50&lt;2000,"500 a 2.000 USD","Más de 2.000 USD"))))</f>
        <v>100 a 500 USD</v>
      </c>
      <c r="H50" s="14" t="n">
        <f aca="false">IF(C50="","",MIN(D50,C50))</f>
        <v>3255.0186</v>
      </c>
    </row>
    <row r="51" customFormat="false" ht="15" hidden="false" customHeight="true" outlineLevel="0" collapsed="false">
      <c r="A51" s="12" t="s">
        <v>206</v>
      </c>
      <c r="B51" s="14" t="n">
        <v>18.885</v>
      </c>
      <c r="C51" s="14" t="str">
        <f aca="false">IF('MRR Conglomerado'!AH51&gt;0,'MRR Conglomerado'!AH51,"")</f>
        <v/>
      </c>
      <c r="D51" s="14" t="str">
        <f aca="false">IF(C51="","",'MRR Conglomerado'!AT51)</f>
        <v/>
      </c>
      <c r="E51" s="15" t="str">
        <f aca="false">IF(C51="","",D51/C51)</f>
        <v/>
      </c>
      <c r="F51" s="14" t="str">
        <f aca="false">IF(C51="","",C51/B51)</f>
        <v/>
      </c>
      <c r="G51" s="12" t="str">
        <f aca="false">IF(F51="","",IF(F51&lt;100,"Menos de 100 USD",IF(F51&lt;500,"100 a 500 USD",IF(F51&lt;2000,"500 a 2.000 USD","Más de 2.000 USD"))))</f>
        <v/>
      </c>
      <c r="H51" s="14" t="str">
        <f aca="false">IF(C51="","",MIN(D51,C51))</f>
        <v/>
      </c>
    </row>
    <row r="52" customFormat="false" ht="15" hidden="false" customHeight="true" outlineLevel="0" collapsed="false">
      <c r="A52" s="12" t="s">
        <v>209</v>
      </c>
      <c r="B52" s="14" t="n">
        <v>18.885</v>
      </c>
      <c r="C52" s="14" t="str">
        <f aca="false">IF('MRR Conglomerado'!AH52&gt;0,'MRR Conglomerado'!AH52,"")</f>
        <v/>
      </c>
      <c r="D52" s="14" t="str">
        <f aca="false">IF(C52="","",'MRR Conglomerado'!AT52)</f>
        <v/>
      </c>
      <c r="E52" s="15" t="str">
        <f aca="false">IF(C52="","",D52/C52)</f>
        <v/>
      </c>
      <c r="F52" s="14" t="str">
        <f aca="false">IF(C52="","",C52/B52)</f>
        <v/>
      </c>
      <c r="G52" s="12" t="str">
        <f aca="false">IF(F52="","",IF(F52&lt;100,"Menos de 100 USD",IF(F52&lt;500,"100 a 500 USD",IF(F52&lt;2000,"500 a 2.000 USD","Más de 2.000 USD"))))</f>
        <v/>
      </c>
      <c r="H52" s="14" t="str">
        <f aca="false">IF(C52="","",MIN(D52,C52))</f>
        <v/>
      </c>
    </row>
    <row r="53" customFormat="false" ht="15" hidden="false" customHeight="true" outlineLevel="0" collapsed="false">
      <c r="A53" s="12" t="s">
        <v>212</v>
      </c>
      <c r="B53" s="14" t="n">
        <v>18.885</v>
      </c>
      <c r="C53" s="14" t="str">
        <f aca="false">IF('MRR Conglomerado'!AH53&gt;0,'MRR Conglomerado'!AH53,"")</f>
        <v/>
      </c>
      <c r="D53" s="14" t="str">
        <f aca="false">IF(C53="","",'MRR Conglomerado'!AT53)</f>
        <v/>
      </c>
      <c r="E53" s="15" t="str">
        <f aca="false">IF(C53="","",D53/C53)</f>
        <v/>
      </c>
      <c r="F53" s="14" t="str">
        <f aca="false">IF(C53="","",C53/B53)</f>
        <v/>
      </c>
      <c r="G53" s="12" t="str">
        <f aca="false">IF(F53="","",IF(F53&lt;100,"Menos de 100 USD",IF(F53&lt;500,"100 a 500 USD",IF(F53&lt;2000,"500 a 2.000 USD","Más de 2.000 USD"))))</f>
        <v/>
      </c>
      <c r="H53" s="14" t="str">
        <f aca="false">IF(C53="","",MIN(D53,C53))</f>
        <v/>
      </c>
    </row>
    <row r="54" customFormat="false" ht="15" hidden="false" customHeight="true" outlineLevel="0" collapsed="false">
      <c r="A54" s="12" t="s">
        <v>215</v>
      </c>
      <c r="B54" s="14" t="n">
        <v>18.885</v>
      </c>
      <c r="C54" s="14" t="n">
        <f aca="false">IF('MRR Conglomerado'!AH54&gt;0,'MRR Conglomerado'!AH54,"")</f>
        <v>1917.2052</v>
      </c>
      <c r="D54" s="14" t="n">
        <f aca="false">IF(C54="","",'MRR Conglomerado'!AT54)</f>
        <v>4040.419376</v>
      </c>
      <c r="E54" s="15" t="n">
        <f aca="false">IF(C54="","",D54/C54)</f>
        <v>2.10745275257964</v>
      </c>
      <c r="F54" s="14" t="n">
        <f aca="false">IF(C54="","",C54/B54)</f>
        <v>101.52</v>
      </c>
      <c r="G54" s="12" t="str">
        <f aca="false">IF(F54="","",IF(F54&lt;100,"Menos de 100 USD",IF(F54&lt;500,"100 a 500 USD",IF(F54&lt;2000,"500 a 2.000 USD","Más de 2.000 USD"))))</f>
        <v>100 a 500 USD</v>
      </c>
      <c r="H54" s="14" t="n">
        <f aca="false">IF(C54="","",MIN(D54,C54))</f>
        <v>1917.2052</v>
      </c>
    </row>
    <row r="55" customFormat="false" ht="15" hidden="false" customHeight="true" outlineLevel="0" collapsed="false">
      <c r="A55" s="12" t="s">
        <v>218</v>
      </c>
      <c r="B55" s="14" t="n">
        <v>18.885</v>
      </c>
      <c r="C55" s="14" t="n">
        <f aca="false">IF('MRR Conglomerado'!AH55&gt;0,'MRR Conglomerado'!AH55,"")</f>
        <v>749.92335</v>
      </c>
      <c r="D55" s="14" t="n">
        <f aca="false">IF(C55="","",'MRR Conglomerado'!AT55)</f>
        <v>1000.041424</v>
      </c>
      <c r="E55" s="15" t="n">
        <f aca="false">IF(C55="","",D55/C55)</f>
        <v>1.33352485157316</v>
      </c>
      <c r="F55" s="14" t="n">
        <f aca="false">IF(C55="","",C55/B55)</f>
        <v>39.71</v>
      </c>
      <c r="G55" s="12" t="str">
        <f aca="false">IF(F55="","",IF(F55&lt;100,"Menos de 100 USD",IF(F55&lt;500,"100 a 500 USD",IF(F55&lt;2000,"500 a 2.000 USD","Más de 2.000 USD"))))</f>
        <v>Menos de 100 USD</v>
      </c>
      <c r="H55" s="14" t="n">
        <f aca="false">IF(C55="","",MIN(D55,C55))</f>
        <v>749.92335</v>
      </c>
    </row>
    <row r="56" customFormat="false" ht="15" hidden="false" customHeight="true" outlineLevel="0" collapsed="false">
      <c r="A56" s="12" t="s">
        <v>221</v>
      </c>
      <c r="B56" s="14" t="n">
        <v>18.885</v>
      </c>
      <c r="C56" s="14" t="str">
        <f aca="false">IF('MRR Conglomerado'!AH56&gt;0,'MRR Conglomerado'!AH56,"")</f>
        <v/>
      </c>
      <c r="D56" s="14" t="str">
        <f aca="false">IF(C56="","",'MRR Conglomerado'!AT56)</f>
        <v/>
      </c>
      <c r="E56" s="15" t="str">
        <f aca="false">IF(C56="","",D56/C56)</f>
        <v/>
      </c>
      <c r="F56" s="14" t="str">
        <f aca="false">IF(C56="","",C56/B56)</f>
        <v/>
      </c>
      <c r="G56" s="12" t="str">
        <f aca="false">IF(F56="","",IF(F56&lt;100,"Menos de 100 USD",IF(F56&lt;500,"100 a 500 USD",IF(F56&lt;2000,"500 a 2.000 USD","Más de 2.000 USD"))))</f>
        <v/>
      </c>
      <c r="H56" s="14" t="str">
        <f aca="false">IF(C56="","",MIN(D56,C56))</f>
        <v/>
      </c>
    </row>
    <row r="57" customFormat="false" ht="15" hidden="false" customHeight="true" outlineLevel="0" collapsed="false">
      <c r="A57" s="12" t="s">
        <v>224</v>
      </c>
      <c r="B57" s="14" t="n">
        <v>18.885</v>
      </c>
      <c r="C57" s="14" t="str">
        <f aca="false">IF('MRR Conglomerado'!AH57&gt;0,'MRR Conglomerado'!AH57,"")</f>
        <v/>
      </c>
      <c r="D57" s="14" t="str">
        <f aca="false">IF(C57="","",'MRR Conglomerado'!AT57)</f>
        <v/>
      </c>
      <c r="E57" s="15" t="str">
        <f aca="false">IF(C57="","",D57/C57)</f>
        <v/>
      </c>
      <c r="F57" s="14" t="str">
        <f aca="false">IF(C57="","",C57/B57)</f>
        <v/>
      </c>
      <c r="G57" s="12" t="str">
        <f aca="false">IF(F57="","",IF(F57&lt;100,"Menos de 100 USD",IF(F57&lt;500,"100 a 500 USD",IF(F57&lt;2000,"500 a 2.000 USD","Más de 2.000 USD"))))</f>
        <v/>
      </c>
      <c r="H57" s="14" t="str">
        <f aca="false">IF(C57="","",MIN(D57,C57))</f>
        <v/>
      </c>
    </row>
    <row r="58" customFormat="false" ht="15" hidden="false" customHeight="true" outlineLevel="0" collapsed="false">
      <c r="A58" s="12" t="s">
        <v>227</v>
      </c>
      <c r="B58" s="14" t="n">
        <v>18.885</v>
      </c>
      <c r="C58" s="14" t="str">
        <f aca="false">IF('MRR Conglomerado'!AH58&gt;0,'MRR Conglomerado'!AH58,"")</f>
        <v/>
      </c>
      <c r="D58" s="14" t="str">
        <f aca="false">IF(C58="","",'MRR Conglomerado'!AT58)</f>
        <v/>
      </c>
      <c r="E58" s="15" t="str">
        <f aca="false">IF(C58="","",D58/C58)</f>
        <v/>
      </c>
      <c r="F58" s="14" t="str">
        <f aca="false">IF(C58="","",C58/B58)</f>
        <v/>
      </c>
      <c r="G58" s="12" t="str">
        <f aca="false">IF(F58="","",IF(F58&lt;100,"Menos de 100 USD",IF(F58&lt;500,"100 a 500 USD",IF(F58&lt;2000,"500 a 2.000 USD","Más de 2.000 USD"))))</f>
        <v/>
      </c>
      <c r="H58" s="14" t="str">
        <f aca="false">IF(C58="","",MIN(D58,C58))</f>
        <v/>
      </c>
    </row>
    <row r="59" customFormat="false" ht="15" hidden="false" customHeight="true" outlineLevel="0" collapsed="false">
      <c r="A59" s="12" t="s">
        <v>230</v>
      </c>
      <c r="B59" s="14" t="n">
        <v>18.885</v>
      </c>
      <c r="C59" s="14" t="str">
        <f aca="false">IF('MRR Conglomerado'!AH59&gt;0,'MRR Conglomerado'!AH59,"")</f>
        <v/>
      </c>
      <c r="D59" s="14" t="str">
        <f aca="false">IF(C59="","",'MRR Conglomerado'!AT59)</f>
        <v/>
      </c>
      <c r="E59" s="15" t="str">
        <f aca="false">IF(C59="","",D59/C59)</f>
        <v/>
      </c>
      <c r="F59" s="14" t="str">
        <f aca="false">IF(C59="","",C59/B59)</f>
        <v/>
      </c>
      <c r="G59" s="12" t="str">
        <f aca="false">IF(F59="","",IF(F59&lt;100,"Menos de 100 USD",IF(F59&lt;500,"100 a 500 USD",IF(F59&lt;2000,"500 a 2.000 USD","Más de 2.000 USD"))))</f>
        <v/>
      </c>
      <c r="H59" s="14" t="str">
        <f aca="false">IF(C59="","",MIN(D59,C59))</f>
        <v/>
      </c>
    </row>
    <row r="60" customFormat="false" ht="15" hidden="false" customHeight="true" outlineLevel="0" collapsed="false">
      <c r="A60" s="12" t="s">
        <v>233</v>
      </c>
      <c r="B60" s="14" t="n">
        <v>18.885</v>
      </c>
      <c r="C60" s="14" t="str">
        <f aca="false">IF('MRR Conglomerado'!AH60&gt;0,'MRR Conglomerado'!AH60,"")</f>
        <v/>
      </c>
      <c r="D60" s="14" t="str">
        <f aca="false">IF(C60="","",'MRR Conglomerado'!AT60)</f>
        <v/>
      </c>
      <c r="E60" s="15" t="str">
        <f aca="false">IF(C60="","",D60/C60)</f>
        <v/>
      </c>
      <c r="F60" s="14" t="str">
        <f aca="false">IF(C60="","",C60/B60)</f>
        <v/>
      </c>
      <c r="G60" s="12" t="str">
        <f aca="false">IF(F60="","",IF(F60&lt;100,"Menos de 100 USD",IF(F60&lt;500,"100 a 500 USD",IF(F60&lt;2000,"500 a 2.000 USD","Más de 2.000 USD"))))</f>
        <v/>
      </c>
      <c r="H60" s="14" t="str">
        <f aca="false">IF(C60="","",MIN(D60,C60))</f>
        <v/>
      </c>
    </row>
    <row r="61" customFormat="false" ht="15" hidden="false" customHeight="true" outlineLevel="0" collapsed="false">
      <c r="A61" s="12" t="s">
        <v>236</v>
      </c>
      <c r="B61" s="14" t="n">
        <v>18.885</v>
      </c>
      <c r="C61" s="14" t="n">
        <f aca="false">IF('MRR Conglomerado'!AH61&gt;0,'MRR Conglomerado'!AH61,"")</f>
        <v>25999.92375</v>
      </c>
      <c r="D61" s="14" t="n">
        <f aca="false">IF(C61="","",'MRR Conglomerado'!AT61)</f>
        <v>0</v>
      </c>
      <c r="E61" s="15" t="n">
        <f aca="false">IF(C61="","",D61/C61)</f>
        <v>0</v>
      </c>
      <c r="F61" s="14" t="n">
        <f aca="false">IF(C61="","",C61/B61)</f>
        <v>1376.75</v>
      </c>
      <c r="G61" s="12" t="str">
        <f aca="false">IF(F61="","",IF(F61&lt;100,"Menos de 100 USD",IF(F61&lt;500,"100 a 500 USD",IF(F61&lt;2000,"500 a 2.000 USD","Más de 2.000 USD"))))</f>
        <v>500 a 2.000 USD</v>
      </c>
      <c r="H61" s="14" t="n">
        <f aca="false">IF(C61="","",MIN(D61,C61))</f>
        <v>0</v>
      </c>
    </row>
    <row r="62" customFormat="false" ht="15" hidden="false" customHeight="true" outlineLevel="0" collapsed="false">
      <c r="A62" s="12" t="s">
        <v>239</v>
      </c>
      <c r="B62" s="14" t="n">
        <v>18.885</v>
      </c>
      <c r="C62" s="14" t="n">
        <f aca="false">IF('MRR Conglomerado'!AH62&gt;0,'MRR Conglomerado'!AH62,"")</f>
        <v>797.13585</v>
      </c>
      <c r="D62" s="14" t="n">
        <f aca="false">IF(C62="","",'MRR Conglomerado'!AT62)</f>
        <v>826.600568</v>
      </c>
      <c r="E62" s="15" t="n">
        <f aca="false">IF(C62="","",D62/C62)</f>
        <v>1.03696323280404</v>
      </c>
      <c r="F62" s="14" t="n">
        <f aca="false">IF(C62="","",C62/B62)</f>
        <v>42.21</v>
      </c>
      <c r="G62" s="12" t="str">
        <f aca="false">IF(F62="","",IF(F62&lt;100,"Menos de 100 USD",IF(F62&lt;500,"100 a 500 USD",IF(F62&lt;2000,"500 a 2.000 USD","Más de 2.000 USD"))))</f>
        <v>Menos de 100 USD</v>
      </c>
      <c r="H62" s="14" t="n">
        <f aca="false">IF(C62="","",MIN(D62,C62))</f>
        <v>797.13585</v>
      </c>
    </row>
    <row r="63" customFormat="false" ht="15" hidden="false" customHeight="true" outlineLevel="0" collapsed="false">
      <c r="A63" s="12" t="s">
        <v>242</v>
      </c>
      <c r="B63" s="14" t="n">
        <v>18.885</v>
      </c>
      <c r="C63" s="14" t="str">
        <f aca="false">IF('MRR Conglomerado'!AH63&gt;0,'MRR Conglomerado'!AH63,"")</f>
        <v/>
      </c>
      <c r="D63" s="14" t="str">
        <f aca="false">IF(C63="","",'MRR Conglomerado'!AT63)</f>
        <v/>
      </c>
      <c r="E63" s="15" t="str">
        <f aca="false">IF(C63="","",D63/C63)</f>
        <v/>
      </c>
      <c r="F63" s="14" t="str">
        <f aca="false">IF(C63="","",C63/B63)</f>
        <v/>
      </c>
      <c r="G63" s="12" t="str">
        <f aca="false">IF(F63="","",IF(F63&lt;100,"Menos de 100 USD",IF(F63&lt;500,"100 a 500 USD",IF(F63&lt;2000,"500 a 2.000 USD","Más de 2.000 USD"))))</f>
        <v/>
      </c>
      <c r="H63" s="14" t="str">
        <f aca="false">IF(C63="","",MIN(D63,C63))</f>
        <v/>
      </c>
    </row>
    <row r="64" customFormat="false" ht="15" hidden="false" customHeight="true" outlineLevel="0" collapsed="false">
      <c r="A64" s="12" t="s">
        <v>245</v>
      </c>
      <c r="B64" s="14" t="n">
        <v>18.885</v>
      </c>
      <c r="C64" s="14" t="n">
        <f aca="false">IF('MRR Conglomerado'!AH64&gt;0,'MRR Conglomerado'!AH64,"")</f>
        <v>2639.93415</v>
      </c>
      <c r="D64" s="14" t="n">
        <f aca="false">IF(C64="","",'MRR Conglomerado'!AT64)</f>
        <v>2479.97672</v>
      </c>
      <c r="E64" s="15" t="n">
        <f aca="false">IF(C64="","",D64/C64)</f>
        <v>0.939408553050462</v>
      </c>
      <c r="F64" s="14" t="n">
        <f aca="false">IF(C64="","",C64/B64)</f>
        <v>139.79</v>
      </c>
      <c r="G64" s="12" t="str">
        <f aca="false">IF(F64="","",IF(F64&lt;100,"Menos de 100 USD",IF(F64&lt;500,"100 a 500 USD",IF(F64&lt;2000,"500 a 2.000 USD","Más de 2.000 USD"))))</f>
        <v>100 a 500 USD</v>
      </c>
      <c r="H64" s="14" t="n">
        <f aca="false">IF(C64="","",MIN(D64,C64))</f>
        <v>2479.97672</v>
      </c>
    </row>
    <row r="65" customFormat="false" ht="15" hidden="false" customHeight="true" outlineLevel="0" collapsed="false">
      <c r="A65" s="12" t="s">
        <v>248</v>
      </c>
      <c r="B65" s="14" t="n">
        <v>18.885</v>
      </c>
      <c r="C65" s="14" t="n">
        <f aca="false">IF('MRR Conglomerado'!AH65&gt;0,'MRR Conglomerado'!AH65,"")</f>
        <v>1140.08745</v>
      </c>
      <c r="D65" s="14" t="n">
        <f aca="false">IF(C65="","",'MRR Conglomerado'!AT65)</f>
        <v>0</v>
      </c>
      <c r="E65" s="15" t="n">
        <f aca="false">IF(C65="","",D65/C65)</f>
        <v>0</v>
      </c>
      <c r="F65" s="14" t="n">
        <f aca="false">IF(C65="","",C65/B65)</f>
        <v>60.37</v>
      </c>
      <c r="G65" s="12" t="str">
        <f aca="false">IF(F65="","",IF(F65&lt;100,"Menos de 100 USD",IF(F65&lt;500,"100 a 500 USD",IF(F65&lt;2000,"500 a 2.000 USD","Más de 2.000 USD"))))</f>
        <v>Menos de 100 USD</v>
      </c>
      <c r="H65" s="14" t="n">
        <f aca="false">IF(C65="","",MIN(D65,C65))</f>
        <v>0</v>
      </c>
    </row>
    <row r="66" customFormat="false" ht="15" hidden="false" customHeight="true" outlineLevel="0" collapsed="false">
      <c r="A66" s="12" t="s">
        <v>251</v>
      </c>
      <c r="B66" s="14" t="n">
        <v>18.885</v>
      </c>
      <c r="C66" s="14" t="n">
        <f aca="false">IF('MRR Conglomerado'!AH66&gt;0,'MRR Conglomerado'!AH66,"")</f>
        <v>3516.19815</v>
      </c>
      <c r="D66" s="14" t="n">
        <f aca="false">IF(C66="","",'MRR Conglomerado'!AT66)</f>
        <v>3475.81776</v>
      </c>
      <c r="E66" s="15" t="n">
        <f aca="false">IF(C66="","",D66/C66)</f>
        <v>0.98851589464604</v>
      </c>
      <c r="F66" s="14" t="n">
        <f aca="false">IF(C66="","",C66/B66)</f>
        <v>186.19</v>
      </c>
      <c r="G66" s="12" t="str">
        <f aca="false">IF(F66="","",IF(F66&lt;100,"Menos de 100 USD",IF(F66&lt;500,"100 a 500 USD",IF(F66&lt;2000,"500 a 2.000 USD","Más de 2.000 USD"))))</f>
        <v>100 a 500 USD</v>
      </c>
      <c r="H66" s="14" t="n">
        <f aca="false">IF(C66="","",MIN(D66,C66))</f>
        <v>3475.81776</v>
      </c>
    </row>
    <row r="67" customFormat="false" ht="15" hidden="false" customHeight="true" outlineLevel="0" collapsed="false">
      <c r="A67" s="12" t="s">
        <v>254</v>
      </c>
      <c r="B67" s="14" t="n">
        <v>18.885</v>
      </c>
      <c r="C67" s="14" t="str">
        <f aca="false">IF('MRR Conglomerado'!AH67&gt;0,'MRR Conglomerado'!AH67,"")</f>
        <v/>
      </c>
      <c r="D67" s="14" t="str">
        <f aca="false">IF(C67="","",'MRR Conglomerado'!AT67)</f>
        <v/>
      </c>
      <c r="E67" s="15" t="str">
        <f aca="false">IF(C67="","",D67/C67)</f>
        <v/>
      </c>
      <c r="F67" s="14" t="str">
        <f aca="false">IF(C67="","",C67/B67)</f>
        <v/>
      </c>
      <c r="G67" s="12" t="str">
        <f aca="false">IF(F67="","",IF(F67&lt;100,"Menos de 100 USD",IF(F67&lt;500,"100 a 500 USD",IF(F67&lt;2000,"500 a 2.000 USD","Más de 2.000 USD"))))</f>
        <v/>
      </c>
      <c r="H67" s="14" t="str">
        <f aca="false">IF(C67="","",MIN(D67,C67))</f>
        <v/>
      </c>
    </row>
    <row r="68" customFormat="false" ht="15" hidden="false" customHeight="true" outlineLevel="0" collapsed="false">
      <c r="A68" s="12" t="s">
        <v>257</v>
      </c>
      <c r="B68" s="14" t="n">
        <v>18.885</v>
      </c>
      <c r="C68" s="14" t="n">
        <f aca="false">IF('MRR Conglomerado'!AH68&gt;0,'MRR Conglomerado'!AH68,"")</f>
        <v>17009.90835</v>
      </c>
      <c r="D68" s="14" t="n">
        <f aca="false">IF(C68="","",'MRR Conglomerado'!AT68)</f>
        <v>20205.072152</v>
      </c>
      <c r="E68" s="15" t="n">
        <f aca="false">IF(C68="","",D68/C68)</f>
        <v>1.1878413296683</v>
      </c>
      <c r="F68" s="14" t="n">
        <f aca="false">IF(C68="","",C68/B68)</f>
        <v>900.71</v>
      </c>
      <c r="G68" s="12" t="str">
        <f aca="false">IF(F68="","",IF(F68&lt;100,"Menos de 100 USD",IF(F68&lt;500,"100 a 500 USD",IF(F68&lt;2000,"500 a 2.000 USD","Más de 2.000 USD"))))</f>
        <v>500 a 2.000 USD</v>
      </c>
      <c r="H68" s="14" t="n">
        <f aca="false">IF(C68="","",MIN(D68,C68))</f>
        <v>17009.90835</v>
      </c>
    </row>
    <row r="69" customFormat="false" ht="15" hidden="false" customHeight="true" outlineLevel="0" collapsed="false">
      <c r="A69" s="12" t="s">
        <v>260</v>
      </c>
      <c r="B69" s="14" t="n">
        <v>18.885</v>
      </c>
      <c r="C69" s="14" t="n">
        <f aca="false">IF('MRR Conglomerado'!AH69&gt;0,'MRR Conglomerado'!AH69,"")</f>
        <v>349.93905</v>
      </c>
      <c r="D69" s="14" t="n">
        <f aca="false">IF(C69="","",'MRR Conglomerado'!AT69)</f>
        <v>217.719904</v>
      </c>
      <c r="E69" s="15" t="n">
        <f aca="false">IF(C69="","",D69/C69)</f>
        <v>0.622165214199444</v>
      </c>
      <c r="F69" s="14" t="n">
        <f aca="false">IF(C69="","",C69/B69)</f>
        <v>18.53</v>
      </c>
      <c r="G69" s="12" t="str">
        <f aca="false">IF(F69="","",IF(F69&lt;100,"Menos de 100 USD",IF(F69&lt;500,"100 a 500 USD",IF(F69&lt;2000,"500 a 2.000 USD","Más de 2.000 USD"))))</f>
        <v>Menos de 100 USD</v>
      </c>
      <c r="H69" s="14" t="n">
        <f aca="false">IF(C69="","",MIN(D69,C69))</f>
        <v>217.719904</v>
      </c>
    </row>
    <row r="70" customFormat="false" ht="15" hidden="false" customHeight="true" outlineLevel="0" collapsed="false">
      <c r="A70" s="12" t="s">
        <v>263</v>
      </c>
      <c r="B70" s="14" t="n">
        <v>18.885</v>
      </c>
      <c r="C70" s="14" t="str">
        <f aca="false">IF('MRR Conglomerado'!AH70&gt;0,'MRR Conglomerado'!AH70,"")</f>
        <v/>
      </c>
      <c r="D70" s="14" t="str">
        <f aca="false">IF(C70="","",'MRR Conglomerado'!AT70)</f>
        <v/>
      </c>
      <c r="E70" s="15" t="str">
        <f aca="false">IF(C70="","",D70/C70)</f>
        <v/>
      </c>
      <c r="F70" s="14" t="str">
        <f aca="false">IF(C70="","",C70/B70)</f>
        <v/>
      </c>
      <c r="G70" s="12" t="str">
        <f aca="false">IF(F70="","",IF(F70&lt;100,"Menos de 100 USD",IF(F70&lt;500,"100 a 500 USD",IF(F70&lt;2000,"500 a 2.000 USD","Más de 2.000 USD"))))</f>
        <v/>
      </c>
      <c r="H70" s="14" t="str">
        <f aca="false">IF(C70="","",MIN(D70,C70))</f>
        <v/>
      </c>
    </row>
    <row r="71" customFormat="false" ht="15" hidden="false" customHeight="true" outlineLevel="0" collapsed="false">
      <c r="A71" s="12" t="s">
        <v>266</v>
      </c>
      <c r="B71" s="14" t="n">
        <v>18.885</v>
      </c>
      <c r="C71" s="14" t="str">
        <f aca="false">IF('MRR Conglomerado'!AH71&gt;0,'MRR Conglomerado'!AH71,"")</f>
        <v/>
      </c>
      <c r="D71" s="14" t="str">
        <f aca="false">IF(C71="","",'MRR Conglomerado'!AT71)</f>
        <v/>
      </c>
      <c r="E71" s="15" t="str">
        <f aca="false">IF(C71="","",D71/C71)</f>
        <v/>
      </c>
      <c r="F71" s="14" t="str">
        <f aca="false">IF(C71="","",C71/B71)</f>
        <v/>
      </c>
      <c r="G71" s="12" t="str">
        <f aca="false">IF(F71="","",IF(F71&lt;100,"Menos de 100 USD",IF(F71&lt;500,"100 a 500 USD",IF(F71&lt;2000,"500 a 2.000 USD","Más de 2.000 USD"))))</f>
        <v/>
      </c>
      <c r="H71" s="14" t="str">
        <f aca="false">IF(C71="","",MIN(D71,C71))</f>
        <v/>
      </c>
    </row>
    <row r="72" customFormat="false" ht="15" hidden="false" customHeight="true" outlineLevel="0" collapsed="false">
      <c r="A72" s="12" t="s">
        <v>269</v>
      </c>
      <c r="B72" s="14" t="n">
        <v>18.885</v>
      </c>
      <c r="C72" s="14" t="n">
        <f aca="false">IF('MRR Conglomerado'!AH72&gt;0,'MRR Conglomerado'!AH72,"")</f>
        <v>7091.3175</v>
      </c>
      <c r="D72" s="14" t="n">
        <f aca="false">IF(C72="","",'MRR Conglomerado'!AT72)</f>
        <v>0</v>
      </c>
      <c r="E72" s="15" t="n">
        <f aca="false">IF(C72="","",D72/C72)</f>
        <v>0</v>
      </c>
      <c r="F72" s="14" t="n">
        <f aca="false">IF(C72="","",C72/B72)</f>
        <v>375.5</v>
      </c>
      <c r="G72" s="12" t="str">
        <f aca="false">IF(F72="","",IF(F72&lt;100,"Menos de 100 USD",IF(F72&lt;500,"100 a 500 USD",IF(F72&lt;2000,"500 a 2.000 USD","Más de 2.000 USD"))))</f>
        <v>100 a 500 USD</v>
      </c>
      <c r="H72" s="14" t="n">
        <f aca="false">IF(C72="","",MIN(D72,C72))</f>
        <v>0</v>
      </c>
    </row>
    <row r="73" customFormat="false" ht="15" hidden="false" customHeight="true" outlineLevel="0" collapsed="false">
      <c r="A73" s="12" t="s">
        <v>272</v>
      </c>
      <c r="B73" s="14" t="n">
        <v>18.885</v>
      </c>
      <c r="C73" s="14" t="str">
        <f aca="false">IF('MRR Conglomerado'!AH73&gt;0,'MRR Conglomerado'!AH73,"")</f>
        <v/>
      </c>
      <c r="D73" s="14" t="str">
        <f aca="false">IF(C73="","",'MRR Conglomerado'!AT73)</f>
        <v/>
      </c>
      <c r="E73" s="15" t="str">
        <f aca="false">IF(C73="","",D73/C73)</f>
        <v/>
      </c>
      <c r="F73" s="14" t="str">
        <f aca="false">IF(C73="","",C73/B73)</f>
        <v/>
      </c>
      <c r="G73" s="12" t="str">
        <f aca="false">IF(F73="","",IF(F73&lt;100,"Menos de 100 USD",IF(F73&lt;500,"100 a 500 USD",IF(F73&lt;2000,"500 a 2.000 USD","Más de 2.000 USD"))))</f>
        <v/>
      </c>
      <c r="H73" s="14" t="str">
        <f aca="false">IF(C73="","",MIN(D73,C73))</f>
        <v/>
      </c>
    </row>
    <row r="74" customFormat="false" ht="15" hidden="false" customHeight="true" outlineLevel="0" collapsed="false">
      <c r="A74" s="12" t="s">
        <v>275</v>
      </c>
      <c r="B74" s="14" t="n">
        <v>18.885</v>
      </c>
      <c r="C74" s="14" t="str">
        <f aca="false">IF('MRR Conglomerado'!AH74&gt;0,'MRR Conglomerado'!AH74,"")</f>
        <v/>
      </c>
      <c r="D74" s="14" t="str">
        <f aca="false">IF(C74="","",'MRR Conglomerado'!AT74)</f>
        <v/>
      </c>
      <c r="E74" s="15" t="str">
        <f aca="false">IF(C74="","",D74/C74)</f>
        <v/>
      </c>
      <c r="F74" s="14" t="str">
        <f aca="false">IF(C74="","",C74/B74)</f>
        <v/>
      </c>
      <c r="G74" s="12" t="str">
        <f aca="false">IF(F74="","",IF(F74&lt;100,"Menos de 100 USD",IF(F74&lt;500,"100 a 500 USD",IF(F74&lt;2000,"500 a 2.000 USD","Más de 2.000 USD"))))</f>
        <v/>
      </c>
      <c r="H74" s="14" t="str">
        <f aca="false">IF(C74="","",MIN(D74,C74))</f>
        <v/>
      </c>
    </row>
    <row r="75" customFormat="false" ht="15" hidden="false" customHeight="true" outlineLevel="0" collapsed="false">
      <c r="A75" s="12" t="s">
        <v>278</v>
      </c>
      <c r="B75" s="14" t="n">
        <v>18.885</v>
      </c>
      <c r="C75" s="14" t="str">
        <f aca="false">IF('MRR Conglomerado'!AH75&gt;0,'MRR Conglomerado'!AH75,"")</f>
        <v/>
      </c>
      <c r="D75" s="14" t="str">
        <f aca="false">IF(C75="","",'MRR Conglomerado'!AT75)</f>
        <v/>
      </c>
      <c r="E75" s="15" t="str">
        <f aca="false">IF(C75="","",D75/C75)</f>
        <v/>
      </c>
      <c r="F75" s="14" t="str">
        <f aca="false">IF(C75="","",C75/B75)</f>
        <v/>
      </c>
      <c r="G75" s="12" t="str">
        <f aca="false">IF(F75="","",IF(F75&lt;100,"Menos de 100 USD",IF(F75&lt;500,"100 a 500 USD",IF(F75&lt;2000,"500 a 2.000 USD","Más de 2.000 USD"))))</f>
        <v/>
      </c>
      <c r="H75" s="14" t="str">
        <f aca="false">IF(C75="","",MIN(D75,C75))</f>
        <v/>
      </c>
    </row>
    <row r="76" customFormat="false" ht="15" hidden="false" customHeight="true" outlineLevel="0" collapsed="false">
      <c r="A76" s="12" t="s">
        <v>281</v>
      </c>
      <c r="B76" s="14" t="n">
        <v>18.885</v>
      </c>
      <c r="C76" s="14" t="n">
        <f aca="false">IF('MRR Conglomerado'!AH76&gt;0,'MRR Conglomerado'!AH76,"")</f>
        <v>1199.9529</v>
      </c>
      <c r="D76" s="14" t="n">
        <f aca="false">IF(C76="","",'MRR Conglomerado'!AT76)</f>
        <v>0</v>
      </c>
      <c r="E76" s="15" t="n">
        <f aca="false">IF(C76="","",D76/C76)</f>
        <v>0</v>
      </c>
      <c r="F76" s="14" t="n">
        <f aca="false">IF(C76="","",C76/B76)</f>
        <v>63.54</v>
      </c>
      <c r="G76" s="12" t="str">
        <f aca="false">IF(F76="","",IF(F76&lt;100,"Menos de 100 USD",IF(F76&lt;500,"100 a 500 USD",IF(F76&lt;2000,"500 a 2.000 USD","Más de 2.000 USD"))))</f>
        <v>Menos de 100 USD</v>
      </c>
      <c r="H76" s="14" t="n">
        <f aca="false">IF(C76="","",MIN(D76,C76))</f>
        <v>0</v>
      </c>
    </row>
    <row r="77" customFormat="false" ht="15" hidden="false" customHeight="true" outlineLevel="0" collapsed="false">
      <c r="A77" s="12" t="s">
        <v>284</v>
      </c>
      <c r="B77" s="14" t="n">
        <v>18.885</v>
      </c>
      <c r="C77" s="14" t="str">
        <f aca="false">IF('MRR Conglomerado'!AH77&gt;0,'MRR Conglomerado'!AH77,"")</f>
        <v/>
      </c>
      <c r="D77" s="14" t="str">
        <f aca="false">IF(C77="","",'MRR Conglomerado'!AT77)</f>
        <v/>
      </c>
      <c r="E77" s="15" t="str">
        <f aca="false">IF(C77="","",D77/C77)</f>
        <v/>
      </c>
      <c r="F77" s="14" t="str">
        <f aca="false">IF(C77="","",C77/B77)</f>
        <v/>
      </c>
      <c r="G77" s="12" t="str">
        <f aca="false">IF(F77="","",IF(F77&lt;100,"Menos de 100 USD",IF(F77&lt;500,"100 a 500 USD",IF(F77&lt;2000,"500 a 2.000 USD","Más de 2.000 USD"))))</f>
        <v/>
      </c>
      <c r="H77" s="14" t="str">
        <f aca="false">IF(C77="","",MIN(D77,C77))</f>
        <v/>
      </c>
    </row>
    <row r="78" customFormat="false" ht="15" hidden="false" customHeight="true" outlineLevel="0" collapsed="false">
      <c r="A78" s="12" t="s">
        <v>287</v>
      </c>
      <c r="B78" s="14" t="n">
        <v>18.885</v>
      </c>
      <c r="C78" s="14" t="n">
        <f aca="false">IF('MRR Conglomerado'!AH78&gt;0,'MRR Conglomerado'!AH78,"")</f>
        <v>1560.08985</v>
      </c>
      <c r="D78" s="14" t="n">
        <f aca="false">IF(C78="","",'MRR Conglomerado'!AT78)</f>
        <v>1750.685048</v>
      </c>
      <c r="E78" s="15" t="n">
        <f aca="false">IF(C78="","",D78/C78)</f>
        <v>1.12216937248839</v>
      </c>
      <c r="F78" s="14" t="n">
        <f aca="false">IF(C78="","",C78/B78)</f>
        <v>82.61</v>
      </c>
      <c r="G78" s="12" t="str">
        <f aca="false">IF(F78="","",IF(F78&lt;100,"Menos de 100 USD",IF(F78&lt;500,"100 a 500 USD",IF(F78&lt;2000,"500 a 2.000 USD","Más de 2.000 USD"))))</f>
        <v>Menos de 100 USD</v>
      </c>
      <c r="H78" s="14" t="n">
        <f aca="false">IF(C78="","",MIN(D78,C78))</f>
        <v>1560.08985</v>
      </c>
    </row>
    <row r="79" customFormat="false" ht="15" hidden="false" customHeight="true" outlineLevel="0" collapsed="false">
      <c r="A79" s="12" t="s">
        <v>290</v>
      </c>
      <c r="B79" s="14" t="n">
        <v>18.885</v>
      </c>
      <c r="C79" s="14" t="str">
        <f aca="false">IF('MRR Conglomerado'!AH79&gt;0,'MRR Conglomerado'!AH79,"")</f>
        <v/>
      </c>
      <c r="D79" s="14" t="str">
        <f aca="false">IF(C79="","",'MRR Conglomerado'!AT79)</f>
        <v/>
      </c>
      <c r="E79" s="15" t="str">
        <f aca="false">IF(C79="","",D79/C79)</f>
        <v/>
      </c>
      <c r="F79" s="14" t="str">
        <f aca="false">IF(C79="","",C79/B79)</f>
        <v/>
      </c>
      <c r="G79" s="12" t="str">
        <f aca="false">IF(F79="","",IF(F79&lt;100,"Menos de 100 USD",IF(F79&lt;500,"100 a 500 USD",IF(F79&lt;2000,"500 a 2.000 USD","Más de 2.000 USD"))))</f>
        <v/>
      </c>
      <c r="H79" s="14" t="str">
        <f aca="false">IF(C79="","",MIN(D79,C79))</f>
        <v/>
      </c>
    </row>
    <row r="80" customFormat="false" ht="15" hidden="false" customHeight="true" outlineLevel="0" collapsed="false">
      <c r="A80" s="12" t="s">
        <v>293</v>
      </c>
      <c r="B80" s="14" t="n">
        <v>18.885</v>
      </c>
      <c r="C80" s="14" t="n">
        <f aca="false">IF('MRR Conglomerado'!AH80&gt;0,'MRR Conglomerado'!AH80,"")</f>
        <v>1638.0849</v>
      </c>
      <c r="D80" s="14" t="n">
        <f aca="false">IF(C80="","",'MRR Conglomerado'!AT80)</f>
        <v>1637.974744</v>
      </c>
      <c r="E80" s="15" t="n">
        <f aca="false">IF(C80="","",D80/C80)</f>
        <v>0.999932753180253</v>
      </c>
      <c r="F80" s="14" t="n">
        <f aca="false">IF(C80="","",C80/B80)</f>
        <v>86.74</v>
      </c>
      <c r="G80" s="12" t="str">
        <f aca="false">IF(F80="","",IF(F80&lt;100,"Menos de 100 USD",IF(F80&lt;500,"100 a 500 USD",IF(F80&lt;2000,"500 a 2.000 USD","Más de 2.000 USD"))))</f>
        <v>Menos de 100 USD</v>
      </c>
      <c r="H80" s="14" t="n">
        <f aca="false">IF(C80="","",MIN(D80,C80))</f>
        <v>1637.974744</v>
      </c>
    </row>
    <row r="81" customFormat="false" ht="15" hidden="false" customHeight="true" outlineLevel="0" collapsed="false">
      <c r="A81" s="12" t="s">
        <v>296</v>
      </c>
      <c r="B81" s="14" t="n">
        <v>18.885</v>
      </c>
      <c r="C81" s="14" t="str">
        <f aca="false">IF('MRR Conglomerado'!AH81&gt;0,'MRR Conglomerado'!AH81,"")</f>
        <v/>
      </c>
      <c r="D81" s="14" t="str">
        <f aca="false">IF(C81="","",'MRR Conglomerado'!AT81)</f>
        <v/>
      </c>
      <c r="E81" s="15" t="str">
        <f aca="false">IF(C81="","",D81/C81)</f>
        <v/>
      </c>
      <c r="F81" s="14" t="str">
        <f aca="false">IF(C81="","",C81/B81)</f>
        <v/>
      </c>
      <c r="G81" s="12" t="str">
        <f aca="false">IF(F81="","",IF(F81&lt;100,"Menos de 100 USD",IF(F81&lt;500,"100 a 500 USD",IF(F81&lt;2000,"500 a 2.000 USD","Más de 2.000 USD"))))</f>
        <v/>
      </c>
      <c r="H81" s="14" t="str">
        <f aca="false">IF(C81="","",MIN(D81,C81))</f>
        <v/>
      </c>
    </row>
    <row r="82" customFormat="false" ht="15" hidden="false" customHeight="true" outlineLevel="0" collapsed="false">
      <c r="A82" s="12" t="s">
        <v>299</v>
      </c>
      <c r="B82" s="14" t="n">
        <v>18.885</v>
      </c>
      <c r="C82" s="14" t="str">
        <f aca="false">IF('MRR Conglomerado'!AH82&gt;0,'MRR Conglomerado'!AH82,"")</f>
        <v/>
      </c>
      <c r="D82" s="14" t="str">
        <f aca="false">IF(C82="","",'MRR Conglomerado'!AT82)</f>
        <v/>
      </c>
      <c r="E82" s="15" t="str">
        <f aca="false">IF(C82="","",D82/C82)</f>
        <v/>
      </c>
      <c r="F82" s="14" t="str">
        <f aca="false">IF(C82="","",C82/B82)</f>
        <v/>
      </c>
      <c r="G82" s="12" t="str">
        <f aca="false">IF(F82="","",IF(F82&lt;100,"Menos de 100 USD",IF(F82&lt;500,"100 a 500 USD",IF(F82&lt;2000,"500 a 2.000 USD","Más de 2.000 USD"))))</f>
        <v/>
      </c>
      <c r="H82" s="14" t="str">
        <f aca="false">IF(C82="","",MIN(D82,C82))</f>
        <v/>
      </c>
    </row>
    <row r="83" customFormat="false" ht="15" hidden="false" customHeight="true" outlineLevel="0" collapsed="false">
      <c r="A83" s="12" t="s">
        <v>302</v>
      </c>
      <c r="B83" s="14" t="n">
        <v>18.885</v>
      </c>
      <c r="C83" s="14" t="n">
        <f aca="false">IF('MRR Conglomerado'!AH83&gt;0,'MRR Conglomerado'!AH83,"")</f>
        <v>984.6639</v>
      </c>
      <c r="D83" s="14" t="n">
        <f aca="false">IF(C83="","",'MRR Conglomerado'!AT83)</f>
        <v>567.226856</v>
      </c>
      <c r="E83" s="15" t="n">
        <f aca="false">IF(C83="","",D83/C83)</f>
        <v>0.57606139110005</v>
      </c>
      <c r="F83" s="14" t="n">
        <f aca="false">IF(C83="","",C83/B83)</f>
        <v>52.14</v>
      </c>
      <c r="G83" s="12" t="str">
        <f aca="false">IF(F83="","",IF(F83&lt;100,"Menos de 100 USD",IF(F83&lt;500,"100 a 500 USD",IF(F83&lt;2000,"500 a 2.000 USD","Más de 2.000 USD"))))</f>
        <v>Menos de 100 USD</v>
      </c>
      <c r="H83" s="14" t="n">
        <f aca="false">IF(C83="","",MIN(D83,C83))</f>
        <v>567.226856</v>
      </c>
    </row>
    <row r="84" customFormat="false" ht="15" hidden="false" customHeight="true" outlineLevel="0" collapsed="false">
      <c r="A84" s="12" t="s">
        <v>305</v>
      </c>
      <c r="B84" s="14" t="n">
        <v>18.885</v>
      </c>
      <c r="C84" s="14" t="str">
        <f aca="false">IF('MRR Conglomerado'!AH84&gt;0,'MRR Conglomerado'!AH84,"")</f>
        <v/>
      </c>
      <c r="D84" s="14" t="str">
        <f aca="false">IF(C84="","",'MRR Conglomerado'!AT84)</f>
        <v/>
      </c>
      <c r="E84" s="15" t="str">
        <f aca="false">IF(C84="","",D84/C84)</f>
        <v/>
      </c>
      <c r="F84" s="14" t="str">
        <f aca="false">IF(C84="","",C84/B84)</f>
        <v/>
      </c>
      <c r="G84" s="12" t="str">
        <f aca="false">IF(F84="","",IF(F84&lt;100,"Menos de 100 USD",IF(F84&lt;500,"100 a 500 USD",IF(F84&lt;2000,"500 a 2.000 USD","Más de 2.000 USD"))))</f>
        <v/>
      </c>
      <c r="H84" s="14" t="str">
        <f aca="false">IF(C84="","",MIN(D84,C84))</f>
        <v/>
      </c>
    </row>
    <row r="85" customFormat="false" ht="15" hidden="false" customHeight="true" outlineLevel="0" collapsed="false">
      <c r="A85" s="12" t="s">
        <v>308</v>
      </c>
      <c r="B85" s="14" t="n">
        <v>18.885</v>
      </c>
      <c r="C85" s="14" t="str">
        <f aca="false">IF('MRR Conglomerado'!AH85&gt;0,'MRR Conglomerado'!AH85,"")</f>
        <v/>
      </c>
      <c r="D85" s="14" t="str">
        <f aca="false">IF(C85="","",'MRR Conglomerado'!AT85)</f>
        <v/>
      </c>
      <c r="E85" s="15" t="str">
        <f aca="false">IF(C85="","",D85/C85)</f>
        <v/>
      </c>
      <c r="F85" s="14" t="str">
        <f aca="false">IF(C85="","",C85/B85)</f>
        <v/>
      </c>
      <c r="G85" s="12" t="str">
        <f aca="false">IF(F85="","",IF(F85&lt;100,"Menos de 100 USD",IF(F85&lt;500,"100 a 500 USD",IF(F85&lt;2000,"500 a 2.000 USD","Más de 2.000 USD"))))</f>
        <v/>
      </c>
      <c r="H85" s="14" t="str">
        <f aca="false">IF(C85="","",MIN(D85,C85))</f>
        <v/>
      </c>
    </row>
    <row r="86" customFormat="false" ht="15" hidden="false" customHeight="true" outlineLevel="0" collapsed="false">
      <c r="A86" s="12" t="s">
        <v>311</v>
      </c>
      <c r="B86" s="14" t="n">
        <v>18.885</v>
      </c>
      <c r="C86" s="14" t="str">
        <f aca="false">IF('MRR Conglomerado'!AH86&gt;0,'MRR Conglomerado'!AH86,"")</f>
        <v/>
      </c>
      <c r="D86" s="14" t="str">
        <f aca="false">IF(C86="","",'MRR Conglomerado'!AT86)</f>
        <v/>
      </c>
      <c r="E86" s="15" t="str">
        <f aca="false">IF(C86="","",D86/C86)</f>
        <v/>
      </c>
      <c r="F86" s="14" t="str">
        <f aca="false">IF(C86="","",C86/B86)</f>
        <v/>
      </c>
      <c r="G86" s="12" t="str">
        <f aca="false">IF(F86="","",IF(F86&lt;100,"Menos de 100 USD",IF(F86&lt;500,"100 a 500 USD",IF(F86&lt;2000,"500 a 2.000 USD","Más de 2.000 USD"))))</f>
        <v/>
      </c>
      <c r="H86" s="14" t="str">
        <f aca="false">IF(C86="","",MIN(D86,C86))</f>
        <v/>
      </c>
    </row>
    <row r="87" customFormat="false" ht="15" hidden="false" customHeight="true" outlineLevel="0" collapsed="false">
      <c r="A87" s="12" t="s">
        <v>314</v>
      </c>
      <c r="B87" s="14" t="n">
        <v>18.885</v>
      </c>
      <c r="C87" s="14" t="n">
        <f aca="false">IF('MRR Conglomerado'!AH87&gt;0,'MRR Conglomerado'!AH87,"")</f>
        <v>1812.5823</v>
      </c>
      <c r="D87" s="14" t="n">
        <f aca="false">IF(C87="","",'MRR Conglomerado'!AT87)</f>
        <v>1748.934888</v>
      </c>
      <c r="E87" s="15" t="n">
        <f aca="false">IF(C87="","",D87/C87)</f>
        <v>0.964885780910472</v>
      </c>
      <c r="F87" s="14" t="n">
        <f aca="false">IF(C87="","",C87/B87)</f>
        <v>95.98</v>
      </c>
      <c r="G87" s="12" t="str">
        <f aca="false">IF(F87="","",IF(F87&lt;100,"Menos de 100 USD",IF(F87&lt;500,"100 a 500 USD",IF(F87&lt;2000,"500 a 2.000 USD","Más de 2.000 USD"))))</f>
        <v>Menos de 100 USD</v>
      </c>
      <c r="H87" s="14" t="n">
        <f aca="false">IF(C87="","",MIN(D87,C87))</f>
        <v>1748.934888</v>
      </c>
    </row>
    <row r="88" customFormat="false" ht="15" hidden="false" customHeight="true" outlineLevel="0" collapsed="false">
      <c r="A88" s="12" t="s">
        <v>317</v>
      </c>
      <c r="B88" s="14" t="n">
        <v>18.885</v>
      </c>
      <c r="C88" s="14" t="n">
        <f aca="false">IF('MRR Conglomerado'!AH88&gt;0,'MRR Conglomerado'!AH88,"")</f>
        <v>881.9295</v>
      </c>
      <c r="D88" s="14" t="n">
        <f aca="false">IF(C88="","",'MRR Conglomerado'!AT88)</f>
        <v>0</v>
      </c>
      <c r="E88" s="15" t="n">
        <f aca="false">IF(C88="","",D88/C88)</f>
        <v>0</v>
      </c>
      <c r="F88" s="14" t="n">
        <f aca="false">IF(C88="","",C88/B88)</f>
        <v>46.7</v>
      </c>
      <c r="G88" s="12" t="str">
        <f aca="false">IF(F88="","",IF(F88&lt;100,"Menos de 100 USD",IF(F88&lt;500,"100 a 500 USD",IF(F88&lt;2000,"500 a 2.000 USD","Más de 2.000 USD"))))</f>
        <v>Menos de 100 USD</v>
      </c>
      <c r="H88" s="14" t="n">
        <f aca="false">IF(C88="","",MIN(D88,C88))</f>
        <v>0</v>
      </c>
    </row>
    <row r="89" customFormat="false" ht="15" hidden="false" customHeight="true" outlineLevel="0" collapsed="false">
      <c r="A89" s="12" t="s">
        <v>320</v>
      </c>
      <c r="B89" s="14" t="n">
        <v>18.885</v>
      </c>
      <c r="C89" s="14" t="n">
        <f aca="false">IF('MRR Conglomerado'!AH89&gt;0,'MRR Conglomerado'!AH89,"")</f>
        <v>2900.16945</v>
      </c>
      <c r="D89" s="14" t="n">
        <f aca="false">IF(C89="","",'MRR Conglomerado'!AT89)</f>
        <v>2685.270488</v>
      </c>
      <c r="E89" s="15" t="n">
        <f aca="false">IF(C89="","",D89/C89)</f>
        <v>0.925901239322413</v>
      </c>
      <c r="F89" s="14" t="n">
        <f aca="false">IF(C89="","",C89/B89)</f>
        <v>153.57</v>
      </c>
      <c r="G89" s="12" t="str">
        <f aca="false">IF(F89="","",IF(F89&lt;100,"Menos de 100 USD",IF(F89&lt;500,"100 a 500 USD",IF(F89&lt;2000,"500 a 2.000 USD","Más de 2.000 USD"))))</f>
        <v>100 a 500 USD</v>
      </c>
      <c r="H89" s="14" t="n">
        <f aca="false">IF(C89="","",MIN(D89,C89))</f>
        <v>2685.270488</v>
      </c>
    </row>
    <row r="90" customFormat="false" ht="15" hidden="false" customHeight="true" outlineLevel="0" collapsed="false">
      <c r="A90" s="12" t="s">
        <v>323</v>
      </c>
      <c r="B90" s="14" t="n">
        <v>18.885</v>
      </c>
      <c r="C90" s="14" t="str">
        <f aca="false">IF('MRR Conglomerado'!AH90&gt;0,'MRR Conglomerado'!AH90,"")</f>
        <v/>
      </c>
      <c r="D90" s="14" t="str">
        <f aca="false">IF(C90="","",'MRR Conglomerado'!AT90)</f>
        <v/>
      </c>
      <c r="E90" s="15" t="str">
        <f aca="false">IF(C90="","",D90/C90)</f>
        <v/>
      </c>
      <c r="F90" s="14" t="str">
        <f aca="false">IF(C90="","",C90/B90)</f>
        <v/>
      </c>
      <c r="G90" s="12" t="str">
        <f aca="false">IF(F90="","",IF(F90&lt;100,"Menos de 100 USD",IF(F90&lt;500,"100 a 500 USD",IF(F90&lt;2000,"500 a 2.000 USD","Más de 2.000 USD"))))</f>
        <v/>
      </c>
      <c r="H90" s="14" t="str">
        <f aca="false">IF(C90="","",MIN(D90,C90))</f>
        <v/>
      </c>
    </row>
    <row r="91" customFormat="false" ht="15" hidden="false" customHeight="true" outlineLevel="0" collapsed="false">
      <c r="A91" s="12" t="s">
        <v>326</v>
      </c>
      <c r="B91" s="14" t="n">
        <v>18.885</v>
      </c>
      <c r="C91" s="14" t="str">
        <f aca="false">IF('MRR Conglomerado'!AH91&gt;0,'MRR Conglomerado'!AH91,"")</f>
        <v/>
      </c>
      <c r="D91" s="14" t="str">
        <f aca="false">IF(C91="","",'MRR Conglomerado'!AT91)</f>
        <v/>
      </c>
      <c r="E91" s="15" t="str">
        <f aca="false">IF(C91="","",D91/C91)</f>
        <v/>
      </c>
      <c r="F91" s="14" t="str">
        <f aca="false">IF(C91="","",C91/B91)</f>
        <v/>
      </c>
      <c r="G91" s="12" t="str">
        <f aca="false">IF(F91="","",IF(F91&lt;100,"Menos de 100 USD",IF(F91&lt;500,"100 a 500 USD",IF(F91&lt;2000,"500 a 2.000 USD","Más de 2.000 USD"))))</f>
        <v/>
      </c>
      <c r="H91" s="14" t="str">
        <f aca="false">IF(C91="","",MIN(D91,C91))</f>
        <v/>
      </c>
    </row>
    <row r="92" customFormat="false" ht="15" hidden="false" customHeight="true" outlineLevel="0" collapsed="false">
      <c r="A92" s="12" t="s">
        <v>329</v>
      </c>
      <c r="B92" s="14" t="n">
        <v>18.885</v>
      </c>
      <c r="C92" s="14" t="n">
        <f aca="false">IF('MRR Conglomerado'!AH92&gt;0,'MRR Conglomerado'!AH92,"")</f>
        <v>3484.47135</v>
      </c>
      <c r="D92" s="14" t="n">
        <f aca="false">IF(C92="","",'MRR Conglomerado'!AT92)</f>
        <v>1559.39256</v>
      </c>
      <c r="E92" s="15" t="n">
        <f aca="false">IF(C92="","",D92/C92)</f>
        <v>0.447526296923061</v>
      </c>
      <c r="F92" s="14" t="n">
        <f aca="false">IF(C92="","",C92/B92)</f>
        <v>184.51</v>
      </c>
      <c r="G92" s="12" t="str">
        <f aca="false">IF(F92="","",IF(F92&lt;100,"Menos de 100 USD",IF(F92&lt;500,"100 a 500 USD",IF(F92&lt;2000,"500 a 2.000 USD","Más de 2.000 USD"))))</f>
        <v>100 a 500 USD</v>
      </c>
      <c r="H92" s="14" t="n">
        <f aca="false">IF(C92="","",MIN(D92,C92))</f>
        <v>1559.39256</v>
      </c>
    </row>
    <row r="93" customFormat="false" ht="15" hidden="false" customHeight="true" outlineLevel="0" collapsed="false">
      <c r="A93" s="12" t="s">
        <v>332</v>
      </c>
      <c r="B93" s="14" t="n">
        <v>18.885</v>
      </c>
      <c r="C93" s="14" t="n">
        <f aca="false">IF('MRR Conglomerado'!AH93&gt;0,'MRR Conglomerado'!AH93,"")</f>
        <v>375.0561</v>
      </c>
      <c r="D93" s="14" t="n">
        <f aca="false">IF(C93="","",'MRR Conglomerado'!AT93)</f>
        <v>0</v>
      </c>
      <c r="E93" s="15" t="n">
        <f aca="false">IF(C93="","",D93/C93)</f>
        <v>0</v>
      </c>
      <c r="F93" s="14" t="n">
        <f aca="false">IF(C93="","",C93/B93)</f>
        <v>19.86</v>
      </c>
      <c r="G93" s="12" t="str">
        <f aca="false">IF(F93="","",IF(F93&lt;100,"Menos de 100 USD",IF(F93&lt;500,"100 a 500 USD",IF(F93&lt;2000,"500 a 2.000 USD","Más de 2.000 USD"))))</f>
        <v>Menos de 100 USD</v>
      </c>
      <c r="H93" s="14" t="n">
        <f aca="false">IF(C93="","",MIN(D93,C93))</f>
        <v>0</v>
      </c>
    </row>
    <row r="94" customFormat="false" ht="15" hidden="false" customHeight="true" outlineLevel="0" collapsed="false">
      <c r="A94" s="12" t="s">
        <v>335</v>
      </c>
      <c r="B94" s="14" t="n">
        <v>18.885</v>
      </c>
      <c r="C94" s="14" t="n">
        <f aca="false">IF('MRR Conglomerado'!AH94&gt;0,'MRR Conglomerado'!AH94,"")</f>
        <v>749.92335</v>
      </c>
      <c r="D94" s="14" t="n">
        <f aca="false">IF(C94="","",'MRR Conglomerado'!AT94)</f>
        <v>0</v>
      </c>
      <c r="E94" s="15" t="n">
        <f aca="false">IF(C94="","",D94/C94)</f>
        <v>0</v>
      </c>
      <c r="F94" s="14" t="n">
        <f aca="false">IF(C94="","",C94/B94)</f>
        <v>39.71</v>
      </c>
      <c r="G94" s="12" t="str">
        <f aca="false">IF(F94="","",IF(F94&lt;100,"Menos de 100 USD",IF(F94&lt;500,"100 a 500 USD",IF(F94&lt;2000,"500 a 2.000 USD","Más de 2.000 USD"))))</f>
        <v>Menos de 100 USD</v>
      </c>
      <c r="H94" s="14" t="n">
        <f aca="false">IF(C94="","",MIN(D94,C94))</f>
        <v>0</v>
      </c>
    </row>
    <row r="95" customFormat="false" ht="15" hidden="false" customHeight="true" outlineLevel="0" collapsed="false">
      <c r="A95" s="12" t="s">
        <v>338</v>
      </c>
      <c r="B95" s="14" t="n">
        <v>18.885</v>
      </c>
      <c r="C95" s="14" t="n">
        <f aca="false">IF('MRR Conglomerado'!AH95&gt;0,'MRR Conglomerado'!AH95,"")</f>
        <v>4800.00045</v>
      </c>
      <c r="D95" s="14" t="n">
        <f aca="false">IF(C95="","",'MRR Conglomerado'!AT95)</f>
        <v>4640.024192</v>
      </c>
      <c r="E95" s="15" t="n">
        <f aca="false">IF(C95="","",D95/C95)</f>
        <v>0.966671616041203</v>
      </c>
      <c r="F95" s="14" t="n">
        <f aca="false">IF(C95="","",C95/B95)</f>
        <v>254.17</v>
      </c>
      <c r="G95" s="12" t="str">
        <f aca="false">IF(F95="","",IF(F95&lt;100,"Menos de 100 USD",IF(F95&lt;500,"100 a 500 USD",IF(F95&lt;2000,"500 a 2.000 USD","Más de 2.000 USD"))))</f>
        <v>100 a 500 USD</v>
      </c>
      <c r="H95" s="14" t="n">
        <f aca="false">IF(C95="","",MIN(D95,C95))</f>
        <v>4640.024192</v>
      </c>
    </row>
    <row r="96" customFormat="false" ht="15" hidden="false" customHeight="true" outlineLevel="0" collapsed="false">
      <c r="A96" s="12" t="s">
        <v>341</v>
      </c>
      <c r="B96" s="14" t="n">
        <v>18.885</v>
      </c>
      <c r="C96" s="14" t="n">
        <f aca="false">IF('MRR Conglomerado'!AH96&gt;0,'MRR Conglomerado'!AH96,"")</f>
        <v>878.1525</v>
      </c>
      <c r="D96" s="14" t="n">
        <f aca="false">IF(C96="","",'MRR Conglomerado'!AT96)</f>
        <v>910.433232</v>
      </c>
      <c r="E96" s="15" t="n">
        <f aca="false">IF(C96="","",D96/C96)</f>
        <v>1.0367598247457</v>
      </c>
      <c r="F96" s="14" t="n">
        <f aca="false">IF(C96="","",C96/B96)</f>
        <v>46.5</v>
      </c>
      <c r="G96" s="12" t="str">
        <f aca="false">IF(F96="","",IF(F96&lt;100,"Menos de 100 USD",IF(F96&lt;500,"100 a 500 USD",IF(F96&lt;2000,"500 a 2.000 USD","Más de 2.000 USD"))))</f>
        <v>Menos de 100 USD</v>
      </c>
      <c r="H96" s="14" t="n">
        <f aca="false">IF(C96="","",MIN(D96,C96))</f>
        <v>878.1525</v>
      </c>
    </row>
    <row r="97" customFormat="false" ht="15" hidden="false" customHeight="true" outlineLevel="0" collapsed="false">
      <c r="A97" s="12" t="s">
        <v>344</v>
      </c>
      <c r="B97" s="14" t="n">
        <v>18.885</v>
      </c>
      <c r="C97" s="14" t="str">
        <f aca="false">IF('MRR Conglomerado'!AH97&gt;0,'MRR Conglomerado'!AH97,"")</f>
        <v/>
      </c>
      <c r="D97" s="14" t="str">
        <f aca="false">IF(C97="","",'MRR Conglomerado'!AT97)</f>
        <v/>
      </c>
      <c r="E97" s="15" t="str">
        <f aca="false">IF(C97="","",D97/C97)</f>
        <v/>
      </c>
      <c r="F97" s="14" t="str">
        <f aca="false">IF(C97="","",C97/B97)</f>
        <v/>
      </c>
      <c r="G97" s="12" t="str">
        <f aca="false">IF(F97="","",IF(F97&lt;100,"Menos de 100 USD",IF(F97&lt;500,"100 a 500 USD",IF(F97&lt;2000,"500 a 2.000 USD","Más de 2.000 USD"))))</f>
        <v/>
      </c>
      <c r="H97" s="14" t="str">
        <f aca="false">IF(C97="","",MIN(D97,C97))</f>
        <v/>
      </c>
    </row>
    <row r="98" customFormat="false" ht="15" hidden="false" customHeight="true" outlineLevel="0" collapsed="false">
      <c r="A98" s="12" t="s">
        <v>347</v>
      </c>
      <c r="B98" s="14" t="n">
        <v>18.885</v>
      </c>
      <c r="C98" s="14" t="str">
        <f aca="false">IF('MRR Conglomerado'!AH98&gt;0,'MRR Conglomerado'!AH98,"")</f>
        <v/>
      </c>
      <c r="D98" s="14" t="str">
        <f aca="false">IF(C98="","",'MRR Conglomerado'!AT98)</f>
        <v/>
      </c>
      <c r="E98" s="15" t="str">
        <f aca="false">IF(C98="","",D98/C98)</f>
        <v/>
      </c>
      <c r="F98" s="14" t="str">
        <f aca="false">IF(C98="","",C98/B98)</f>
        <v/>
      </c>
      <c r="G98" s="12" t="str">
        <f aca="false">IF(F98="","",IF(F98&lt;100,"Menos de 100 USD",IF(F98&lt;500,"100 a 500 USD",IF(F98&lt;2000,"500 a 2.000 USD","Más de 2.000 USD"))))</f>
        <v/>
      </c>
      <c r="H98" s="14" t="str">
        <f aca="false">IF(C98="","",MIN(D98,C98))</f>
        <v/>
      </c>
    </row>
    <row r="99" customFormat="false" ht="15" hidden="false" customHeight="true" outlineLevel="0" collapsed="false">
      <c r="A99" s="12" t="s">
        <v>350</v>
      </c>
      <c r="B99" s="14" t="n">
        <v>18.885</v>
      </c>
      <c r="C99" s="14" t="str">
        <f aca="false">IF('MRR Conglomerado'!AH99&gt;0,'MRR Conglomerado'!AH99,"")</f>
        <v/>
      </c>
      <c r="D99" s="14" t="str">
        <f aca="false">IF(C99="","",'MRR Conglomerado'!AT99)</f>
        <v/>
      </c>
      <c r="E99" s="15" t="str">
        <f aca="false">IF(C99="","",D99/C99)</f>
        <v/>
      </c>
      <c r="F99" s="14" t="str">
        <f aca="false">IF(C99="","",C99/B99)</f>
        <v/>
      </c>
      <c r="G99" s="12" t="str">
        <f aca="false">IF(F99="","",IF(F99&lt;100,"Menos de 100 USD",IF(F99&lt;500,"100 a 500 USD",IF(F99&lt;2000,"500 a 2.000 USD","Más de 2.000 USD"))))</f>
        <v/>
      </c>
      <c r="H99" s="14" t="str">
        <f aca="false">IF(C99="","",MIN(D99,C99))</f>
        <v/>
      </c>
    </row>
    <row r="100" customFormat="false" ht="15" hidden="false" customHeight="true" outlineLevel="0" collapsed="false">
      <c r="A100" s="12" t="s">
        <v>353</v>
      </c>
      <c r="B100" s="14" t="n">
        <v>18.885</v>
      </c>
      <c r="C100" s="14" t="str">
        <f aca="false">IF('MRR Conglomerado'!AH100&gt;0,'MRR Conglomerado'!AH100,"")</f>
        <v/>
      </c>
      <c r="D100" s="14" t="str">
        <f aca="false">IF(C100="","",'MRR Conglomerado'!AT100)</f>
        <v/>
      </c>
      <c r="E100" s="15" t="str">
        <f aca="false">IF(C100="","",D100/C100)</f>
        <v/>
      </c>
      <c r="F100" s="14" t="str">
        <f aca="false">IF(C100="","",C100/B100)</f>
        <v/>
      </c>
      <c r="G100" s="12" t="str">
        <f aca="false">IF(F100="","",IF(F100&lt;100,"Menos de 100 USD",IF(F100&lt;500,"100 a 500 USD",IF(F100&lt;2000,"500 a 2.000 USD","Más de 2.000 USD"))))</f>
        <v/>
      </c>
      <c r="H100" s="14" t="str">
        <f aca="false">IF(C100="","",MIN(D100,C100))</f>
        <v/>
      </c>
    </row>
    <row r="101" customFormat="false" ht="15" hidden="false" customHeight="true" outlineLevel="0" collapsed="false">
      <c r="A101" s="12" t="s">
        <v>356</v>
      </c>
      <c r="B101" s="14" t="n">
        <v>18.885</v>
      </c>
      <c r="C101" s="14" t="str">
        <f aca="false">IF('MRR Conglomerado'!AH101&gt;0,'MRR Conglomerado'!AH101,"")</f>
        <v/>
      </c>
      <c r="D101" s="14" t="str">
        <f aca="false">IF(C101="","",'MRR Conglomerado'!AT101)</f>
        <v/>
      </c>
      <c r="E101" s="15" t="str">
        <f aca="false">IF(C101="","",D101/C101)</f>
        <v/>
      </c>
      <c r="F101" s="14" t="str">
        <f aca="false">IF(C101="","",C101/B101)</f>
        <v/>
      </c>
      <c r="G101" s="12" t="str">
        <f aca="false">IF(F101="","",IF(F101&lt;100,"Menos de 100 USD",IF(F101&lt;500,"100 a 500 USD",IF(F101&lt;2000,"500 a 2.000 USD","Más de 2.000 USD"))))</f>
        <v/>
      </c>
      <c r="H101" s="14" t="str">
        <f aca="false">IF(C101="","",MIN(D101,C101))</f>
        <v/>
      </c>
    </row>
    <row r="102" customFormat="false" ht="15" hidden="false" customHeight="true" outlineLevel="0" collapsed="false">
      <c r="A102" s="12" t="s">
        <v>359</v>
      </c>
      <c r="B102" s="14" t="n">
        <v>18.885</v>
      </c>
      <c r="C102" s="14" t="n">
        <f aca="false">IF('MRR Conglomerado'!AH102&gt;0,'MRR Conglomerado'!AH102,"")</f>
        <v>1144.0533</v>
      </c>
      <c r="D102" s="14" t="n">
        <f aca="false">IF(C102="","",'MRR Conglomerado'!AT102)</f>
        <v>0</v>
      </c>
      <c r="E102" s="15" t="n">
        <f aca="false">IF(C102="","",D102/C102)</f>
        <v>0</v>
      </c>
      <c r="F102" s="14" t="n">
        <f aca="false">IF(C102="","",C102/B102)</f>
        <v>60.58</v>
      </c>
      <c r="G102" s="12" t="str">
        <f aca="false">IF(F102="","",IF(F102&lt;100,"Menos de 100 USD",IF(F102&lt;500,"100 a 500 USD",IF(F102&lt;2000,"500 a 2.000 USD","Más de 2.000 USD"))))</f>
        <v>Menos de 100 USD</v>
      </c>
      <c r="H102" s="14" t="n">
        <f aca="false">IF(C102="","",MIN(D102,C102))</f>
        <v>0</v>
      </c>
    </row>
    <row r="103" customFormat="false" ht="15" hidden="false" customHeight="true" outlineLevel="0" collapsed="false">
      <c r="A103" s="12" t="s">
        <v>362</v>
      </c>
      <c r="B103" s="14" t="n">
        <v>18.885</v>
      </c>
      <c r="C103" s="14" t="str">
        <f aca="false">IF('MRR Conglomerado'!AH103&gt;0,'MRR Conglomerado'!AH103,"")</f>
        <v/>
      </c>
      <c r="D103" s="14" t="str">
        <f aca="false">IF(C103="","",'MRR Conglomerado'!AT103)</f>
        <v/>
      </c>
      <c r="E103" s="15" t="str">
        <f aca="false">IF(C103="","",D103/C103)</f>
        <v/>
      </c>
      <c r="F103" s="14" t="str">
        <f aca="false">IF(C103="","",C103/B103)</f>
        <v/>
      </c>
      <c r="G103" s="12" t="str">
        <f aca="false">IF(F103="","",IF(F103&lt;100,"Menos de 100 USD",IF(F103&lt;500,"100 a 500 USD",IF(F103&lt;2000,"500 a 2.000 USD","Más de 2.000 USD"))))</f>
        <v/>
      </c>
      <c r="H103" s="14" t="str">
        <f aca="false">IF(C103="","",MIN(D103,C103))</f>
        <v/>
      </c>
    </row>
    <row r="104" customFormat="false" ht="15" hidden="false" customHeight="true" outlineLevel="0" collapsed="false">
      <c r="A104" s="12" t="s">
        <v>365</v>
      </c>
      <c r="B104" s="14" t="n">
        <v>18.885</v>
      </c>
      <c r="C104" s="14" t="n">
        <f aca="false">IF('MRR Conglomerado'!AH104&gt;0,'MRR Conglomerado'!AH104,"")</f>
        <v>2696.4003</v>
      </c>
      <c r="D104" s="14" t="n">
        <f aca="false">IF(C104="","",'MRR Conglomerado'!AT104)</f>
        <v>2796.230632</v>
      </c>
      <c r="E104" s="15" t="n">
        <f aca="false">IF(C104="","",D104/C104)</f>
        <v>1.03702355766686</v>
      </c>
      <c r="F104" s="14" t="n">
        <f aca="false">IF(C104="","",C104/B104)</f>
        <v>142.78</v>
      </c>
      <c r="G104" s="12" t="str">
        <f aca="false">IF(F104="","",IF(F104&lt;100,"Menos de 100 USD",IF(F104&lt;500,"100 a 500 USD",IF(F104&lt;2000,"500 a 2.000 USD","Más de 2.000 USD"))))</f>
        <v>100 a 500 USD</v>
      </c>
      <c r="H104" s="14" t="n">
        <f aca="false">IF(C104="","",MIN(D104,C104))</f>
        <v>2696.4003</v>
      </c>
    </row>
    <row r="105" customFormat="false" ht="15" hidden="false" customHeight="true" outlineLevel="0" collapsed="false">
      <c r="A105" s="12" t="s">
        <v>368</v>
      </c>
      <c r="B105" s="14" t="n">
        <v>18.885</v>
      </c>
      <c r="C105" s="14" t="str">
        <f aca="false">IF('MRR Conglomerado'!AH105&gt;0,'MRR Conglomerado'!AH105,"")</f>
        <v/>
      </c>
      <c r="D105" s="14" t="str">
        <f aca="false">IF(C105="","",'MRR Conglomerado'!AT105)</f>
        <v/>
      </c>
      <c r="E105" s="15" t="str">
        <f aca="false">IF(C105="","",D105/C105)</f>
        <v/>
      </c>
      <c r="F105" s="14" t="str">
        <f aca="false">IF(C105="","",C105/B105)</f>
        <v/>
      </c>
      <c r="G105" s="12" t="str">
        <f aca="false">IF(F105="","",IF(F105&lt;100,"Menos de 100 USD",IF(F105&lt;500,"100 a 500 USD",IF(F105&lt;2000,"500 a 2.000 USD","Más de 2.000 USD"))))</f>
        <v/>
      </c>
      <c r="H105" s="14" t="str">
        <f aca="false">IF(C105="","",MIN(D105,C105))</f>
        <v/>
      </c>
    </row>
    <row r="106" customFormat="false" ht="15" hidden="false" customHeight="true" outlineLevel="0" collapsed="false">
      <c r="A106" s="12" t="s">
        <v>371</v>
      </c>
      <c r="B106" s="14" t="n">
        <v>18.885</v>
      </c>
      <c r="C106" s="14" t="str">
        <f aca="false">IF('MRR Conglomerado'!AH106&gt;0,'MRR Conglomerado'!AH106,"")</f>
        <v/>
      </c>
      <c r="D106" s="14" t="str">
        <f aca="false">IF(C106="","",'MRR Conglomerado'!AT106)</f>
        <v/>
      </c>
      <c r="E106" s="15" t="str">
        <f aca="false">IF(C106="","",D106/C106)</f>
        <v/>
      </c>
      <c r="F106" s="14" t="str">
        <f aca="false">IF(C106="","",C106/B106)</f>
        <v/>
      </c>
      <c r="G106" s="12" t="str">
        <f aca="false">IF(F106="","",IF(F106&lt;100,"Menos de 100 USD",IF(F106&lt;500,"100 a 500 USD",IF(F106&lt;2000,"500 a 2.000 USD","Más de 2.000 USD"))))</f>
        <v/>
      </c>
      <c r="H106" s="14" t="str">
        <f aca="false">IF(C106="","",MIN(D106,C106))</f>
        <v/>
      </c>
    </row>
    <row r="107" customFormat="false" ht="15" hidden="false" customHeight="true" outlineLevel="0" collapsed="false">
      <c r="A107" s="12" t="s">
        <v>374</v>
      </c>
      <c r="B107" s="14" t="n">
        <v>18.885</v>
      </c>
      <c r="C107" s="14" t="str">
        <f aca="false">IF('MRR Conglomerado'!AH107&gt;0,'MRR Conglomerado'!AH107,"")</f>
        <v/>
      </c>
      <c r="D107" s="14" t="str">
        <f aca="false">IF(C107="","",'MRR Conglomerado'!AT107)</f>
        <v/>
      </c>
      <c r="E107" s="15" t="str">
        <f aca="false">IF(C107="","",D107/C107)</f>
        <v/>
      </c>
      <c r="F107" s="14" t="str">
        <f aca="false">IF(C107="","",C107/B107)</f>
        <v/>
      </c>
      <c r="G107" s="12" t="str">
        <f aca="false">IF(F107="","",IF(F107&lt;100,"Menos de 100 USD",IF(F107&lt;500,"100 a 500 USD",IF(F107&lt;2000,"500 a 2.000 USD","Más de 2.000 USD"))))</f>
        <v/>
      </c>
      <c r="H107" s="14" t="str">
        <f aca="false">IF(C107="","",MIN(D107,C107))</f>
        <v/>
      </c>
    </row>
    <row r="108" customFormat="false" ht="15" hidden="false" customHeight="true" outlineLevel="0" collapsed="false">
      <c r="A108" s="12" t="s">
        <v>377</v>
      </c>
      <c r="B108" s="14" t="n">
        <v>18.885</v>
      </c>
      <c r="C108" s="14" t="str">
        <f aca="false">IF('MRR Conglomerado'!AH108&gt;0,'MRR Conglomerado'!AH108,"")</f>
        <v/>
      </c>
      <c r="D108" s="14" t="str">
        <f aca="false">IF(C108="","",'MRR Conglomerado'!AT108)</f>
        <v/>
      </c>
      <c r="E108" s="15" t="str">
        <f aca="false">IF(C108="","",D108/C108)</f>
        <v/>
      </c>
      <c r="F108" s="14" t="str">
        <f aca="false">IF(C108="","",C108/B108)</f>
        <v/>
      </c>
      <c r="G108" s="12" t="str">
        <f aca="false">IF(F108="","",IF(F108&lt;100,"Menos de 100 USD",IF(F108&lt;500,"100 a 500 USD",IF(F108&lt;2000,"500 a 2.000 USD","Más de 2.000 USD"))))</f>
        <v/>
      </c>
      <c r="H108" s="14" t="str">
        <f aca="false">IF(C108="","",MIN(D108,C108))</f>
        <v/>
      </c>
    </row>
    <row r="109" customFormat="false" ht="15" hidden="false" customHeight="true" outlineLevel="0" collapsed="false">
      <c r="A109" s="12" t="s">
        <v>380</v>
      </c>
      <c r="B109" s="14" t="n">
        <v>18.885</v>
      </c>
      <c r="C109" s="14" t="str">
        <f aca="false">IF('MRR Conglomerado'!AH109&gt;0,'MRR Conglomerado'!AH109,"")</f>
        <v/>
      </c>
      <c r="D109" s="14" t="str">
        <f aca="false">IF(C109="","",'MRR Conglomerado'!AT109)</f>
        <v/>
      </c>
      <c r="E109" s="15" t="str">
        <f aca="false">IF(C109="","",D109/C109)</f>
        <v/>
      </c>
      <c r="F109" s="14" t="str">
        <f aca="false">IF(C109="","",C109/B109)</f>
        <v/>
      </c>
      <c r="G109" s="12" t="str">
        <f aca="false">IF(F109="","",IF(F109&lt;100,"Menos de 100 USD",IF(F109&lt;500,"100 a 500 USD",IF(F109&lt;2000,"500 a 2.000 USD","Más de 2.000 USD"))))</f>
        <v/>
      </c>
      <c r="H109" s="14" t="str">
        <f aca="false">IF(C109="","",MIN(D109,C109))</f>
        <v/>
      </c>
    </row>
    <row r="110" customFormat="false" ht="15" hidden="false" customHeight="true" outlineLevel="0" collapsed="false">
      <c r="A110" s="12" t="s">
        <v>383</v>
      </c>
      <c r="B110" s="14" t="n">
        <v>18.885</v>
      </c>
      <c r="C110" s="14" t="str">
        <f aca="false">IF('MRR Conglomerado'!AH110&gt;0,'MRR Conglomerado'!AH110,"")</f>
        <v/>
      </c>
      <c r="D110" s="14" t="str">
        <f aca="false">IF(C110="","",'MRR Conglomerado'!AT110)</f>
        <v/>
      </c>
      <c r="E110" s="15" t="str">
        <f aca="false">IF(C110="","",D110/C110)</f>
        <v/>
      </c>
      <c r="F110" s="14" t="str">
        <f aca="false">IF(C110="","",C110/B110)</f>
        <v/>
      </c>
      <c r="G110" s="12" t="str">
        <f aca="false">IF(F110="","",IF(F110&lt;100,"Menos de 100 USD",IF(F110&lt;500,"100 a 500 USD",IF(F110&lt;2000,"500 a 2.000 USD","Más de 2.000 USD"))))</f>
        <v/>
      </c>
      <c r="H110" s="14" t="str">
        <f aca="false">IF(C110="","",MIN(D110,C110))</f>
        <v/>
      </c>
    </row>
    <row r="111" customFormat="false" ht="15" hidden="false" customHeight="true" outlineLevel="0" collapsed="false">
      <c r="A111" s="12" t="s">
        <v>386</v>
      </c>
      <c r="B111" s="14" t="n">
        <v>18.885</v>
      </c>
      <c r="C111" s="14" t="n">
        <f aca="false">IF('MRR Conglomerado'!AH111&gt;0,'MRR Conglomerado'!AH111,"")</f>
        <v>6196.5462</v>
      </c>
      <c r="D111" s="14" t="n">
        <f aca="false">IF(C111="","",'MRR Conglomerado'!AT111)</f>
        <v>0</v>
      </c>
      <c r="E111" s="15" t="n">
        <f aca="false">IF(C111="","",D111/C111)</f>
        <v>0</v>
      </c>
      <c r="F111" s="14" t="n">
        <f aca="false">IF(C111="","",C111/B111)</f>
        <v>328.12</v>
      </c>
      <c r="G111" s="12" t="str">
        <f aca="false">IF(F111="","",IF(F111&lt;100,"Menos de 100 USD",IF(F111&lt;500,"100 a 500 USD",IF(F111&lt;2000,"500 a 2.000 USD","Más de 2.000 USD"))))</f>
        <v>100 a 500 USD</v>
      </c>
      <c r="H111" s="14" t="n">
        <f aca="false">IF(C111="","",MIN(D111,C111))</f>
        <v>0</v>
      </c>
    </row>
    <row r="112" customFormat="false" ht="15" hidden="false" customHeight="true" outlineLevel="0" collapsed="false">
      <c r="A112" s="12" t="s">
        <v>389</v>
      </c>
      <c r="B112" s="14" t="n">
        <v>18.885</v>
      </c>
      <c r="C112" s="14" t="n">
        <f aca="false">IF('MRR Conglomerado'!AH112&gt;0,'MRR Conglomerado'!AH112,"")</f>
        <v>16554.02445</v>
      </c>
      <c r="D112" s="14" t="n">
        <f aca="false">IF(C112="","",'MRR Conglomerado'!AT112)</f>
        <v>6216.918352</v>
      </c>
      <c r="E112" s="15" t="n">
        <f aca="false">IF(C112="","",D112/C112)</f>
        <v>0.375553290426607</v>
      </c>
      <c r="F112" s="14" t="n">
        <f aca="false">IF(C112="","",C112/B112)</f>
        <v>876.57</v>
      </c>
      <c r="G112" s="12" t="str">
        <f aca="false">IF(F112="","",IF(F112&lt;100,"Menos de 100 USD",IF(F112&lt;500,"100 a 500 USD",IF(F112&lt;2000,"500 a 2.000 USD","Más de 2.000 USD"))))</f>
        <v>500 a 2.000 USD</v>
      </c>
      <c r="H112" s="14" t="n">
        <f aca="false">IF(C112="","",MIN(D112,C112))</f>
        <v>6216.918352</v>
      </c>
    </row>
    <row r="113" customFormat="false" ht="15" hidden="false" customHeight="true" outlineLevel="0" collapsed="false">
      <c r="A113" s="12" t="s">
        <v>392</v>
      </c>
      <c r="B113" s="14" t="n">
        <v>18.885</v>
      </c>
      <c r="C113" s="14" t="n">
        <f aca="false">IF('MRR Conglomerado'!AH113&gt;0,'MRR Conglomerado'!AH113,"")</f>
        <v>10215.08535</v>
      </c>
      <c r="D113" s="14" t="n">
        <f aca="false">IF(C113="","",'MRR Conglomerado'!AT113)</f>
        <v>101592.937648</v>
      </c>
      <c r="E113" s="15" t="n">
        <f aca="false">IF(C113="","",D113/C113)</f>
        <v>9.94538314337237</v>
      </c>
      <c r="F113" s="14" t="n">
        <f aca="false">IF(C113="","",C113/B113)</f>
        <v>540.91</v>
      </c>
      <c r="G113" s="12" t="str">
        <f aca="false">IF(F113="","",IF(F113&lt;100,"Menos de 100 USD",IF(F113&lt;500,"100 a 500 USD",IF(F113&lt;2000,"500 a 2.000 USD","Más de 2.000 USD"))))</f>
        <v>500 a 2.000 USD</v>
      </c>
      <c r="H113" s="14" t="n">
        <f aca="false">IF(C113="","",MIN(D113,C113))</f>
        <v>10215.08535</v>
      </c>
    </row>
    <row r="114" customFormat="false" ht="15" hidden="false" customHeight="true" outlineLevel="0" collapsed="false">
      <c r="A114" s="12" t="s">
        <v>395</v>
      </c>
      <c r="B114" s="14" t="n">
        <v>18.885</v>
      </c>
      <c r="C114" s="14" t="n">
        <f aca="false">IF('MRR Conglomerado'!AH114&gt;0,'MRR Conglomerado'!AH114,"")</f>
        <v>350.1279</v>
      </c>
      <c r="D114" s="14" t="n">
        <f aca="false">IF(C114="","",'MRR Conglomerado'!AT114)</f>
        <v>0</v>
      </c>
      <c r="E114" s="15" t="n">
        <f aca="false">IF(C114="","",D114/C114)</f>
        <v>0</v>
      </c>
      <c r="F114" s="14" t="n">
        <f aca="false">IF(C114="","",C114/B114)</f>
        <v>18.54</v>
      </c>
      <c r="G114" s="12" t="str">
        <f aca="false">IF(F114="","",IF(F114&lt;100,"Menos de 100 USD",IF(F114&lt;500,"100 a 500 USD",IF(F114&lt;2000,"500 a 2.000 USD","Más de 2.000 USD"))))</f>
        <v>Menos de 100 USD</v>
      </c>
      <c r="H114" s="14" t="n">
        <f aca="false">IF(C114="","",MIN(D114,C114))</f>
        <v>0</v>
      </c>
    </row>
    <row r="115" customFormat="false" ht="15" hidden="false" customHeight="true" outlineLevel="0" collapsed="false">
      <c r="A115" s="12" t="s">
        <v>398</v>
      </c>
      <c r="B115" s="14" t="n">
        <v>18.885</v>
      </c>
      <c r="C115" s="14" t="str">
        <f aca="false">IF('MRR Conglomerado'!AH115&gt;0,'MRR Conglomerado'!AH115,"")</f>
        <v/>
      </c>
      <c r="D115" s="14" t="str">
        <f aca="false">IF(C115="","",'MRR Conglomerado'!AT115)</f>
        <v/>
      </c>
      <c r="E115" s="15" t="str">
        <f aca="false">IF(C115="","",D115/C115)</f>
        <v/>
      </c>
      <c r="F115" s="14" t="str">
        <f aca="false">IF(C115="","",C115/B115)</f>
        <v/>
      </c>
      <c r="G115" s="12" t="str">
        <f aca="false">IF(F115="","",IF(F115&lt;100,"Menos de 100 USD",IF(F115&lt;500,"100 a 500 USD",IF(F115&lt;2000,"500 a 2.000 USD","Más de 2.000 USD"))))</f>
        <v/>
      </c>
      <c r="H115" s="14" t="str">
        <f aca="false">IF(C115="","",MIN(D115,C115))</f>
        <v/>
      </c>
    </row>
    <row r="116" customFormat="false" ht="15" hidden="false" customHeight="true" outlineLevel="0" collapsed="false">
      <c r="A116" s="12" t="s">
        <v>401</v>
      </c>
      <c r="B116" s="14" t="n">
        <v>18.885</v>
      </c>
      <c r="C116" s="14" t="n">
        <f aca="false">IF('MRR Conglomerado'!AH116&gt;0,'MRR Conglomerado'!AH116,"")</f>
        <v>17849.53545</v>
      </c>
      <c r="D116" s="14" t="n">
        <f aca="false">IF(C116="","",'MRR Conglomerado'!AT116)</f>
        <v>25312.214048</v>
      </c>
      <c r="E116" s="15" t="n">
        <f aca="false">IF(C116="","",D116/C116)</f>
        <v>1.41808811321193</v>
      </c>
      <c r="F116" s="14" t="n">
        <f aca="false">IF(C116="","",C116/B116)</f>
        <v>945.17</v>
      </c>
      <c r="G116" s="12" t="str">
        <f aca="false">IF(F116="","",IF(F116&lt;100,"Menos de 100 USD",IF(F116&lt;500,"100 a 500 USD",IF(F116&lt;2000,"500 a 2.000 USD","Más de 2.000 USD"))))</f>
        <v>500 a 2.000 USD</v>
      </c>
      <c r="H116" s="14" t="n">
        <f aca="false">IF(C116="","",MIN(D116,C116))</f>
        <v>17849.53545</v>
      </c>
    </row>
    <row r="117" customFormat="false" ht="15" hidden="false" customHeight="true" outlineLevel="0" collapsed="false">
      <c r="A117" s="12" t="s">
        <v>404</v>
      </c>
      <c r="B117" s="14" t="n">
        <v>18.885</v>
      </c>
      <c r="C117" s="14" t="str">
        <f aca="false">IF('MRR Conglomerado'!AH117&gt;0,'MRR Conglomerado'!AH117,"")</f>
        <v/>
      </c>
      <c r="D117" s="14" t="str">
        <f aca="false">IF(C117="","",'MRR Conglomerado'!AT117)</f>
        <v/>
      </c>
      <c r="E117" s="15" t="str">
        <f aca="false">IF(C117="","",D117/C117)</f>
        <v/>
      </c>
      <c r="F117" s="14" t="str">
        <f aca="false">IF(C117="","",C117/B117)</f>
        <v/>
      </c>
      <c r="G117" s="12" t="str">
        <f aca="false">IF(F117="","",IF(F117&lt;100,"Menos de 100 USD",IF(F117&lt;500,"100 a 500 USD",IF(F117&lt;2000,"500 a 2.000 USD","Más de 2.000 USD"))))</f>
        <v/>
      </c>
      <c r="H117" s="14" t="str">
        <f aca="false">IF(C117="","",MIN(D117,C117))</f>
        <v/>
      </c>
    </row>
    <row r="118" customFormat="false" ht="15" hidden="false" customHeight="true" outlineLevel="0" collapsed="false">
      <c r="A118" s="12" t="s">
        <v>407</v>
      </c>
      <c r="B118" s="14" t="n">
        <v>18.885</v>
      </c>
      <c r="C118" s="14" t="str">
        <f aca="false">IF('MRR Conglomerado'!AH118&gt;0,'MRR Conglomerado'!AH118,"")</f>
        <v/>
      </c>
      <c r="D118" s="14" t="str">
        <f aca="false">IF(C118="","",'MRR Conglomerado'!AT118)</f>
        <v/>
      </c>
      <c r="E118" s="15" t="str">
        <f aca="false">IF(C118="","",D118/C118)</f>
        <v/>
      </c>
      <c r="F118" s="14" t="str">
        <f aca="false">IF(C118="","",C118/B118)</f>
        <v/>
      </c>
      <c r="G118" s="12" t="str">
        <f aca="false">IF(F118="","",IF(F118&lt;100,"Menos de 100 USD",IF(F118&lt;500,"100 a 500 USD",IF(F118&lt;2000,"500 a 2.000 USD","Más de 2.000 USD"))))</f>
        <v/>
      </c>
      <c r="H118" s="14" t="str">
        <f aca="false">IF(C118="","",MIN(D118,C118))</f>
        <v/>
      </c>
    </row>
    <row r="119" customFormat="false" ht="15" hidden="false" customHeight="true" outlineLevel="0" collapsed="false">
      <c r="A119" s="12" t="s">
        <v>410</v>
      </c>
      <c r="B119" s="14" t="n">
        <v>18.885</v>
      </c>
      <c r="C119" s="14" t="str">
        <f aca="false">IF('MRR Conglomerado'!AH119&gt;0,'MRR Conglomerado'!AH119,"")</f>
        <v/>
      </c>
      <c r="D119" s="14" t="str">
        <f aca="false">IF(C119="","",'MRR Conglomerado'!AT119)</f>
        <v/>
      </c>
      <c r="E119" s="15" t="str">
        <f aca="false">IF(C119="","",D119/C119)</f>
        <v/>
      </c>
      <c r="F119" s="14" t="str">
        <f aca="false">IF(C119="","",C119/B119)</f>
        <v/>
      </c>
      <c r="G119" s="12" t="str">
        <f aca="false">IF(F119="","",IF(F119&lt;100,"Menos de 100 USD",IF(F119&lt;500,"100 a 500 USD",IF(F119&lt;2000,"500 a 2.000 USD","Más de 2.000 USD"))))</f>
        <v/>
      </c>
      <c r="H119" s="14" t="str">
        <f aca="false">IF(C119="","",MIN(D119,C119))</f>
        <v/>
      </c>
    </row>
    <row r="120" customFormat="false" ht="15" hidden="false" customHeight="true" outlineLevel="0" collapsed="false">
      <c r="A120" s="12" t="s">
        <v>413</v>
      </c>
      <c r="B120" s="14" t="n">
        <v>18.885</v>
      </c>
      <c r="C120" s="14" t="n">
        <f aca="false">IF('MRR Conglomerado'!AH120&gt;0,'MRR Conglomerado'!AH120,"")</f>
        <v>7165.91325</v>
      </c>
      <c r="D120" s="14" t="n">
        <f aca="false">IF(C120="","",'MRR Conglomerado'!AT120)</f>
        <v>4411.453296</v>
      </c>
      <c r="E120" s="15" t="n">
        <f aca="false">IF(C120="","",D120/C120)</f>
        <v>0.615616341155121</v>
      </c>
      <c r="F120" s="14" t="n">
        <f aca="false">IF(C120="","",C120/B120)</f>
        <v>379.45</v>
      </c>
      <c r="G120" s="12" t="str">
        <f aca="false">IF(F120="","",IF(F120&lt;100,"Menos de 100 USD",IF(F120&lt;500,"100 a 500 USD",IF(F120&lt;2000,"500 a 2.000 USD","Más de 2.000 USD"))))</f>
        <v>100 a 500 USD</v>
      </c>
      <c r="H120" s="14" t="n">
        <f aca="false">IF(C120="","",MIN(D120,C120))</f>
        <v>4411.453296</v>
      </c>
    </row>
    <row r="121" customFormat="false" ht="15" hidden="false" customHeight="true" outlineLevel="0" collapsed="false">
      <c r="A121" s="12" t="s">
        <v>416</v>
      </c>
      <c r="B121" s="14" t="n">
        <v>18.885</v>
      </c>
      <c r="C121" s="14" t="str">
        <f aca="false">IF('MRR Conglomerado'!AH121&gt;0,'MRR Conglomerado'!AH121,"")</f>
        <v/>
      </c>
      <c r="D121" s="14" t="str">
        <f aca="false">IF(C121="","",'MRR Conglomerado'!AT121)</f>
        <v/>
      </c>
      <c r="E121" s="15" t="str">
        <f aca="false">IF(C121="","",D121/C121)</f>
        <v/>
      </c>
      <c r="F121" s="14" t="str">
        <f aca="false">IF(C121="","",C121/B121)</f>
        <v/>
      </c>
      <c r="G121" s="12" t="str">
        <f aca="false">IF(F121="","",IF(F121&lt;100,"Menos de 100 USD",IF(F121&lt;500,"100 a 500 USD",IF(F121&lt;2000,"500 a 2.000 USD","Más de 2.000 USD"))))</f>
        <v/>
      </c>
      <c r="H121" s="14" t="str">
        <f aca="false">IF(C121="","",MIN(D121,C121))</f>
        <v/>
      </c>
    </row>
    <row r="122" customFormat="false" ht="15" hidden="false" customHeight="true" outlineLevel="0" collapsed="false">
      <c r="A122" s="12" t="s">
        <v>419</v>
      </c>
      <c r="B122" s="14" t="n">
        <v>18.885</v>
      </c>
      <c r="C122" s="14" t="str">
        <f aca="false">IF('MRR Conglomerado'!AH122&gt;0,'MRR Conglomerado'!AH122,"")</f>
        <v/>
      </c>
      <c r="D122" s="14" t="str">
        <f aca="false">IF(C122="","",'MRR Conglomerado'!AT122)</f>
        <v/>
      </c>
      <c r="E122" s="15" t="str">
        <f aca="false">IF(C122="","",D122/C122)</f>
        <v/>
      </c>
      <c r="F122" s="14" t="str">
        <f aca="false">IF(C122="","",C122/B122)</f>
        <v/>
      </c>
      <c r="G122" s="12" t="str">
        <f aca="false">IF(F122="","",IF(F122&lt;100,"Menos de 100 USD",IF(F122&lt;500,"100 a 500 USD",IF(F122&lt;2000,"500 a 2.000 USD","Más de 2.000 USD"))))</f>
        <v/>
      </c>
      <c r="H122" s="14" t="str">
        <f aca="false">IF(C122="","",MIN(D122,C122))</f>
        <v/>
      </c>
    </row>
    <row r="123" customFormat="false" ht="15" hidden="false" customHeight="true" outlineLevel="0" collapsed="false">
      <c r="A123" s="12" t="s">
        <v>422</v>
      </c>
      <c r="B123" s="14" t="n">
        <v>18.885</v>
      </c>
      <c r="C123" s="14" t="n">
        <f aca="false">IF('MRR Conglomerado'!AH123&gt;0,'MRR Conglomerado'!AH123,"")</f>
        <v>14396.7909</v>
      </c>
      <c r="D123" s="14" t="n">
        <f aca="false">IF(C123="","",'MRR Conglomerado'!AT123)</f>
        <v>12632.304848</v>
      </c>
      <c r="E123" s="15" t="n">
        <f aca="false">IF(C123="","",D123/C123)</f>
        <v>0.877438933144469</v>
      </c>
      <c r="F123" s="14" t="n">
        <f aca="false">IF(C123="","",C123/B123)</f>
        <v>762.34</v>
      </c>
      <c r="G123" s="12" t="str">
        <f aca="false">IF(F123="","",IF(F123&lt;100,"Menos de 100 USD",IF(F123&lt;500,"100 a 500 USD",IF(F123&lt;2000,"500 a 2.000 USD","Más de 2.000 USD"))))</f>
        <v>500 a 2.000 USD</v>
      </c>
      <c r="H123" s="14" t="n">
        <f aca="false">IF(C123="","",MIN(D123,C123))</f>
        <v>12632.304848</v>
      </c>
    </row>
    <row r="124" customFormat="false" ht="15" hidden="false" customHeight="true" outlineLevel="0" collapsed="false">
      <c r="A124" s="12" t="s">
        <v>425</v>
      </c>
      <c r="B124" s="14" t="n">
        <v>18.885</v>
      </c>
      <c r="C124" s="14" t="str">
        <f aca="false">IF('MRR Conglomerado'!AH124&gt;0,'MRR Conglomerado'!AH124,"")</f>
        <v/>
      </c>
      <c r="D124" s="14" t="str">
        <f aca="false">IF(C124="","",'MRR Conglomerado'!AT124)</f>
        <v/>
      </c>
      <c r="E124" s="15" t="str">
        <f aca="false">IF(C124="","",D124/C124)</f>
        <v/>
      </c>
      <c r="F124" s="14" t="str">
        <f aca="false">IF(C124="","",C124/B124)</f>
        <v/>
      </c>
      <c r="G124" s="12" t="str">
        <f aca="false">IF(F124="","",IF(F124&lt;100,"Menos de 100 USD",IF(F124&lt;500,"100 a 500 USD",IF(F124&lt;2000,"500 a 2.000 USD","Más de 2.000 USD"))))</f>
        <v/>
      </c>
      <c r="H124" s="14" t="str">
        <f aca="false">IF(C124="","",MIN(D124,C124))</f>
        <v/>
      </c>
    </row>
    <row r="125" customFormat="false" ht="15" hidden="false" customHeight="true" outlineLevel="0" collapsed="false">
      <c r="A125" s="12" t="s">
        <v>428</v>
      </c>
      <c r="B125" s="14" t="n">
        <v>18.885</v>
      </c>
      <c r="C125" s="14" t="n">
        <f aca="false">IF('MRR Conglomerado'!AH125&gt;0,'MRR Conglomerado'!AH125,"")</f>
        <v>7038.62835</v>
      </c>
      <c r="D125" s="14" t="n">
        <f aca="false">IF(C125="","",'MRR Conglomerado'!AT125)</f>
        <v>8845.133624</v>
      </c>
      <c r="E125" s="15" t="n">
        <f aca="false">IF(C125="","",D125/C125)</f>
        <v>1.25665586875318</v>
      </c>
      <c r="F125" s="14" t="n">
        <f aca="false">IF(C125="","",C125/B125)</f>
        <v>372.71</v>
      </c>
      <c r="G125" s="12" t="str">
        <f aca="false">IF(F125="","",IF(F125&lt;100,"Menos de 100 USD",IF(F125&lt;500,"100 a 500 USD",IF(F125&lt;2000,"500 a 2.000 USD","Más de 2.000 USD"))))</f>
        <v>100 a 500 USD</v>
      </c>
      <c r="H125" s="14" t="n">
        <f aca="false">IF(C125="","",MIN(D125,C125))</f>
        <v>7038.62835</v>
      </c>
    </row>
    <row r="126" customFormat="false" ht="15" hidden="false" customHeight="true" outlineLevel="0" collapsed="false">
      <c r="A126" s="12" t="s">
        <v>431</v>
      </c>
      <c r="B126" s="14" t="n">
        <v>18.885</v>
      </c>
      <c r="C126" s="14" t="str">
        <f aca="false">IF('MRR Conglomerado'!AH126&gt;0,'MRR Conglomerado'!AH126,"")</f>
        <v/>
      </c>
      <c r="D126" s="14" t="str">
        <f aca="false">IF(C126="","",'MRR Conglomerado'!AT126)</f>
        <v/>
      </c>
      <c r="E126" s="15" t="str">
        <f aca="false">IF(C126="","",D126/C126)</f>
        <v/>
      </c>
      <c r="F126" s="14" t="str">
        <f aca="false">IF(C126="","",C126/B126)</f>
        <v/>
      </c>
      <c r="G126" s="12" t="str">
        <f aca="false">IF(F126="","",IF(F126&lt;100,"Menos de 100 USD",IF(F126&lt;500,"100 a 500 USD",IF(F126&lt;2000,"500 a 2.000 USD","Más de 2.000 USD"))))</f>
        <v/>
      </c>
      <c r="H126" s="14" t="str">
        <f aca="false">IF(C126="","",MIN(D126,C126))</f>
        <v/>
      </c>
    </row>
    <row r="127" customFormat="false" ht="15" hidden="false" customHeight="true" outlineLevel="0" collapsed="false">
      <c r="A127" s="12" t="s">
        <v>434</v>
      </c>
      <c r="B127" s="14" t="n">
        <v>18.885</v>
      </c>
      <c r="C127" s="14" t="str">
        <f aca="false">IF('MRR Conglomerado'!AH127&gt;0,'MRR Conglomerado'!AH127,"")</f>
        <v/>
      </c>
      <c r="D127" s="14" t="str">
        <f aca="false">IF(C127="","",'MRR Conglomerado'!AT127)</f>
        <v/>
      </c>
      <c r="E127" s="15" t="str">
        <f aca="false">IF(C127="","",D127/C127)</f>
        <v/>
      </c>
      <c r="F127" s="14" t="str">
        <f aca="false">IF(C127="","",C127/B127)</f>
        <v/>
      </c>
      <c r="G127" s="12" t="str">
        <f aca="false">IF(F127="","",IF(F127&lt;100,"Menos de 100 USD",IF(F127&lt;500,"100 a 500 USD",IF(F127&lt;2000,"500 a 2.000 USD","Más de 2.000 USD"))))</f>
        <v/>
      </c>
      <c r="H127" s="14" t="str">
        <f aca="false">IF(C127="","",MIN(D127,C127))</f>
        <v/>
      </c>
    </row>
    <row r="128" customFormat="false" ht="15" hidden="false" customHeight="true" outlineLevel="0" collapsed="false">
      <c r="A128" s="12" t="s">
        <v>437</v>
      </c>
      <c r="B128" s="14" t="n">
        <v>18.885</v>
      </c>
      <c r="C128" s="14" t="str">
        <f aca="false">IF('MRR Conglomerado'!AH128&gt;0,'MRR Conglomerado'!AH128,"")</f>
        <v/>
      </c>
      <c r="D128" s="14" t="str">
        <f aca="false">IF(C128="","",'MRR Conglomerado'!AT128)</f>
        <v/>
      </c>
      <c r="E128" s="15" t="str">
        <f aca="false">IF(C128="","",D128/C128)</f>
        <v/>
      </c>
      <c r="F128" s="14" t="str">
        <f aca="false">IF(C128="","",C128/B128)</f>
        <v/>
      </c>
      <c r="G128" s="12" t="str">
        <f aca="false">IF(F128="","",IF(F128&lt;100,"Menos de 100 USD",IF(F128&lt;500,"100 a 500 USD",IF(F128&lt;2000,"500 a 2.000 USD","Más de 2.000 USD"))))</f>
        <v/>
      </c>
      <c r="H128" s="14" t="str">
        <f aca="false">IF(C128="","",MIN(D128,C128))</f>
        <v/>
      </c>
    </row>
    <row r="129" customFormat="false" ht="15" hidden="false" customHeight="true" outlineLevel="0" collapsed="false">
      <c r="A129" s="12" t="s">
        <v>440</v>
      </c>
      <c r="B129" s="14" t="n">
        <v>18.885</v>
      </c>
      <c r="C129" s="14" t="n">
        <f aca="false">IF('MRR Conglomerado'!AH129&gt;0,'MRR Conglomerado'!AH129,"")</f>
        <v>14699.7063</v>
      </c>
      <c r="D129" s="14" t="n">
        <f aca="false">IF(C129="","",'MRR Conglomerado'!AT129)</f>
        <v>14588.808712</v>
      </c>
      <c r="E129" s="15" t="n">
        <f aca="false">IF(C129="","",D129/C129)</f>
        <v>0.992455795664434</v>
      </c>
      <c r="F129" s="14" t="n">
        <f aca="false">IF(C129="","",C129/B129)</f>
        <v>778.38</v>
      </c>
      <c r="G129" s="12" t="str">
        <f aca="false">IF(F129="","",IF(F129&lt;100,"Menos de 100 USD",IF(F129&lt;500,"100 a 500 USD",IF(F129&lt;2000,"500 a 2.000 USD","Más de 2.000 USD"))))</f>
        <v>500 a 2.000 USD</v>
      </c>
      <c r="H129" s="14" t="n">
        <f aca="false">IF(C129="","",MIN(D129,C129))</f>
        <v>14588.808712</v>
      </c>
    </row>
    <row r="130" customFormat="false" ht="15" hidden="false" customHeight="true" outlineLevel="0" collapsed="false">
      <c r="A130" s="12" t="s">
        <v>443</v>
      </c>
      <c r="B130" s="14" t="n">
        <v>18.885</v>
      </c>
      <c r="C130" s="14" t="str">
        <f aca="false">IF('MRR Conglomerado'!AH130&gt;0,'MRR Conglomerado'!AH130,"")</f>
        <v/>
      </c>
      <c r="D130" s="14" t="str">
        <f aca="false">IF(C130="","",'MRR Conglomerado'!AT130)</f>
        <v/>
      </c>
      <c r="E130" s="15" t="str">
        <f aca="false">IF(C130="","",D130/C130)</f>
        <v/>
      </c>
      <c r="F130" s="14" t="str">
        <f aca="false">IF(C130="","",C130/B130)</f>
        <v/>
      </c>
      <c r="G130" s="12" t="str">
        <f aca="false">IF(F130="","",IF(F130&lt;100,"Menos de 100 USD",IF(F130&lt;500,"100 a 500 USD",IF(F130&lt;2000,"500 a 2.000 USD","Más de 2.000 USD"))))</f>
        <v/>
      </c>
      <c r="H130" s="14" t="str">
        <f aca="false">IF(C130="","",MIN(D130,C130))</f>
        <v/>
      </c>
    </row>
    <row r="131" customFormat="false" ht="15" hidden="false" customHeight="true" outlineLevel="0" collapsed="false">
      <c r="A131" s="12" t="s">
        <v>446</v>
      </c>
      <c r="B131" s="14" t="n">
        <v>18.885</v>
      </c>
      <c r="C131" s="14" t="str">
        <f aca="false">IF('MRR Conglomerado'!AH131&gt;0,'MRR Conglomerado'!AH131,"")</f>
        <v/>
      </c>
      <c r="D131" s="14" t="str">
        <f aca="false">IF(C131="","",'MRR Conglomerado'!AT131)</f>
        <v/>
      </c>
      <c r="E131" s="15" t="str">
        <f aca="false">IF(C131="","",D131/C131)</f>
        <v/>
      </c>
      <c r="F131" s="14" t="str">
        <f aca="false">IF(C131="","",C131/B131)</f>
        <v/>
      </c>
      <c r="G131" s="12" t="str">
        <f aca="false">IF(F131="","",IF(F131&lt;100,"Menos de 100 USD",IF(F131&lt;500,"100 a 500 USD",IF(F131&lt;2000,"500 a 2.000 USD","Más de 2.000 USD"))))</f>
        <v/>
      </c>
      <c r="H131" s="14" t="str">
        <f aca="false">IF(C131="","",MIN(D131,C131))</f>
        <v/>
      </c>
    </row>
    <row r="132" customFormat="false" ht="15" hidden="false" customHeight="true" outlineLevel="0" collapsed="false">
      <c r="A132" s="12" t="s">
        <v>449</v>
      </c>
      <c r="B132" s="14" t="n">
        <v>18.885</v>
      </c>
      <c r="C132" s="14" t="str">
        <f aca="false">IF('MRR Conglomerado'!AH132&gt;0,'MRR Conglomerado'!AH132,"")</f>
        <v/>
      </c>
      <c r="D132" s="14" t="str">
        <f aca="false">IF(C132="","",'MRR Conglomerado'!AT132)</f>
        <v/>
      </c>
      <c r="E132" s="15" t="str">
        <f aca="false">IF(C132="","",D132/C132)</f>
        <v/>
      </c>
      <c r="F132" s="14" t="str">
        <f aca="false">IF(C132="","",C132/B132)</f>
        <v/>
      </c>
      <c r="G132" s="12" t="str">
        <f aca="false">IF(F132="","",IF(F132&lt;100,"Menos de 100 USD",IF(F132&lt;500,"100 a 500 USD",IF(F132&lt;2000,"500 a 2.000 USD","Más de 2.000 USD"))))</f>
        <v/>
      </c>
      <c r="H132" s="14" t="str">
        <f aca="false">IF(C132="","",MIN(D132,C132))</f>
        <v/>
      </c>
    </row>
    <row r="133" customFormat="false" ht="15" hidden="false" customHeight="true" outlineLevel="0" collapsed="false">
      <c r="A133" s="12" t="s">
        <v>452</v>
      </c>
      <c r="B133" s="14" t="n">
        <v>18.885</v>
      </c>
      <c r="C133" s="14" t="n">
        <f aca="false">IF('MRR Conglomerado'!AH133&gt;0,'MRR Conglomerado'!AH133,"")</f>
        <v>19382.0532</v>
      </c>
      <c r="D133" s="14" t="n">
        <f aca="false">IF(C133="","",'MRR Conglomerado'!AT133)</f>
        <v>15705.93584</v>
      </c>
      <c r="E133" s="15" t="n">
        <f aca="false">IF(C133="","",D133/C133)</f>
        <v>0.810333955744173</v>
      </c>
      <c r="F133" s="14" t="n">
        <f aca="false">IF(C133="","",C133/B133)</f>
        <v>1026.32</v>
      </c>
      <c r="G133" s="12" t="str">
        <f aca="false">IF(F133="","",IF(F133&lt;100,"Menos de 100 USD",IF(F133&lt;500,"100 a 500 USD",IF(F133&lt;2000,"500 a 2.000 USD","Más de 2.000 USD"))))</f>
        <v>500 a 2.000 USD</v>
      </c>
      <c r="H133" s="14" t="n">
        <f aca="false">IF(C133="","",MIN(D133,C133))</f>
        <v>15705.93584</v>
      </c>
    </row>
    <row r="134" customFormat="false" ht="15" hidden="false" customHeight="true" outlineLevel="0" collapsed="false">
      <c r="A134" s="12" t="s">
        <v>455</v>
      </c>
      <c r="B134" s="14" t="n">
        <v>18.885</v>
      </c>
      <c r="C134" s="14" t="str">
        <f aca="false">IF('MRR Conglomerado'!AH134&gt;0,'MRR Conglomerado'!AH134,"")</f>
        <v/>
      </c>
      <c r="D134" s="14" t="str">
        <f aca="false">IF(C134="","",'MRR Conglomerado'!AT134)</f>
        <v/>
      </c>
      <c r="E134" s="15" t="str">
        <f aca="false">IF(C134="","",D134/C134)</f>
        <v/>
      </c>
      <c r="F134" s="14" t="str">
        <f aca="false">IF(C134="","",C134/B134)</f>
        <v/>
      </c>
      <c r="G134" s="12" t="str">
        <f aca="false">IF(F134="","",IF(F134&lt;100,"Menos de 100 USD",IF(F134&lt;500,"100 a 500 USD",IF(F134&lt;2000,"500 a 2.000 USD","Más de 2.000 USD"))))</f>
        <v/>
      </c>
      <c r="H134" s="14" t="str">
        <f aca="false">IF(C134="","",MIN(D134,C134))</f>
        <v/>
      </c>
    </row>
    <row r="135" customFormat="false" ht="15" hidden="false" customHeight="true" outlineLevel="0" collapsed="false">
      <c r="A135" s="12" t="s">
        <v>458</v>
      </c>
      <c r="B135" s="14" t="n">
        <v>18.885</v>
      </c>
      <c r="C135" s="14" t="str">
        <f aca="false">IF('MRR Conglomerado'!AH135&gt;0,'MRR Conglomerado'!AH135,"")</f>
        <v/>
      </c>
      <c r="D135" s="14" t="str">
        <f aca="false">IF(C135="","",'MRR Conglomerado'!AT135)</f>
        <v/>
      </c>
      <c r="E135" s="15" t="str">
        <f aca="false">IF(C135="","",D135/C135)</f>
        <v/>
      </c>
      <c r="F135" s="14" t="str">
        <f aca="false">IF(C135="","",C135/B135)</f>
        <v/>
      </c>
      <c r="G135" s="12" t="str">
        <f aca="false">IF(F135="","",IF(F135&lt;100,"Menos de 100 USD",IF(F135&lt;500,"100 a 500 USD",IF(F135&lt;2000,"500 a 2.000 USD","Más de 2.000 USD"))))</f>
        <v/>
      </c>
      <c r="H135" s="14" t="str">
        <f aca="false">IF(C135="","",MIN(D135,C135))</f>
        <v/>
      </c>
    </row>
    <row r="136" customFormat="false" ht="15" hidden="false" customHeight="true" outlineLevel="0" collapsed="false">
      <c r="A136" s="12" t="s">
        <v>461</v>
      </c>
      <c r="B136" s="14" t="n">
        <v>18.885</v>
      </c>
      <c r="C136" s="14" t="str">
        <f aca="false">IF('MRR Conglomerado'!AH136&gt;0,'MRR Conglomerado'!AH136,"")</f>
        <v/>
      </c>
      <c r="D136" s="14" t="str">
        <f aca="false">IF(C136="","",'MRR Conglomerado'!AT136)</f>
        <v/>
      </c>
      <c r="E136" s="15" t="str">
        <f aca="false">IF(C136="","",D136/C136)</f>
        <v/>
      </c>
      <c r="F136" s="14" t="str">
        <f aca="false">IF(C136="","",C136/B136)</f>
        <v/>
      </c>
      <c r="G136" s="12" t="str">
        <f aca="false">IF(F136="","",IF(F136&lt;100,"Menos de 100 USD",IF(F136&lt;500,"100 a 500 USD",IF(F136&lt;2000,"500 a 2.000 USD","Más de 2.000 USD"))))</f>
        <v/>
      </c>
      <c r="H136" s="14" t="str">
        <f aca="false">IF(C136="","",MIN(D136,C136))</f>
        <v/>
      </c>
    </row>
    <row r="137" customFormat="false" ht="15" hidden="false" customHeight="true" outlineLevel="0" collapsed="false">
      <c r="A137" s="12" t="s">
        <v>464</v>
      </c>
      <c r="B137" s="14" t="n">
        <v>18.885</v>
      </c>
      <c r="C137" s="14" t="n">
        <f aca="false">IF('MRR Conglomerado'!AH137&gt;0,'MRR Conglomerado'!AH137,"")</f>
        <v>936.50715</v>
      </c>
      <c r="D137" s="14" t="n">
        <f aca="false">IF(C137="","",'MRR Conglomerado'!AT137)</f>
        <v>0</v>
      </c>
      <c r="E137" s="15" t="n">
        <f aca="false">IF(C137="","",D137/C137)</f>
        <v>0</v>
      </c>
      <c r="F137" s="14" t="n">
        <f aca="false">IF(C137="","",C137/B137)</f>
        <v>49.59</v>
      </c>
      <c r="G137" s="12" t="str">
        <f aca="false">IF(F137="","",IF(F137&lt;100,"Menos de 100 USD",IF(F137&lt;500,"100 a 500 USD",IF(F137&lt;2000,"500 a 2.000 USD","Más de 2.000 USD"))))</f>
        <v>Menos de 100 USD</v>
      </c>
      <c r="H137" s="14" t="n">
        <f aca="false">IF(C137="","",MIN(D137,C137))</f>
        <v>0</v>
      </c>
    </row>
    <row r="138" customFormat="false" ht="15" hidden="false" customHeight="true" outlineLevel="0" collapsed="false">
      <c r="A138" s="12" t="s">
        <v>467</v>
      </c>
      <c r="B138" s="14" t="n">
        <v>18.885</v>
      </c>
      <c r="C138" s="14" t="str">
        <f aca="false">IF('MRR Conglomerado'!AH138&gt;0,'MRR Conglomerado'!AH138,"")</f>
        <v/>
      </c>
      <c r="D138" s="14" t="str">
        <f aca="false">IF(C138="","",'MRR Conglomerado'!AT138)</f>
        <v/>
      </c>
      <c r="E138" s="15" t="str">
        <f aca="false">IF(C138="","",D138/C138)</f>
        <v/>
      </c>
      <c r="F138" s="14" t="str">
        <f aca="false">IF(C138="","",C138/B138)</f>
        <v/>
      </c>
      <c r="G138" s="12" t="str">
        <f aca="false">IF(F138="","",IF(F138&lt;100,"Menos de 100 USD",IF(F138&lt;500,"100 a 500 USD",IF(F138&lt;2000,"500 a 2.000 USD","Más de 2.000 USD"))))</f>
        <v/>
      </c>
      <c r="H138" s="14" t="str">
        <f aca="false">IF(C138="","",MIN(D138,C138))</f>
        <v/>
      </c>
    </row>
    <row r="139" customFormat="false" ht="15" hidden="false" customHeight="true" outlineLevel="0" collapsed="false">
      <c r="A139" s="12" t="s">
        <v>470</v>
      </c>
      <c r="B139" s="14" t="n">
        <v>18.885</v>
      </c>
      <c r="C139" s="14" t="n">
        <f aca="false">IF('MRR Conglomerado'!AH139&gt;0,'MRR Conglomerado'!AH139,"")</f>
        <v>1469.6307</v>
      </c>
      <c r="D139" s="14" t="n">
        <f aca="false">IF(C139="","",'MRR Conglomerado'!AT139)</f>
        <v>1469.609352</v>
      </c>
      <c r="E139" s="15" t="n">
        <f aca="false">IF(C139="","",D139/C139)</f>
        <v>0.999985473901709</v>
      </c>
      <c r="F139" s="14" t="n">
        <f aca="false">IF(C139="","",C139/B139)</f>
        <v>77.82</v>
      </c>
      <c r="G139" s="12" t="str">
        <f aca="false">IF(F139="","",IF(F139&lt;100,"Menos de 100 USD",IF(F139&lt;500,"100 a 500 USD",IF(F139&lt;2000,"500 a 2.000 USD","Más de 2.000 USD"))))</f>
        <v>Menos de 100 USD</v>
      </c>
      <c r="H139" s="14" t="n">
        <f aca="false">IF(C139="","",MIN(D139,C139))</f>
        <v>1469.609352</v>
      </c>
    </row>
    <row r="140" customFormat="false" ht="15" hidden="false" customHeight="true" outlineLevel="0" collapsed="false">
      <c r="A140" s="12" t="s">
        <v>473</v>
      </c>
      <c r="B140" s="14" t="n">
        <v>18.885</v>
      </c>
      <c r="C140" s="14" t="n">
        <f aca="false">IF('MRR Conglomerado'!AH140&gt;0,'MRR Conglomerado'!AH140,"")</f>
        <v>9846.82785</v>
      </c>
      <c r="D140" s="14" t="n">
        <f aca="false">IF(C140="","",'MRR Conglomerado'!AT140)</f>
        <v>0</v>
      </c>
      <c r="E140" s="15" t="n">
        <f aca="false">IF(C140="","",D140/C140)</f>
        <v>0</v>
      </c>
      <c r="F140" s="14" t="n">
        <f aca="false">IF(C140="","",C140/B140)</f>
        <v>521.41</v>
      </c>
      <c r="G140" s="12" t="str">
        <f aca="false">IF(F140="","",IF(F140&lt;100,"Menos de 100 USD",IF(F140&lt;500,"100 a 500 USD",IF(F140&lt;2000,"500 a 2.000 USD","Más de 2.000 USD"))))</f>
        <v>500 a 2.000 USD</v>
      </c>
      <c r="H140" s="14" t="n">
        <f aca="false">IF(C140="","",MIN(D140,C140))</f>
        <v>0</v>
      </c>
    </row>
    <row r="141" customFormat="false" ht="15" hidden="false" customHeight="true" outlineLevel="0" collapsed="false">
      <c r="A141" s="12" t="s">
        <v>476</v>
      </c>
      <c r="B141" s="14" t="n">
        <v>18.885</v>
      </c>
      <c r="C141" s="14" t="str">
        <f aca="false">IF('MRR Conglomerado'!AH141&gt;0,'MRR Conglomerado'!AH141,"")</f>
        <v/>
      </c>
      <c r="D141" s="14" t="str">
        <f aca="false">IF(C141="","",'MRR Conglomerado'!AT141)</f>
        <v/>
      </c>
      <c r="E141" s="15" t="str">
        <f aca="false">IF(C141="","",D141/C141)</f>
        <v/>
      </c>
      <c r="F141" s="14" t="str">
        <f aca="false">IF(C141="","",C141/B141)</f>
        <v/>
      </c>
      <c r="G141" s="12" t="str">
        <f aca="false">IF(F141="","",IF(F141&lt;100,"Menos de 100 USD",IF(F141&lt;500,"100 a 500 USD",IF(F141&lt;2000,"500 a 2.000 USD","Más de 2.000 USD"))))</f>
        <v/>
      </c>
      <c r="H141" s="14" t="str">
        <f aca="false">IF(C141="","",MIN(D141,C141))</f>
        <v/>
      </c>
    </row>
    <row r="142" customFormat="false" ht="15" hidden="false" customHeight="true" outlineLevel="0" collapsed="false">
      <c r="A142" s="12" t="s">
        <v>479</v>
      </c>
      <c r="B142" s="14" t="n">
        <v>18.885</v>
      </c>
      <c r="C142" s="14" t="n">
        <f aca="false">IF('MRR Conglomerado'!AH142&gt;0,'MRR Conglomerado'!AH142,"")</f>
        <v>11375.1909</v>
      </c>
      <c r="D142" s="14" t="n">
        <f aca="false">IF(C142="","",'MRR Conglomerado'!AT142)</f>
        <v>12638.955456</v>
      </c>
      <c r="E142" s="15" t="n">
        <f aca="false">IF(C142="","",D142/C142)</f>
        <v>1.11109831624892</v>
      </c>
      <c r="F142" s="14" t="n">
        <f aca="false">IF(C142="","",C142/B142)</f>
        <v>602.34</v>
      </c>
      <c r="G142" s="12" t="str">
        <f aca="false">IF(F142="","",IF(F142&lt;100,"Menos de 100 USD",IF(F142&lt;500,"100 a 500 USD",IF(F142&lt;2000,"500 a 2.000 USD","Más de 2.000 USD"))))</f>
        <v>500 a 2.000 USD</v>
      </c>
      <c r="H142" s="14" t="n">
        <f aca="false">IF(C142="","",MIN(D142,C142))</f>
        <v>11375.1909</v>
      </c>
    </row>
    <row r="143" customFormat="false" ht="15" hidden="false" customHeight="true" outlineLevel="0" collapsed="false">
      <c r="A143" s="12" t="s">
        <v>482</v>
      </c>
      <c r="B143" s="14" t="n">
        <v>18.885</v>
      </c>
      <c r="C143" s="14" t="str">
        <f aca="false">IF('MRR Conglomerado'!AH143&gt;0,'MRR Conglomerado'!AH143,"")</f>
        <v/>
      </c>
      <c r="D143" s="14" t="str">
        <f aca="false">IF(C143="","",'MRR Conglomerado'!AT143)</f>
        <v/>
      </c>
      <c r="E143" s="15" t="str">
        <f aca="false">IF(C143="","",D143/C143)</f>
        <v/>
      </c>
      <c r="F143" s="14" t="str">
        <f aca="false">IF(C143="","",C143/B143)</f>
        <v/>
      </c>
      <c r="G143" s="12" t="str">
        <f aca="false">IF(F143="","",IF(F143&lt;100,"Menos de 100 USD",IF(F143&lt;500,"100 a 500 USD",IF(F143&lt;2000,"500 a 2.000 USD","Más de 2.000 USD"))))</f>
        <v/>
      </c>
      <c r="H143" s="14" t="str">
        <f aca="false">IF(C143="","",MIN(D143,C143))</f>
        <v/>
      </c>
    </row>
    <row r="144" customFormat="false" ht="15" hidden="false" customHeight="true" outlineLevel="0" collapsed="false">
      <c r="A144" s="12" t="s">
        <v>485</v>
      </c>
      <c r="B144" s="14" t="n">
        <v>18.885</v>
      </c>
      <c r="C144" s="14" t="n">
        <f aca="false">IF('MRR Conglomerado'!AH144&gt;0,'MRR Conglomerado'!AH144,"")</f>
        <v>12173.271</v>
      </c>
      <c r="D144" s="14" t="n">
        <f aca="false">IF(C144="","",'MRR Conglomerado'!AT144)</f>
        <v>11597.260224</v>
      </c>
      <c r="E144" s="15" t="n">
        <f aca="false">IF(C144="","",D144/C144)</f>
        <v>0.952682333614359</v>
      </c>
      <c r="F144" s="14" t="n">
        <f aca="false">IF(C144="","",C144/B144)</f>
        <v>644.6</v>
      </c>
      <c r="G144" s="12" t="str">
        <f aca="false">IF(F144="","",IF(F144&lt;100,"Menos de 100 USD",IF(F144&lt;500,"100 a 500 USD",IF(F144&lt;2000,"500 a 2.000 USD","Más de 2.000 USD"))))</f>
        <v>500 a 2.000 USD</v>
      </c>
      <c r="H144" s="14" t="n">
        <f aca="false">IF(C144="","",MIN(D144,C144))</f>
        <v>11597.260224</v>
      </c>
    </row>
    <row r="145" customFormat="false" ht="15" hidden="false" customHeight="true" outlineLevel="0" collapsed="false">
      <c r="A145" s="12" t="s">
        <v>488</v>
      </c>
      <c r="B145" s="14" t="n">
        <v>18.885</v>
      </c>
      <c r="C145" s="14" t="n">
        <f aca="false">IF('MRR Conglomerado'!AH145&gt;0,'MRR Conglomerado'!AH145,"")</f>
        <v>850.5804</v>
      </c>
      <c r="D145" s="14" t="n">
        <f aca="false">IF(C145="","",'MRR Conglomerado'!AT145)</f>
        <v>0</v>
      </c>
      <c r="E145" s="15" t="n">
        <f aca="false">IF(C145="","",D145/C145)</f>
        <v>0</v>
      </c>
      <c r="F145" s="14" t="n">
        <f aca="false">IF(C145="","",C145/B145)</f>
        <v>45.04</v>
      </c>
      <c r="G145" s="12" t="str">
        <f aca="false">IF(F145="","",IF(F145&lt;100,"Menos de 100 USD",IF(F145&lt;500,"100 a 500 USD",IF(F145&lt;2000,"500 a 2.000 USD","Más de 2.000 USD"))))</f>
        <v>Menos de 100 USD</v>
      </c>
      <c r="H145" s="14" t="n">
        <f aca="false">IF(C145="","",MIN(D145,C145))</f>
        <v>0</v>
      </c>
    </row>
    <row r="146" customFormat="false" ht="15" hidden="false" customHeight="true" outlineLevel="0" collapsed="false">
      <c r="A146" s="12" t="s">
        <v>491</v>
      </c>
      <c r="B146" s="14" t="n">
        <v>18.885</v>
      </c>
      <c r="C146" s="14" t="n">
        <f aca="false">IF('MRR Conglomerado'!AH146&gt;0,'MRR Conglomerado'!AH146,"")</f>
        <v>10283.6379</v>
      </c>
      <c r="D146" s="14" t="n">
        <f aca="false">IF(C146="","",'MRR Conglomerado'!AT146)</f>
        <v>7124.726344</v>
      </c>
      <c r="E146" s="15" t="n">
        <f aca="false">IF(C146="","",D146/C146)</f>
        <v>0.692821588360283</v>
      </c>
      <c r="F146" s="14" t="n">
        <f aca="false">IF(C146="","",C146/B146)</f>
        <v>544.54</v>
      </c>
      <c r="G146" s="12" t="str">
        <f aca="false">IF(F146="","",IF(F146&lt;100,"Menos de 100 USD",IF(F146&lt;500,"100 a 500 USD",IF(F146&lt;2000,"500 a 2.000 USD","Más de 2.000 USD"))))</f>
        <v>500 a 2.000 USD</v>
      </c>
      <c r="H146" s="14" t="n">
        <f aca="false">IF(C146="","",MIN(D146,C146))</f>
        <v>7124.726344</v>
      </c>
    </row>
    <row r="147" customFormat="false" ht="15" hidden="false" customHeight="true" outlineLevel="0" collapsed="false">
      <c r="A147" s="12" t="s">
        <v>494</v>
      </c>
      <c r="B147" s="14" t="n">
        <v>18.885</v>
      </c>
      <c r="C147" s="14" t="n">
        <f aca="false">IF('MRR Conglomerado'!AH147&gt;0,'MRR Conglomerado'!AH147,"")</f>
        <v>6533.0769</v>
      </c>
      <c r="D147" s="14" t="n">
        <f aca="false">IF(C147="","",'MRR Conglomerado'!AT147)</f>
        <v>7318.644072</v>
      </c>
      <c r="E147" s="15" t="n">
        <f aca="false">IF(C147="","",D147/C147)</f>
        <v>1.12024459286558</v>
      </c>
      <c r="F147" s="14" t="n">
        <f aca="false">IF(C147="","",C147/B147)</f>
        <v>345.94</v>
      </c>
      <c r="G147" s="12" t="str">
        <f aca="false">IF(F147="","",IF(F147&lt;100,"Menos de 100 USD",IF(F147&lt;500,"100 a 500 USD",IF(F147&lt;2000,"500 a 2.000 USD","Más de 2.000 USD"))))</f>
        <v>100 a 500 USD</v>
      </c>
      <c r="H147" s="14" t="n">
        <f aca="false">IF(C147="","",MIN(D147,C147))</f>
        <v>6533.0769</v>
      </c>
    </row>
    <row r="148" customFormat="false" ht="15" hidden="false" customHeight="true" outlineLevel="0" collapsed="false">
      <c r="A148" s="12" t="s">
        <v>497</v>
      </c>
      <c r="B148" s="14" t="n">
        <v>18.885</v>
      </c>
      <c r="C148" s="14" t="str">
        <f aca="false">IF('MRR Conglomerado'!AH148&gt;0,'MRR Conglomerado'!AH148,"")</f>
        <v/>
      </c>
      <c r="D148" s="14" t="str">
        <f aca="false">IF(C148="","",'MRR Conglomerado'!AT148)</f>
        <v/>
      </c>
      <c r="E148" s="15" t="str">
        <f aca="false">IF(C148="","",D148/C148)</f>
        <v/>
      </c>
      <c r="F148" s="14" t="str">
        <f aca="false">IF(C148="","",C148/B148)</f>
        <v/>
      </c>
      <c r="G148" s="12" t="str">
        <f aca="false">IF(F148="","",IF(F148&lt;100,"Menos de 100 USD",IF(F148&lt;500,"100 a 500 USD",IF(F148&lt;2000,"500 a 2.000 USD","Más de 2.000 USD"))))</f>
        <v/>
      </c>
      <c r="H148" s="14" t="str">
        <f aca="false">IF(C148="","",MIN(D148,C148))</f>
        <v/>
      </c>
    </row>
    <row r="149" customFormat="false" ht="15" hidden="false" customHeight="true" outlineLevel="0" collapsed="false">
      <c r="A149" s="12" t="s">
        <v>500</v>
      </c>
      <c r="B149" s="14" t="n">
        <v>18.885</v>
      </c>
      <c r="C149" s="14" t="str">
        <f aca="false">IF('MRR Conglomerado'!AH149&gt;0,'MRR Conglomerado'!AH149,"")</f>
        <v/>
      </c>
      <c r="D149" s="14" t="str">
        <f aca="false">IF(C149="","",'MRR Conglomerado'!AT149)</f>
        <v/>
      </c>
      <c r="E149" s="15" t="str">
        <f aca="false">IF(C149="","",D149/C149)</f>
        <v/>
      </c>
      <c r="F149" s="14" t="str">
        <f aca="false">IF(C149="","",C149/B149)</f>
        <v/>
      </c>
      <c r="G149" s="12" t="str">
        <f aca="false">IF(F149="","",IF(F149&lt;100,"Menos de 100 USD",IF(F149&lt;500,"100 a 500 USD",IF(F149&lt;2000,"500 a 2.000 USD","Más de 2.000 USD"))))</f>
        <v/>
      </c>
      <c r="H149" s="14" t="str">
        <f aca="false">IF(C149="","",MIN(D149,C149))</f>
        <v/>
      </c>
    </row>
    <row r="150" customFormat="false" ht="15" hidden="false" customHeight="true" outlineLevel="0" collapsed="false">
      <c r="A150" s="12" t="s">
        <v>503</v>
      </c>
      <c r="B150" s="14" t="n">
        <v>18.885</v>
      </c>
      <c r="C150" s="14" t="n">
        <f aca="false">IF('MRR Conglomerado'!AH150&gt;0,'MRR Conglomerado'!AH150,"")</f>
        <v>6510.98145</v>
      </c>
      <c r="D150" s="14" t="n">
        <f aca="false">IF(C150="","",'MRR Conglomerado'!AT150)</f>
        <v>6909.456664</v>
      </c>
      <c r="E150" s="15" t="n">
        <f aca="false">IF(C150="","",D150/C150)</f>
        <v>1.06120048368438</v>
      </c>
      <c r="F150" s="14" t="n">
        <f aca="false">IF(C150="","",C150/B150)</f>
        <v>344.77</v>
      </c>
      <c r="G150" s="12" t="str">
        <f aca="false">IF(F150="","",IF(F150&lt;100,"Menos de 100 USD",IF(F150&lt;500,"100 a 500 USD",IF(F150&lt;2000,"500 a 2.000 USD","Más de 2.000 USD"))))</f>
        <v>100 a 500 USD</v>
      </c>
      <c r="H150" s="14" t="n">
        <f aca="false">IF(C150="","",MIN(D150,C150))</f>
        <v>6510.98145</v>
      </c>
    </row>
    <row r="151" customFormat="false" ht="15" hidden="false" customHeight="true" outlineLevel="0" collapsed="false">
      <c r="A151" s="12" t="s">
        <v>506</v>
      </c>
      <c r="B151" s="14" t="n">
        <v>18.885</v>
      </c>
      <c r="C151" s="14" t="n">
        <f aca="false">IF('MRR Conglomerado'!AH151&gt;0,'MRR Conglomerado'!AH151,"")</f>
        <v>21160.07595</v>
      </c>
      <c r="D151" s="14" t="n">
        <f aca="false">IF(C151="","",'MRR Conglomerado'!AT151)</f>
        <v>21560.046024</v>
      </c>
      <c r="E151" s="15" t="n">
        <f aca="false">IF(C151="","",D151/C151)</f>
        <v>1.0189021095645</v>
      </c>
      <c r="F151" s="14" t="n">
        <f aca="false">IF(C151="","",C151/B151)</f>
        <v>1120.47</v>
      </c>
      <c r="G151" s="12" t="str">
        <f aca="false">IF(F151="","",IF(F151&lt;100,"Menos de 100 USD",IF(F151&lt;500,"100 a 500 USD",IF(F151&lt;2000,"500 a 2.000 USD","Más de 2.000 USD"))))</f>
        <v>500 a 2.000 USD</v>
      </c>
      <c r="H151" s="14" t="n">
        <f aca="false">IF(C151="","",MIN(D151,C151))</f>
        <v>21160.07595</v>
      </c>
    </row>
    <row r="152" customFormat="false" ht="15" hidden="false" customHeight="true" outlineLevel="0" collapsed="false">
      <c r="A152" s="12" t="s">
        <v>509</v>
      </c>
      <c r="B152" s="14" t="n">
        <v>18.885</v>
      </c>
      <c r="C152" s="14" t="str">
        <f aca="false">IF('MRR Conglomerado'!AH152&gt;0,'MRR Conglomerado'!AH152,"")</f>
        <v/>
      </c>
      <c r="D152" s="14" t="str">
        <f aca="false">IF(C152="","",'MRR Conglomerado'!AT152)</f>
        <v/>
      </c>
      <c r="E152" s="15" t="str">
        <f aca="false">IF(C152="","",D152/C152)</f>
        <v/>
      </c>
      <c r="F152" s="14" t="str">
        <f aca="false">IF(C152="","",C152/B152)</f>
        <v/>
      </c>
      <c r="G152" s="12" t="str">
        <f aca="false">IF(F152="","",IF(F152&lt;100,"Menos de 100 USD",IF(F152&lt;500,"100 a 500 USD",IF(F152&lt;2000,"500 a 2.000 USD","Más de 2.000 USD"))))</f>
        <v/>
      </c>
      <c r="H152" s="14" t="str">
        <f aca="false">IF(C152="","",MIN(D152,C152))</f>
        <v/>
      </c>
    </row>
    <row r="153" customFormat="false" ht="15" hidden="false" customHeight="true" outlineLevel="0" collapsed="false">
      <c r="A153" s="12" t="s">
        <v>512</v>
      </c>
      <c r="B153" s="14" t="n">
        <v>18.885</v>
      </c>
      <c r="C153" s="14" t="n">
        <f aca="false">IF('MRR Conglomerado'!AH153&gt;0,'MRR Conglomerado'!AH153,"")</f>
        <v>2771.75145</v>
      </c>
      <c r="D153" s="14" t="n">
        <f aca="false">IF(C153="","",'MRR Conglomerado'!AT153)</f>
        <v>2685.270488</v>
      </c>
      <c r="E153" s="15" t="n">
        <f aca="false">IF(C153="","",D153/C153)</f>
        <v>0.968799164153048</v>
      </c>
      <c r="F153" s="14" t="n">
        <f aca="false">IF(C153="","",C153/B153)</f>
        <v>146.77</v>
      </c>
      <c r="G153" s="12" t="str">
        <f aca="false">IF(F153="","",IF(F153&lt;100,"Menos de 100 USD",IF(F153&lt;500,"100 a 500 USD",IF(F153&lt;2000,"500 a 2.000 USD","Más de 2.000 USD"))))</f>
        <v>100 a 500 USD</v>
      </c>
      <c r="H153" s="14" t="n">
        <f aca="false">IF(C153="","",MIN(D153,C153))</f>
        <v>2685.270488</v>
      </c>
    </row>
    <row r="154" customFormat="false" ht="15" hidden="false" customHeight="true" outlineLevel="0" collapsed="false">
      <c r="A154" s="12" t="s">
        <v>515</v>
      </c>
      <c r="B154" s="14" t="n">
        <v>18.885</v>
      </c>
      <c r="C154" s="14" t="n">
        <f aca="false">IF('MRR Conglomerado'!AH154&gt;0,'MRR Conglomerado'!AH154,"")</f>
        <v>4755.80955</v>
      </c>
      <c r="D154" s="14" t="n">
        <f aca="false">IF(C154="","",'MRR Conglomerado'!AT154)</f>
        <v>2160.047472</v>
      </c>
      <c r="E154" s="15" t="n">
        <f aca="false">IF(C154="","",D154/C154)</f>
        <v>0.454191331526301</v>
      </c>
      <c r="F154" s="14" t="n">
        <f aca="false">IF(C154="","",C154/B154)</f>
        <v>251.83</v>
      </c>
      <c r="G154" s="12" t="str">
        <f aca="false">IF(F154="","",IF(F154&lt;100,"Menos de 100 USD",IF(F154&lt;500,"100 a 500 USD",IF(F154&lt;2000,"500 a 2.000 USD","Más de 2.000 USD"))))</f>
        <v>100 a 500 USD</v>
      </c>
      <c r="H154" s="14" t="n">
        <f aca="false">IF(C154="","",MIN(D154,C154))</f>
        <v>2160.047472</v>
      </c>
    </row>
    <row r="155" customFormat="false" ht="15" hidden="false" customHeight="true" outlineLevel="0" collapsed="false">
      <c r="A155" s="12" t="s">
        <v>518</v>
      </c>
      <c r="B155" s="14" t="n">
        <v>18.885</v>
      </c>
      <c r="C155" s="14" t="n">
        <f aca="false">IF('MRR Conglomerado'!AH155&gt;0,'MRR Conglomerado'!AH155,"")</f>
        <v>3160.02705</v>
      </c>
      <c r="D155" s="14" t="n">
        <f aca="false">IF(C155="","",'MRR Conglomerado'!AT155)</f>
        <v>2999.949256</v>
      </c>
      <c r="E155" s="15" t="n">
        <f aca="false">IF(C155="","",D155/C155)</f>
        <v>0.94934290388432</v>
      </c>
      <c r="F155" s="14" t="n">
        <f aca="false">IF(C155="","",C155/B155)</f>
        <v>167.33</v>
      </c>
      <c r="G155" s="12" t="str">
        <f aca="false">IF(F155="","",IF(F155&lt;100,"Menos de 100 USD",IF(F155&lt;500,"100 a 500 USD",IF(F155&lt;2000,"500 a 2.000 USD","Más de 2.000 USD"))))</f>
        <v>100 a 500 USD</v>
      </c>
      <c r="H155" s="14" t="n">
        <f aca="false">IF(C155="","",MIN(D155,C155))</f>
        <v>2999.949256</v>
      </c>
    </row>
    <row r="156" customFormat="false" ht="15" hidden="false" customHeight="true" outlineLevel="0" collapsed="false">
      <c r="A156" s="12" t="s">
        <v>521</v>
      </c>
      <c r="B156" s="14" t="n">
        <v>18.885</v>
      </c>
      <c r="C156" s="14" t="n">
        <f aca="false">IF('MRR Conglomerado'!AH156&gt;0,'MRR Conglomerado'!AH156,"")</f>
        <v>63.0759</v>
      </c>
      <c r="D156" s="14" t="n">
        <f aca="false">IF(C156="","",'MRR Conglomerado'!AT156)</f>
        <v>0</v>
      </c>
      <c r="E156" s="15" t="n">
        <f aca="false">IF(C156="","",D156/C156)</f>
        <v>0</v>
      </c>
      <c r="F156" s="14" t="n">
        <f aca="false">IF(C156="","",C156/B156)</f>
        <v>3.34</v>
      </c>
      <c r="G156" s="12" t="str">
        <f aca="false">IF(F156="","",IF(F156&lt;100,"Menos de 100 USD",IF(F156&lt;500,"100 a 500 USD",IF(F156&lt;2000,"500 a 2.000 USD","Más de 2.000 USD"))))</f>
        <v>Menos de 100 USD</v>
      </c>
      <c r="H156" s="14" t="n">
        <f aca="false">IF(C156="","",MIN(D156,C156))</f>
        <v>0</v>
      </c>
    </row>
    <row r="157" customFormat="false" ht="15" hidden="false" customHeight="true" outlineLevel="0" collapsed="false">
      <c r="A157" s="12" t="s">
        <v>524</v>
      </c>
      <c r="B157" s="14" t="n">
        <v>18.885</v>
      </c>
      <c r="C157" s="14" t="str">
        <f aca="false">IF('MRR Conglomerado'!AH157&gt;0,'MRR Conglomerado'!AH157,"")</f>
        <v/>
      </c>
      <c r="D157" s="14" t="str">
        <f aca="false">IF(C157="","",'MRR Conglomerado'!AT157)</f>
        <v/>
      </c>
      <c r="E157" s="15" t="str">
        <f aca="false">IF(C157="","",D157/C157)</f>
        <v/>
      </c>
      <c r="F157" s="14" t="str">
        <f aca="false">IF(C157="","",C157/B157)</f>
        <v/>
      </c>
      <c r="G157" s="12" t="str">
        <f aca="false">IF(F157="","",IF(F157&lt;100,"Menos de 100 USD",IF(F157&lt;500,"100 a 500 USD",IF(F157&lt;2000,"500 a 2.000 USD","Más de 2.000 USD"))))</f>
        <v/>
      </c>
      <c r="H157" s="14" t="str">
        <f aca="false">IF(C157="","",MIN(D157,C157))</f>
        <v/>
      </c>
    </row>
    <row r="158" customFormat="false" ht="15" hidden="false" customHeight="true" outlineLevel="0" collapsed="false">
      <c r="A158" s="12" t="s">
        <v>527</v>
      </c>
      <c r="B158" s="14" t="n">
        <v>18.885</v>
      </c>
      <c r="C158" s="14" t="str">
        <f aca="false">IF('MRR Conglomerado'!AH158&gt;0,'MRR Conglomerado'!AH158,"")</f>
        <v/>
      </c>
      <c r="D158" s="14" t="str">
        <f aca="false">IF(C158="","",'MRR Conglomerado'!AT158)</f>
        <v/>
      </c>
      <c r="E158" s="15" t="str">
        <f aca="false">IF(C158="","",D158/C158)</f>
        <v/>
      </c>
      <c r="F158" s="14" t="str">
        <f aca="false">IF(C158="","",C158/B158)</f>
        <v/>
      </c>
      <c r="G158" s="12" t="str">
        <f aca="false">IF(F158="","",IF(F158&lt;100,"Menos de 100 USD",IF(F158&lt;500,"100 a 500 USD",IF(F158&lt;2000,"500 a 2.000 USD","Más de 2.000 USD"))))</f>
        <v/>
      </c>
      <c r="H158" s="14" t="str">
        <f aca="false">IF(C158="","",MIN(D158,C158))</f>
        <v/>
      </c>
    </row>
    <row r="159" customFormat="false" ht="15" hidden="false" customHeight="true" outlineLevel="0" collapsed="false">
      <c r="A159" s="12" t="s">
        <v>530</v>
      </c>
      <c r="B159" s="14" t="n">
        <v>18.885</v>
      </c>
      <c r="C159" s="14" t="str">
        <f aca="false">IF('MRR Conglomerado'!AH159&gt;0,'MRR Conglomerado'!AH159,"")</f>
        <v/>
      </c>
      <c r="D159" s="14" t="str">
        <f aca="false">IF(C159="","",'MRR Conglomerado'!AT159)</f>
        <v/>
      </c>
      <c r="E159" s="15" t="str">
        <f aca="false">IF(C159="","",D159/C159)</f>
        <v/>
      </c>
      <c r="F159" s="14" t="str">
        <f aca="false">IF(C159="","",C159/B159)</f>
        <v/>
      </c>
      <c r="G159" s="12" t="str">
        <f aca="false">IF(F159="","",IF(F159&lt;100,"Menos de 100 USD",IF(F159&lt;500,"100 a 500 USD",IF(F159&lt;2000,"500 a 2.000 USD","Más de 2.000 USD"))))</f>
        <v/>
      </c>
      <c r="H159" s="14" t="str">
        <f aca="false">IF(C159="","",MIN(D159,C159))</f>
        <v/>
      </c>
    </row>
    <row r="160" customFormat="false" ht="15" hidden="false" customHeight="true" outlineLevel="0" collapsed="false">
      <c r="A160" s="12" t="s">
        <v>533</v>
      </c>
      <c r="B160" s="14" t="n">
        <v>18.885</v>
      </c>
      <c r="C160" s="14" t="str">
        <f aca="false">IF('MRR Conglomerado'!AH160&gt;0,'MRR Conglomerado'!AH160,"")</f>
        <v/>
      </c>
      <c r="D160" s="14" t="str">
        <f aca="false">IF(C160="","",'MRR Conglomerado'!AT160)</f>
        <v/>
      </c>
      <c r="E160" s="15" t="str">
        <f aca="false">IF(C160="","",D160/C160)</f>
        <v/>
      </c>
      <c r="F160" s="14" t="str">
        <f aca="false">IF(C160="","",C160/B160)</f>
        <v/>
      </c>
      <c r="G160" s="12" t="str">
        <f aca="false">IF(F160="","",IF(F160&lt;100,"Menos de 100 USD",IF(F160&lt;500,"100 a 500 USD",IF(F160&lt;2000,"500 a 2.000 USD","Más de 2.000 USD"))))</f>
        <v/>
      </c>
      <c r="H160" s="14" t="str">
        <f aca="false">IF(C160="","",MIN(D160,C160))</f>
        <v/>
      </c>
    </row>
    <row r="161" customFormat="false" ht="15" hidden="false" customHeight="true" outlineLevel="0" collapsed="false">
      <c r="A161" s="12" t="s">
        <v>536</v>
      </c>
      <c r="B161" s="14" t="n">
        <v>18.885</v>
      </c>
      <c r="C161" s="14" t="str">
        <f aca="false">IF('MRR Conglomerado'!AH161&gt;0,'MRR Conglomerado'!AH161,"")</f>
        <v/>
      </c>
      <c r="D161" s="14" t="str">
        <f aca="false">IF(C161="","",'MRR Conglomerado'!AT161)</f>
        <v/>
      </c>
      <c r="E161" s="15" t="str">
        <f aca="false">IF(C161="","",D161/C161)</f>
        <v/>
      </c>
      <c r="F161" s="14" t="str">
        <f aca="false">IF(C161="","",C161/B161)</f>
        <v/>
      </c>
      <c r="G161" s="12" t="str">
        <f aca="false">IF(F161="","",IF(F161&lt;100,"Menos de 100 USD",IF(F161&lt;500,"100 a 500 USD",IF(F161&lt;2000,"500 a 2.000 USD","Más de 2.000 USD"))))</f>
        <v/>
      </c>
      <c r="H161" s="14" t="str">
        <f aca="false">IF(C161="","",MIN(D161,C161))</f>
        <v/>
      </c>
    </row>
    <row r="162" customFormat="false" ht="15" hidden="false" customHeight="true" outlineLevel="0" collapsed="false">
      <c r="A162" s="12" t="s">
        <v>539</v>
      </c>
      <c r="B162" s="14" t="n">
        <v>18.885</v>
      </c>
      <c r="C162" s="14" t="str">
        <f aca="false">IF('MRR Conglomerado'!AH162&gt;0,'MRR Conglomerado'!AH162,"")</f>
        <v/>
      </c>
      <c r="D162" s="14" t="str">
        <f aca="false">IF(C162="","",'MRR Conglomerado'!AT162)</f>
        <v/>
      </c>
      <c r="E162" s="15" t="str">
        <f aca="false">IF(C162="","",D162/C162)</f>
        <v/>
      </c>
      <c r="F162" s="14" t="str">
        <f aca="false">IF(C162="","",C162/B162)</f>
        <v/>
      </c>
      <c r="G162" s="12" t="str">
        <f aca="false">IF(F162="","",IF(F162&lt;100,"Menos de 100 USD",IF(F162&lt;500,"100 a 500 USD",IF(F162&lt;2000,"500 a 2.000 USD","Más de 2.000 USD"))))</f>
        <v/>
      </c>
      <c r="H162" s="14" t="str">
        <f aca="false">IF(C162="","",MIN(D162,C162))</f>
        <v/>
      </c>
    </row>
    <row r="163" customFormat="false" ht="15" hidden="false" customHeight="true" outlineLevel="0" collapsed="false">
      <c r="A163" s="12" t="s">
        <v>542</v>
      </c>
      <c r="B163" s="14" t="n">
        <v>18.885</v>
      </c>
      <c r="C163" s="14" t="str">
        <f aca="false">IF('MRR Conglomerado'!AH163&gt;0,'MRR Conglomerado'!AH163,"")</f>
        <v/>
      </c>
      <c r="D163" s="14" t="str">
        <f aca="false">IF(C163="","",'MRR Conglomerado'!AT163)</f>
        <v/>
      </c>
      <c r="E163" s="15" t="str">
        <f aca="false">IF(C163="","",D163/C163)</f>
        <v/>
      </c>
      <c r="F163" s="14" t="str">
        <f aca="false">IF(C163="","",C163/B163)</f>
        <v/>
      </c>
      <c r="G163" s="12" t="str">
        <f aca="false">IF(F163="","",IF(F163&lt;100,"Menos de 100 USD",IF(F163&lt;500,"100 a 500 USD",IF(F163&lt;2000,"500 a 2.000 USD","Más de 2.000 USD"))))</f>
        <v/>
      </c>
      <c r="H163" s="14" t="str">
        <f aca="false">IF(C163="","",MIN(D163,C163))</f>
        <v/>
      </c>
    </row>
    <row r="164" customFormat="false" ht="15" hidden="false" customHeight="true" outlineLevel="0" collapsed="false">
      <c r="A164" s="12" t="s">
        <v>545</v>
      </c>
      <c r="B164" s="14" t="n">
        <v>18.885</v>
      </c>
      <c r="C164" s="14" t="str">
        <f aca="false">IF('MRR Conglomerado'!AH164&gt;0,'MRR Conglomerado'!AH164,"")</f>
        <v/>
      </c>
      <c r="D164" s="14" t="str">
        <f aca="false">IF(C164="","",'MRR Conglomerado'!AT164)</f>
        <v/>
      </c>
      <c r="E164" s="15" t="str">
        <f aca="false">IF(C164="","",D164/C164)</f>
        <v/>
      </c>
      <c r="F164" s="14" t="str">
        <f aca="false">IF(C164="","",C164/B164)</f>
        <v/>
      </c>
      <c r="G164" s="12" t="str">
        <f aca="false">IF(F164="","",IF(F164&lt;100,"Menos de 100 USD",IF(F164&lt;500,"100 a 500 USD",IF(F164&lt;2000,"500 a 2.000 USD","Más de 2.000 USD"))))</f>
        <v/>
      </c>
      <c r="H164" s="14" t="str">
        <f aca="false">IF(C164="","",MIN(D164,C164))</f>
        <v/>
      </c>
    </row>
    <row r="165" customFormat="false" ht="15" hidden="false" customHeight="true" outlineLevel="0" collapsed="false">
      <c r="A165" s="12" t="s">
        <v>548</v>
      </c>
      <c r="B165" s="14" t="n">
        <v>18.885</v>
      </c>
      <c r="C165" s="14" t="str">
        <f aca="false">IF('MRR Conglomerado'!AH165&gt;0,'MRR Conglomerado'!AH165,"")</f>
        <v/>
      </c>
      <c r="D165" s="14" t="str">
        <f aca="false">IF(C165="","",'MRR Conglomerado'!AT165)</f>
        <v/>
      </c>
      <c r="E165" s="15" t="str">
        <f aca="false">IF(C165="","",D165/C165)</f>
        <v/>
      </c>
      <c r="F165" s="14" t="str">
        <f aca="false">IF(C165="","",C165/B165)</f>
        <v/>
      </c>
      <c r="G165" s="12" t="str">
        <f aca="false">IF(F165="","",IF(F165&lt;100,"Menos de 100 USD",IF(F165&lt;500,"100 a 500 USD",IF(F165&lt;2000,"500 a 2.000 USD","Más de 2.000 USD"))))</f>
        <v/>
      </c>
      <c r="H165" s="14" t="str">
        <f aca="false">IF(C165="","",MIN(D165,C165))</f>
        <v/>
      </c>
    </row>
    <row r="166" customFormat="false" ht="15" hidden="false" customHeight="true" outlineLevel="0" collapsed="false">
      <c r="A166" s="12" t="s">
        <v>551</v>
      </c>
      <c r="B166" s="14" t="n">
        <v>18.885</v>
      </c>
      <c r="C166" s="14" t="str">
        <f aca="false">IF('MRR Conglomerado'!AH166&gt;0,'MRR Conglomerado'!AH166,"")</f>
        <v/>
      </c>
      <c r="D166" s="14" t="str">
        <f aca="false">IF(C166="","",'MRR Conglomerado'!AT166)</f>
        <v/>
      </c>
      <c r="E166" s="15" t="str">
        <f aca="false">IF(C166="","",D166/C166)</f>
        <v/>
      </c>
      <c r="F166" s="14" t="str">
        <f aca="false">IF(C166="","",C166/B166)</f>
        <v/>
      </c>
      <c r="G166" s="12" t="str">
        <f aca="false">IF(F166="","",IF(F166&lt;100,"Menos de 100 USD",IF(F166&lt;500,"100 a 500 USD",IF(F166&lt;2000,"500 a 2.000 USD","Más de 2.000 USD"))))</f>
        <v/>
      </c>
      <c r="H166" s="14" t="str">
        <f aca="false">IF(C166="","",MIN(D166,C166))</f>
        <v/>
      </c>
    </row>
    <row r="167" customFormat="false" ht="15" hidden="false" customHeight="true" outlineLevel="0" collapsed="false">
      <c r="A167" s="12" t="s">
        <v>554</v>
      </c>
      <c r="B167" s="14" t="n">
        <v>18.885</v>
      </c>
      <c r="C167" s="14" t="n">
        <f aca="false">IF('MRR Conglomerado'!AH167&gt;0,'MRR Conglomerado'!AH167,"")</f>
        <v>2563.4499</v>
      </c>
      <c r="D167" s="14" t="n">
        <f aca="false">IF(C167="","",'MRR Conglomerado'!AT167)</f>
        <v>2530.906376</v>
      </c>
      <c r="E167" s="15" t="n">
        <f aca="false">IF(C167="","",D167/C167)</f>
        <v>0.987304794215015</v>
      </c>
      <c r="F167" s="14" t="n">
        <f aca="false">IF(C167="","",C167/B167)</f>
        <v>135.74</v>
      </c>
      <c r="G167" s="12" t="str">
        <f aca="false">IF(F167="","",IF(F167&lt;100,"Menos de 100 USD",IF(F167&lt;500,"100 a 500 USD",IF(F167&lt;2000,"500 a 2.000 USD","Más de 2.000 USD"))))</f>
        <v>100 a 500 USD</v>
      </c>
      <c r="H167" s="14" t="n">
        <f aca="false">IF(C167="","",MIN(D167,C167))</f>
        <v>2530.906376</v>
      </c>
    </row>
    <row r="168" customFormat="false" ht="15" hidden="false" customHeight="true" outlineLevel="0" collapsed="false">
      <c r="A168" s="12" t="s">
        <v>557</v>
      </c>
      <c r="B168" s="14" t="n">
        <v>18.885</v>
      </c>
      <c r="C168" s="14" t="n">
        <f aca="false">IF('MRR Conglomerado'!AH168&gt;0,'MRR Conglomerado'!AH168,"")</f>
        <v>6795.76725</v>
      </c>
      <c r="D168" s="14" t="n">
        <f aca="false">IF(C168="","",'MRR Conglomerado'!AT168)</f>
        <v>7216.434728</v>
      </c>
      <c r="E168" s="15" t="n">
        <f aca="false">IF(C168="","",D168/C168)</f>
        <v>1.06190139575484</v>
      </c>
      <c r="F168" s="14" t="n">
        <f aca="false">IF(C168="","",C168/B168)</f>
        <v>359.85</v>
      </c>
      <c r="G168" s="12" t="str">
        <f aca="false">IF(F168="","",IF(F168&lt;100,"Menos de 100 USD",IF(F168&lt;500,"100 a 500 USD",IF(F168&lt;2000,"500 a 2.000 USD","Más de 2.000 USD"))))</f>
        <v>100 a 500 USD</v>
      </c>
      <c r="H168" s="14" t="n">
        <f aca="false">IF(C168="","",MIN(D168,C168))</f>
        <v>6795.76725</v>
      </c>
    </row>
    <row r="169" customFormat="false" ht="15" hidden="false" customHeight="true" outlineLevel="0" collapsed="false">
      <c r="A169" s="12" t="s">
        <v>560</v>
      </c>
      <c r="B169" s="14" t="n">
        <v>18.885</v>
      </c>
      <c r="C169" s="14" t="n">
        <f aca="false">IF('MRR Conglomerado'!AH169&gt;0,'MRR Conglomerado'!AH169,"")</f>
        <v>4410.0252</v>
      </c>
      <c r="D169" s="14" t="n">
        <f aca="false">IF(C169="","",'MRR Conglomerado'!AT169)</f>
        <v>7583.968328</v>
      </c>
      <c r="E169" s="15" t="n">
        <f aca="false">IF(C169="","",D169/C169)</f>
        <v>1.71971088237772</v>
      </c>
      <c r="F169" s="14" t="n">
        <f aca="false">IF(C169="","",C169/B169)</f>
        <v>233.52</v>
      </c>
      <c r="G169" s="12" t="str">
        <f aca="false">IF(F169="","",IF(F169&lt;100,"Menos de 100 USD",IF(F169&lt;500,"100 a 500 USD",IF(F169&lt;2000,"500 a 2.000 USD","Más de 2.000 USD"))))</f>
        <v>100 a 500 USD</v>
      </c>
      <c r="H169" s="14" t="n">
        <f aca="false">IF(C169="","",MIN(D169,C169))</f>
        <v>4410.0252</v>
      </c>
    </row>
    <row r="170" customFormat="false" ht="15" hidden="false" customHeight="true" outlineLevel="0" collapsed="false">
      <c r="A170" s="12" t="s">
        <v>563</v>
      </c>
      <c r="B170" s="14" t="n">
        <v>18.885</v>
      </c>
      <c r="C170" s="14" t="n">
        <f aca="false">IF('MRR Conglomerado'!AH170&gt;0,'MRR Conglomerado'!AH170,"")</f>
        <v>781.65015</v>
      </c>
      <c r="D170" s="14" t="n">
        <f aca="false">IF(C170="","",'MRR Conglomerado'!AT170)</f>
        <v>810.499096</v>
      </c>
      <c r="E170" s="15" t="n">
        <f aca="false">IF(C170="","",D170/C170)</f>
        <v>1.03690774702723</v>
      </c>
      <c r="F170" s="14" t="n">
        <f aca="false">IF(C170="","",C170/B170)</f>
        <v>41.39</v>
      </c>
      <c r="G170" s="12" t="str">
        <f aca="false">IF(F170="","",IF(F170&lt;100,"Menos de 100 USD",IF(F170&lt;500,"100 a 500 USD",IF(F170&lt;2000,"500 a 2.000 USD","Más de 2.000 USD"))))</f>
        <v>Menos de 100 USD</v>
      </c>
      <c r="H170" s="14" t="n">
        <f aca="false">IF(C170="","",MIN(D170,C170))</f>
        <v>781.65015</v>
      </c>
    </row>
    <row r="171" customFormat="false" ht="15" hidden="false" customHeight="true" outlineLevel="0" collapsed="false">
      <c r="A171" s="12" t="s">
        <v>566</v>
      </c>
      <c r="B171" s="14" t="n">
        <v>18.885</v>
      </c>
      <c r="C171" s="14" t="n">
        <f aca="false">IF('MRR Conglomerado'!AH171&gt;0,'MRR Conglomerado'!AH171,"")</f>
        <v>20182.0218</v>
      </c>
      <c r="D171" s="14" t="n">
        <f aca="false">IF(C171="","",'MRR Conglomerado'!AT171)</f>
        <v>20554.054056</v>
      </c>
      <c r="E171" s="15" t="n">
        <f aca="false">IF(C171="","",D171/C171)</f>
        <v>1.01843384472016</v>
      </c>
      <c r="F171" s="14" t="n">
        <f aca="false">IF(C171="","",C171/B171)</f>
        <v>1068.68</v>
      </c>
      <c r="G171" s="12" t="str">
        <f aca="false">IF(F171="","",IF(F171&lt;100,"Menos de 100 USD",IF(F171&lt;500,"100 a 500 USD",IF(F171&lt;2000,"500 a 2.000 USD","Más de 2.000 USD"))))</f>
        <v>500 a 2.000 USD</v>
      </c>
      <c r="H171" s="14" t="n">
        <f aca="false">IF(C171="","",MIN(D171,C171))</f>
        <v>20182.0218</v>
      </c>
    </row>
    <row r="172" customFormat="false" ht="15" hidden="false" customHeight="true" outlineLevel="0" collapsed="false">
      <c r="A172" s="12" t="s">
        <v>569</v>
      </c>
      <c r="B172" s="14" t="n">
        <v>18.885</v>
      </c>
      <c r="C172" s="14" t="str">
        <f aca="false">IF('MRR Conglomerado'!AH172&gt;0,'MRR Conglomerado'!AH172,"")</f>
        <v/>
      </c>
      <c r="D172" s="14" t="str">
        <f aca="false">IF(C172="","",'MRR Conglomerado'!AT172)</f>
        <v/>
      </c>
      <c r="E172" s="15" t="str">
        <f aca="false">IF(C172="","",D172/C172)</f>
        <v/>
      </c>
      <c r="F172" s="14" t="str">
        <f aca="false">IF(C172="","",C172/B172)</f>
        <v/>
      </c>
      <c r="G172" s="12" t="str">
        <f aca="false">IF(F172="","",IF(F172&lt;100,"Menos de 100 USD",IF(F172&lt;500,"100 a 500 USD",IF(F172&lt;2000,"500 a 2.000 USD","Más de 2.000 USD"))))</f>
        <v/>
      </c>
      <c r="H172" s="14" t="str">
        <f aca="false">IF(C172="","",MIN(D172,C172))</f>
        <v/>
      </c>
    </row>
    <row r="173" customFormat="false" ht="15" hidden="false" customHeight="true" outlineLevel="0" collapsed="false">
      <c r="A173" s="12" t="s">
        <v>572</v>
      </c>
      <c r="B173" s="14" t="n">
        <v>18.885</v>
      </c>
      <c r="C173" s="14" t="n">
        <f aca="false">IF('MRR Conglomerado'!AH173&gt;0,'MRR Conglomerado'!AH173,"")</f>
        <v>20100.24975</v>
      </c>
      <c r="D173" s="14" t="n">
        <f aca="false">IF(C173="","",'MRR Conglomerado'!AT173)</f>
        <v>18019.997392</v>
      </c>
      <c r="E173" s="15" t="n">
        <f aca="false">IF(C173="","",D173/C173)</f>
        <v>0.896506143760726</v>
      </c>
      <c r="F173" s="14" t="n">
        <f aca="false">IF(C173="","",C173/B173)</f>
        <v>1064.35</v>
      </c>
      <c r="G173" s="12" t="str">
        <f aca="false">IF(F173="","",IF(F173&lt;100,"Menos de 100 USD",IF(F173&lt;500,"100 a 500 USD",IF(F173&lt;2000,"500 a 2.000 USD","Más de 2.000 USD"))))</f>
        <v>500 a 2.000 USD</v>
      </c>
      <c r="H173" s="14" t="n">
        <f aca="false">IF(C173="","",MIN(D173,C173))</f>
        <v>18019.997392</v>
      </c>
    </row>
    <row r="174" customFormat="false" ht="15" hidden="false" customHeight="true" outlineLevel="0" collapsed="false">
      <c r="A174" s="12" t="s">
        <v>575</v>
      </c>
      <c r="B174" s="14" t="n">
        <v>18.885</v>
      </c>
      <c r="C174" s="14" t="str">
        <f aca="false">IF('MRR Conglomerado'!AH174&gt;0,'MRR Conglomerado'!AH174,"")</f>
        <v/>
      </c>
      <c r="D174" s="14" t="str">
        <f aca="false">IF(C174="","",'MRR Conglomerado'!AT174)</f>
        <v/>
      </c>
      <c r="E174" s="15" t="str">
        <f aca="false">IF(C174="","",D174/C174)</f>
        <v/>
      </c>
      <c r="F174" s="14" t="str">
        <f aca="false">IF(C174="","",C174/B174)</f>
        <v/>
      </c>
      <c r="G174" s="12" t="str">
        <f aca="false">IF(F174="","",IF(F174&lt;100,"Menos de 100 USD",IF(F174&lt;500,"100 a 500 USD",IF(F174&lt;2000,"500 a 2.000 USD","Más de 2.000 USD"))))</f>
        <v/>
      </c>
      <c r="H174" s="14" t="str">
        <f aca="false">IF(C174="","",MIN(D174,C174))</f>
        <v/>
      </c>
    </row>
    <row r="175" customFormat="false" ht="15" hidden="false" customHeight="true" outlineLevel="0" collapsed="false">
      <c r="A175" s="12" t="s">
        <v>578</v>
      </c>
      <c r="B175" s="14" t="n">
        <v>18.885</v>
      </c>
      <c r="C175" s="14" t="str">
        <f aca="false">IF('MRR Conglomerado'!AH175&gt;0,'MRR Conglomerado'!AH175,"")</f>
        <v/>
      </c>
      <c r="D175" s="14" t="str">
        <f aca="false">IF(C175="","",'MRR Conglomerado'!AT175)</f>
        <v/>
      </c>
      <c r="E175" s="15" t="str">
        <f aca="false">IF(C175="","",D175/C175)</f>
        <v/>
      </c>
      <c r="F175" s="14" t="str">
        <f aca="false">IF(C175="","",C175/B175)</f>
        <v/>
      </c>
      <c r="G175" s="12" t="str">
        <f aca="false">IF(F175="","",IF(F175&lt;100,"Menos de 100 USD",IF(F175&lt;500,"100 a 500 USD",IF(F175&lt;2000,"500 a 2.000 USD","Más de 2.000 USD"))))</f>
        <v/>
      </c>
      <c r="H175" s="14" t="str">
        <f aca="false">IF(C175="","",MIN(D175,C175))</f>
        <v/>
      </c>
    </row>
    <row r="176" customFormat="false" ht="15" hidden="false" customHeight="true" outlineLevel="0" collapsed="false">
      <c r="A176" s="12" t="s">
        <v>581</v>
      </c>
      <c r="B176" s="14" t="n">
        <v>18.885</v>
      </c>
      <c r="C176" s="14" t="n">
        <f aca="false">IF('MRR Conglomerado'!AH176&gt;0,'MRR Conglomerado'!AH176,"")</f>
        <v>781.65015</v>
      </c>
      <c r="D176" s="14" t="n">
        <f aca="false">IF(C176="","",'MRR Conglomerado'!AT176)</f>
        <v>867.379296</v>
      </c>
      <c r="E176" s="15" t="n">
        <f aca="false">IF(C176="","",D176/C176)</f>
        <v>1.10967713113085</v>
      </c>
      <c r="F176" s="14" t="n">
        <f aca="false">IF(C176="","",C176/B176)</f>
        <v>41.39</v>
      </c>
      <c r="G176" s="12" t="str">
        <f aca="false">IF(F176="","",IF(F176&lt;100,"Menos de 100 USD",IF(F176&lt;500,"100 a 500 USD",IF(F176&lt;2000,"500 a 2.000 USD","Más de 2.000 USD"))))</f>
        <v>Menos de 100 USD</v>
      </c>
      <c r="H176" s="14" t="n">
        <f aca="false">IF(C176="","",MIN(D176,C176))</f>
        <v>781.65015</v>
      </c>
    </row>
    <row r="177" customFormat="false" ht="15" hidden="false" customHeight="true" outlineLevel="0" collapsed="false">
      <c r="A177" s="12" t="s">
        <v>584</v>
      </c>
      <c r="B177" s="14" t="n">
        <v>18.885</v>
      </c>
      <c r="C177" s="14" t="str">
        <f aca="false">IF('MRR Conglomerado'!AH177&gt;0,'MRR Conglomerado'!AH177,"")</f>
        <v/>
      </c>
      <c r="D177" s="14" t="str">
        <f aca="false">IF(C177="","",'MRR Conglomerado'!AT177)</f>
        <v/>
      </c>
      <c r="E177" s="15" t="str">
        <f aca="false">IF(C177="","",D177/C177)</f>
        <v/>
      </c>
      <c r="F177" s="14" t="str">
        <f aca="false">IF(C177="","",C177/B177)</f>
        <v/>
      </c>
      <c r="G177" s="12" t="str">
        <f aca="false">IF(F177="","",IF(F177&lt;100,"Menos de 100 USD",IF(F177&lt;500,"100 a 500 USD",IF(F177&lt;2000,"500 a 2.000 USD","Más de 2.000 USD"))))</f>
        <v/>
      </c>
      <c r="H177" s="14" t="str">
        <f aca="false">IF(C177="","",MIN(D177,C177))</f>
        <v/>
      </c>
    </row>
    <row r="178" customFormat="false" ht="15" hidden="false" customHeight="true" outlineLevel="0" collapsed="false">
      <c r="A178" s="12" t="s">
        <v>587</v>
      </c>
      <c r="B178" s="14" t="n">
        <v>18.885</v>
      </c>
      <c r="C178" s="14" t="str">
        <f aca="false">IF('MRR Conglomerado'!AH178&gt;0,'MRR Conglomerado'!AH178,"")</f>
        <v/>
      </c>
      <c r="D178" s="14" t="str">
        <f aca="false">IF(C178="","",'MRR Conglomerado'!AT178)</f>
        <v/>
      </c>
      <c r="E178" s="15" t="str">
        <f aca="false">IF(C178="","",D178/C178)</f>
        <v/>
      </c>
      <c r="F178" s="14" t="str">
        <f aca="false">IF(C178="","",C178/B178)</f>
        <v/>
      </c>
      <c r="G178" s="12" t="str">
        <f aca="false">IF(F178="","",IF(F178&lt;100,"Menos de 100 USD",IF(F178&lt;500,"100 a 500 USD",IF(F178&lt;2000,"500 a 2.000 USD","Más de 2.000 USD"))))</f>
        <v/>
      </c>
      <c r="H178" s="14" t="str">
        <f aca="false">IF(C178="","",MIN(D178,C178))</f>
        <v/>
      </c>
    </row>
    <row r="179" customFormat="false" ht="15" hidden="false" customHeight="true" outlineLevel="0" collapsed="false">
      <c r="A179" s="12" t="s">
        <v>590</v>
      </c>
      <c r="B179" s="14" t="n">
        <v>18.885</v>
      </c>
      <c r="C179" s="14" t="n">
        <f aca="false">IF('MRR Conglomerado'!AH179&gt;0,'MRR Conglomerado'!AH179,"")</f>
        <v>1662.2577</v>
      </c>
      <c r="D179" s="14" t="n">
        <f aca="false">IF(C179="","",'MRR Conglomerado'!AT179)</f>
        <v>1486.060856</v>
      </c>
      <c r="E179" s="15" t="n">
        <f aca="false">IF(C179="","",D179/C179)</f>
        <v>0.894001487254353</v>
      </c>
      <c r="F179" s="14" t="n">
        <f aca="false">IF(C179="","",C179/B179)</f>
        <v>88.02</v>
      </c>
      <c r="G179" s="12" t="str">
        <f aca="false">IF(F179="","",IF(F179&lt;100,"Menos de 100 USD",IF(F179&lt;500,"100 a 500 USD",IF(F179&lt;2000,"500 a 2.000 USD","Más de 2.000 USD"))))</f>
        <v>Menos de 100 USD</v>
      </c>
      <c r="H179" s="14" t="n">
        <f aca="false">IF(C179="","",MIN(D179,C179))</f>
        <v>1486.060856</v>
      </c>
    </row>
    <row r="180" customFormat="false" ht="15" hidden="false" customHeight="true" outlineLevel="0" collapsed="false">
      <c r="A180" s="12" t="s">
        <v>593</v>
      </c>
      <c r="B180" s="14" t="n">
        <v>18.885</v>
      </c>
      <c r="C180" s="14" t="n">
        <f aca="false">IF('MRR Conglomerado'!AH180&gt;0,'MRR Conglomerado'!AH180,"")</f>
        <v>2699.98845</v>
      </c>
      <c r="D180" s="14" t="n">
        <f aca="false">IF(C180="","",'MRR Conglomerado'!AT180)</f>
        <v>0</v>
      </c>
      <c r="E180" s="15" t="n">
        <f aca="false">IF(C180="","",D180/C180)</f>
        <v>0</v>
      </c>
      <c r="F180" s="14" t="n">
        <f aca="false">IF(C180="","",C180/B180)</f>
        <v>142.97</v>
      </c>
      <c r="G180" s="12" t="str">
        <f aca="false">IF(F180="","",IF(F180&lt;100,"Menos de 100 USD",IF(F180&lt;500,"100 a 500 USD",IF(F180&lt;2000,"500 a 2.000 USD","Más de 2.000 USD"))))</f>
        <v>100 a 500 USD</v>
      </c>
      <c r="H180" s="14" t="n">
        <f aca="false">IF(C180="","",MIN(D180,C180))</f>
        <v>0</v>
      </c>
    </row>
    <row r="181" customFormat="false" ht="15" hidden="false" customHeight="true" outlineLevel="0" collapsed="false">
      <c r="A181" s="12" t="s">
        <v>596</v>
      </c>
      <c r="B181" s="14" t="n">
        <v>18.885</v>
      </c>
      <c r="C181" s="14" t="str">
        <f aca="false">IF('MRR Conglomerado'!AH181&gt;0,'MRR Conglomerado'!AH181,"")</f>
        <v/>
      </c>
      <c r="D181" s="14" t="str">
        <f aca="false">IF(C181="","",'MRR Conglomerado'!AT181)</f>
        <v/>
      </c>
      <c r="E181" s="15" t="str">
        <f aca="false">IF(C181="","",D181/C181)</f>
        <v/>
      </c>
      <c r="F181" s="14" t="str">
        <f aca="false">IF(C181="","",C181/B181)</f>
        <v/>
      </c>
      <c r="G181" s="12" t="str">
        <f aca="false">IF(F181="","",IF(F181&lt;100,"Menos de 100 USD",IF(F181&lt;500,"100 a 500 USD",IF(F181&lt;2000,"500 a 2.000 USD","Más de 2.000 USD"))))</f>
        <v/>
      </c>
      <c r="H181" s="14" t="str">
        <f aca="false">IF(C181="","",MIN(D181,C181))</f>
        <v/>
      </c>
    </row>
    <row r="182" customFormat="false" ht="15" hidden="false" customHeight="true" outlineLevel="0" collapsed="false">
      <c r="A182" s="12" t="s">
        <v>599</v>
      </c>
      <c r="B182" s="14" t="n">
        <v>18.885</v>
      </c>
      <c r="C182" s="14" t="str">
        <f aca="false">IF('MRR Conglomerado'!AH182&gt;0,'MRR Conglomerado'!AH182,"")</f>
        <v/>
      </c>
      <c r="D182" s="14" t="str">
        <f aca="false">IF(C182="","",'MRR Conglomerado'!AT182)</f>
        <v/>
      </c>
      <c r="E182" s="15" t="str">
        <f aca="false">IF(C182="","",D182/C182)</f>
        <v/>
      </c>
      <c r="F182" s="14" t="str">
        <f aca="false">IF(C182="","",C182/B182)</f>
        <v/>
      </c>
      <c r="G182" s="12" t="str">
        <f aca="false">IF(F182="","",IF(F182&lt;100,"Menos de 100 USD",IF(F182&lt;500,"100 a 500 USD",IF(F182&lt;2000,"500 a 2.000 USD","Más de 2.000 USD"))))</f>
        <v/>
      </c>
      <c r="H182" s="14" t="str">
        <f aca="false">IF(C182="","",MIN(D182,C182))</f>
        <v/>
      </c>
    </row>
    <row r="183" customFormat="false" ht="15" hidden="false" customHeight="true" outlineLevel="0" collapsed="false">
      <c r="A183" s="12" t="s">
        <v>602</v>
      </c>
      <c r="B183" s="14" t="n">
        <v>18.885</v>
      </c>
      <c r="C183" s="14" t="str">
        <f aca="false">IF('MRR Conglomerado'!AH183&gt;0,'MRR Conglomerado'!AH183,"")</f>
        <v/>
      </c>
      <c r="D183" s="14" t="str">
        <f aca="false">IF(C183="","",'MRR Conglomerado'!AT183)</f>
        <v/>
      </c>
      <c r="E183" s="15" t="str">
        <f aca="false">IF(C183="","",D183/C183)</f>
        <v/>
      </c>
      <c r="F183" s="14" t="str">
        <f aca="false">IF(C183="","",C183/B183)</f>
        <v/>
      </c>
      <c r="G183" s="12" t="str">
        <f aca="false">IF(F183="","",IF(F183&lt;100,"Menos de 100 USD",IF(F183&lt;500,"100 a 500 USD",IF(F183&lt;2000,"500 a 2.000 USD","Más de 2.000 USD"))))</f>
        <v/>
      </c>
      <c r="H183" s="14" t="str">
        <f aca="false">IF(C183="","",MIN(D183,C183))</f>
        <v/>
      </c>
    </row>
    <row r="184" customFormat="false" ht="15" hidden="false" customHeight="true" outlineLevel="0" collapsed="false">
      <c r="A184" s="12" t="s">
        <v>605</v>
      </c>
      <c r="B184" s="14" t="n">
        <v>18.885</v>
      </c>
      <c r="C184" s="14" t="str">
        <f aca="false">IF('MRR Conglomerado'!AH184&gt;0,'MRR Conglomerado'!AH184,"")</f>
        <v/>
      </c>
      <c r="D184" s="14" t="str">
        <f aca="false">IF(C184="","",'MRR Conglomerado'!AT184)</f>
        <v/>
      </c>
      <c r="E184" s="15" t="str">
        <f aca="false">IF(C184="","",D184/C184)</f>
        <v/>
      </c>
      <c r="F184" s="14" t="str">
        <f aca="false">IF(C184="","",C184/B184)</f>
        <v/>
      </c>
      <c r="G184" s="12" t="str">
        <f aca="false">IF(F184="","",IF(F184&lt;100,"Menos de 100 USD",IF(F184&lt;500,"100 a 500 USD",IF(F184&lt;2000,"500 a 2.000 USD","Más de 2.000 USD"))))</f>
        <v/>
      </c>
      <c r="H184" s="14" t="str">
        <f aca="false">IF(C184="","",MIN(D184,C184))</f>
        <v/>
      </c>
    </row>
    <row r="185" customFormat="false" ht="15" hidden="false" customHeight="true" outlineLevel="0" collapsed="false">
      <c r="A185" s="12" t="s">
        <v>608</v>
      </c>
      <c r="B185" s="14" t="n">
        <v>18.885</v>
      </c>
      <c r="C185" s="14" t="str">
        <f aca="false">IF('MRR Conglomerado'!AH185&gt;0,'MRR Conglomerado'!AH185,"")</f>
        <v/>
      </c>
      <c r="D185" s="14" t="str">
        <f aca="false">IF(C185="","",'MRR Conglomerado'!AT185)</f>
        <v/>
      </c>
      <c r="E185" s="15" t="str">
        <f aca="false">IF(C185="","",D185/C185)</f>
        <v/>
      </c>
      <c r="F185" s="14" t="str">
        <f aca="false">IF(C185="","",C185/B185)</f>
        <v/>
      </c>
      <c r="G185" s="12" t="str">
        <f aca="false">IF(F185="","",IF(F185&lt;100,"Menos de 100 USD",IF(F185&lt;500,"100 a 500 USD",IF(F185&lt;2000,"500 a 2.000 USD","Más de 2.000 USD"))))</f>
        <v/>
      </c>
      <c r="H185" s="14" t="str">
        <f aca="false">IF(C185="","",MIN(D185,C185))</f>
        <v/>
      </c>
    </row>
    <row r="186" customFormat="false" ht="15" hidden="false" customHeight="true" outlineLevel="0" collapsed="false">
      <c r="A186" s="12" t="s">
        <v>611</v>
      </c>
      <c r="B186" s="14" t="n">
        <v>18.885</v>
      </c>
      <c r="C186" s="14" t="str">
        <f aca="false">IF('MRR Conglomerado'!AH186&gt;0,'MRR Conglomerado'!AH186,"")</f>
        <v/>
      </c>
      <c r="D186" s="14" t="str">
        <f aca="false">IF(C186="","",'MRR Conglomerado'!AT186)</f>
        <v/>
      </c>
      <c r="E186" s="15" t="str">
        <f aca="false">IF(C186="","",D186/C186)</f>
        <v/>
      </c>
      <c r="F186" s="14" t="str">
        <f aca="false">IF(C186="","",C186/B186)</f>
        <v/>
      </c>
      <c r="G186" s="12" t="str">
        <f aca="false">IF(F186="","",IF(F186&lt;100,"Menos de 100 USD",IF(F186&lt;500,"100 a 500 USD",IF(F186&lt;2000,"500 a 2.000 USD","Más de 2.000 USD"))))</f>
        <v/>
      </c>
      <c r="H186" s="14" t="str">
        <f aca="false">IF(C186="","",MIN(D186,C186))</f>
        <v/>
      </c>
    </row>
    <row r="187" customFormat="false" ht="15" hidden="false" customHeight="true" outlineLevel="0" collapsed="false">
      <c r="A187" s="12" t="s">
        <v>614</v>
      </c>
      <c r="B187" s="14" t="n">
        <v>18.885</v>
      </c>
      <c r="C187" s="14" t="str">
        <f aca="false">IF('MRR Conglomerado'!AH187&gt;0,'MRR Conglomerado'!AH187,"")</f>
        <v/>
      </c>
      <c r="D187" s="14" t="str">
        <f aca="false">IF(C187="","",'MRR Conglomerado'!AT187)</f>
        <v/>
      </c>
      <c r="E187" s="15" t="str">
        <f aca="false">IF(C187="","",D187/C187)</f>
        <v/>
      </c>
      <c r="F187" s="14" t="str">
        <f aca="false">IF(C187="","",C187/B187)</f>
        <v/>
      </c>
      <c r="G187" s="12" t="str">
        <f aca="false">IF(F187="","",IF(F187&lt;100,"Menos de 100 USD",IF(F187&lt;500,"100 a 500 USD",IF(F187&lt;2000,"500 a 2.000 USD","Más de 2.000 USD"))))</f>
        <v/>
      </c>
      <c r="H187" s="14" t="str">
        <f aca="false">IF(C187="","",MIN(D187,C187))</f>
        <v/>
      </c>
    </row>
    <row r="188" customFormat="false" ht="15" hidden="false" customHeight="true" outlineLevel="0" collapsed="false">
      <c r="A188" s="12" t="s">
        <v>617</v>
      </c>
      <c r="B188" s="14" t="n">
        <v>18.885</v>
      </c>
      <c r="C188" s="14" t="str">
        <f aca="false">IF('MRR Conglomerado'!AH188&gt;0,'MRR Conglomerado'!AH188,"")</f>
        <v/>
      </c>
      <c r="D188" s="14" t="str">
        <f aca="false">IF(C188="","",'MRR Conglomerado'!AT188)</f>
        <v/>
      </c>
      <c r="E188" s="15" t="str">
        <f aca="false">IF(C188="","",D188/C188)</f>
        <v/>
      </c>
      <c r="F188" s="14" t="str">
        <f aca="false">IF(C188="","",C188/B188)</f>
        <v/>
      </c>
      <c r="G188" s="12" t="str">
        <f aca="false">IF(F188="","",IF(F188&lt;100,"Menos de 100 USD",IF(F188&lt;500,"100 a 500 USD",IF(F188&lt;2000,"500 a 2.000 USD","Más de 2.000 USD"))))</f>
        <v/>
      </c>
      <c r="H188" s="14" t="str">
        <f aca="false">IF(C188="","",MIN(D188,C188))</f>
        <v/>
      </c>
    </row>
    <row r="189" customFormat="false" ht="15" hidden="false" customHeight="true" outlineLevel="0" collapsed="false">
      <c r="A189" s="12" t="s">
        <v>620</v>
      </c>
      <c r="B189" s="14" t="n">
        <v>18.885</v>
      </c>
      <c r="C189" s="14" t="str">
        <f aca="false">IF('MRR Conglomerado'!AH189&gt;0,'MRR Conglomerado'!AH189,"")</f>
        <v/>
      </c>
      <c r="D189" s="14" t="str">
        <f aca="false">IF(C189="","",'MRR Conglomerado'!AT189)</f>
        <v/>
      </c>
      <c r="E189" s="15" t="str">
        <f aca="false">IF(C189="","",D189/C189)</f>
        <v/>
      </c>
      <c r="F189" s="14" t="str">
        <f aca="false">IF(C189="","",C189/B189)</f>
        <v/>
      </c>
      <c r="G189" s="12" t="str">
        <f aca="false">IF(F189="","",IF(F189&lt;100,"Menos de 100 USD",IF(F189&lt;500,"100 a 500 USD",IF(F189&lt;2000,"500 a 2.000 USD","Más de 2.000 USD"))))</f>
        <v/>
      </c>
      <c r="H189" s="14" t="str">
        <f aca="false">IF(C189="","",MIN(D189,C189))</f>
        <v/>
      </c>
    </row>
    <row r="190" customFormat="false" ht="15" hidden="false" customHeight="true" outlineLevel="0" collapsed="false">
      <c r="A190" s="12" t="s">
        <v>623</v>
      </c>
      <c r="B190" s="14" t="n">
        <v>18.885</v>
      </c>
      <c r="C190" s="14" t="str">
        <f aca="false">IF('MRR Conglomerado'!AH190&gt;0,'MRR Conglomerado'!AH190,"")</f>
        <v/>
      </c>
      <c r="D190" s="14" t="str">
        <f aca="false">IF(C190="","",'MRR Conglomerado'!AT190)</f>
        <v/>
      </c>
      <c r="E190" s="15" t="str">
        <f aca="false">IF(C190="","",D190/C190)</f>
        <v/>
      </c>
      <c r="F190" s="14" t="str">
        <f aca="false">IF(C190="","",C190/B190)</f>
        <v/>
      </c>
      <c r="G190" s="12" t="str">
        <f aca="false">IF(F190="","",IF(F190&lt;100,"Menos de 100 USD",IF(F190&lt;500,"100 a 500 USD",IF(F190&lt;2000,"500 a 2.000 USD","Más de 2.000 USD"))))</f>
        <v/>
      </c>
      <c r="H190" s="14" t="str">
        <f aca="false">IF(C190="","",MIN(D190,C190))</f>
        <v/>
      </c>
    </row>
    <row r="191" customFormat="false" ht="15" hidden="false" customHeight="true" outlineLevel="0" collapsed="false">
      <c r="A191" s="12" t="s">
        <v>626</v>
      </c>
      <c r="B191" s="14" t="n">
        <v>18.885</v>
      </c>
      <c r="C191" s="14" t="str">
        <f aca="false">IF('MRR Conglomerado'!AH191&gt;0,'MRR Conglomerado'!AH191,"")</f>
        <v/>
      </c>
      <c r="D191" s="14" t="str">
        <f aca="false">IF(C191="","",'MRR Conglomerado'!AT191)</f>
        <v/>
      </c>
      <c r="E191" s="15" t="str">
        <f aca="false">IF(C191="","",D191/C191)</f>
        <v/>
      </c>
      <c r="F191" s="14" t="str">
        <f aca="false">IF(C191="","",C191/B191)</f>
        <v/>
      </c>
      <c r="G191" s="12" t="str">
        <f aca="false">IF(F191="","",IF(F191&lt;100,"Menos de 100 USD",IF(F191&lt;500,"100 a 500 USD",IF(F191&lt;2000,"500 a 2.000 USD","Más de 2.000 USD"))))</f>
        <v/>
      </c>
      <c r="H191" s="14" t="str">
        <f aca="false">IF(C191="","",MIN(D191,C191))</f>
        <v/>
      </c>
    </row>
    <row r="192" customFormat="false" ht="15" hidden="false" customHeight="true" outlineLevel="0" collapsed="false">
      <c r="A192" s="12" t="s">
        <v>629</v>
      </c>
      <c r="B192" s="14" t="n">
        <v>18.885</v>
      </c>
      <c r="C192" s="14" t="str">
        <f aca="false">IF('MRR Conglomerado'!AH192&gt;0,'MRR Conglomerado'!AH192,"")</f>
        <v/>
      </c>
      <c r="D192" s="14" t="str">
        <f aca="false">IF(C192="","",'MRR Conglomerado'!AT192)</f>
        <v/>
      </c>
      <c r="E192" s="15" t="str">
        <f aca="false">IF(C192="","",D192/C192)</f>
        <v/>
      </c>
      <c r="F192" s="14" t="str">
        <f aca="false">IF(C192="","",C192/B192)</f>
        <v/>
      </c>
      <c r="G192" s="12" t="str">
        <f aca="false">IF(F192="","",IF(F192&lt;100,"Menos de 100 USD",IF(F192&lt;500,"100 a 500 USD",IF(F192&lt;2000,"500 a 2.000 USD","Más de 2.000 USD"))))</f>
        <v/>
      </c>
      <c r="H192" s="14" t="str">
        <f aca="false">IF(C192="","",MIN(D192,C192))</f>
        <v/>
      </c>
    </row>
    <row r="193" customFormat="false" ht="15" hidden="false" customHeight="true" outlineLevel="0" collapsed="false">
      <c r="A193" s="12" t="s">
        <v>632</v>
      </c>
      <c r="B193" s="14" t="n">
        <v>18.885</v>
      </c>
      <c r="C193" s="14" t="str">
        <f aca="false">IF('MRR Conglomerado'!AH193&gt;0,'MRR Conglomerado'!AH193,"")</f>
        <v/>
      </c>
      <c r="D193" s="14" t="str">
        <f aca="false">IF(C193="","",'MRR Conglomerado'!AT193)</f>
        <v/>
      </c>
      <c r="E193" s="15" t="str">
        <f aca="false">IF(C193="","",D193/C193)</f>
        <v/>
      </c>
      <c r="F193" s="14" t="str">
        <f aca="false">IF(C193="","",C193/B193)</f>
        <v/>
      </c>
      <c r="G193" s="12" t="str">
        <f aca="false">IF(F193="","",IF(F193&lt;100,"Menos de 100 USD",IF(F193&lt;500,"100 a 500 USD",IF(F193&lt;2000,"500 a 2.000 USD","Más de 2.000 USD"))))</f>
        <v/>
      </c>
      <c r="H193" s="14" t="str">
        <f aca="false">IF(C193="","",MIN(D193,C193))</f>
        <v/>
      </c>
    </row>
    <row r="194" customFormat="false" ht="15" hidden="false" customHeight="true" outlineLevel="0" collapsed="false">
      <c r="A194" s="12" t="s">
        <v>635</v>
      </c>
      <c r="B194" s="14" t="n">
        <v>18.885</v>
      </c>
      <c r="C194" s="14" t="str">
        <f aca="false">IF('MRR Conglomerado'!AH194&gt;0,'MRR Conglomerado'!AH194,"")</f>
        <v/>
      </c>
      <c r="D194" s="14" t="str">
        <f aca="false">IF(C194="","",'MRR Conglomerado'!AT194)</f>
        <v/>
      </c>
      <c r="E194" s="15" t="str">
        <f aca="false">IF(C194="","",D194/C194)</f>
        <v/>
      </c>
      <c r="F194" s="14" t="str">
        <f aca="false">IF(C194="","",C194/B194)</f>
        <v/>
      </c>
      <c r="G194" s="12" t="str">
        <f aca="false">IF(F194="","",IF(F194&lt;100,"Menos de 100 USD",IF(F194&lt;500,"100 a 500 USD",IF(F194&lt;2000,"500 a 2.000 USD","Más de 2.000 USD"))))</f>
        <v/>
      </c>
      <c r="H194" s="14" t="str">
        <f aca="false">IF(C194="","",MIN(D194,C194))</f>
        <v/>
      </c>
    </row>
    <row r="195" customFormat="false" ht="15" hidden="false" customHeight="true" outlineLevel="0" collapsed="false">
      <c r="A195" s="12" t="s">
        <v>638</v>
      </c>
      <c r="B195" s="14" t="n">
        <v>18.885</v>
      </c>
      <c r="C195" s="14" t="str">
        <f aca="false">IF('MRR Conglomerado'!AH195&gt;0,'MRR Conglomerado'!AH195,"")</f>
        <v/>
      </c>
      <c r="D195" s="14" t="str">
        <f aca="false">IF(C195="","",'MRR Conglomerado'!AT195)</f>
        <v/>
      </c>
      <c r="E195" s="15" t="str">
        <f aca="false">IF(C195="","",D195/C195)</f>
        <v/>
      </c>
      <c r="F195" s="14" t="str">
        <f aca="false">IF(C195="","",C195/B195)</f>
        <v/>
      </c>
      <c r="G195" s="12" t="str">
        <f aca="false">IF(F195="","",IF(F195&lt;100,"Menos de 100 USD",IF(F195&lt;500,"100 a 500 USD",IF(F195&lt;2000,"500 a 2.000 USD","Más de 2.000 USD"))))</f>
        <v/>
      </c>
      <c r="H195" s="14" t="str">
        <f aca="false">IF(C195="","",MIN(D195,C195))</f>
        <v/>
      </c>
    </row>
    <row r="196" customFormat="false" ht="15" hidden="false" customHeight="true" outlineLevel="0" collapsed="false">
      <c r="A196" s="12" t="s">
        <v>641</v>
      </c>
      <c r="B196" s="14" t="n">
        <v>18.885</v>
      </c>
      <c r="C196" s="14" t="n">
        <f aca="false">IF('MRR Conglomerado'!AH196&gt;0,'MRR Conglomerado'!AH196,"")</f>
        <v>22945.275</v>
      </c>
      <c r="D196" s="14" t="n">
        <f aca="false">IF(C196="","",'MRR Conglomerado'!AT196)</f>
        <v>24808.518</v>
      </c>
      <c r="E196" s="15" t="n">
        <f aca="false">IF(C196="","",D196/C196)</f>
        <v>1.08120377724826</v>
      </c>
      <c r="F196" s="14" t="n">
        <f aca="false">IF(C196="","",C196/B196)</f>
        <v>1215</v>
      </c>
      <c r="G196" s="12" t="str">
        <f aca="false">IF(F196="","",IF(F196&lt;100,"Menos de 100 USD",IF(F196&lt;500,"100 a 500 USD",IF(F196&lt;2000,"500 a 2.000 USD","Más de 2.000 USD"))))</f>
        <v>500 a 2.000 USD</v>
      </c>
      <c r="H196" s="14" t="n">
        <f aca="false">IF(C196="","",MIN(D196,C196))</f>
        <v>22945.275</v>
      </c>
    </row>
    <row r="197" customFormat="false" ht="15" hidden="false" customHeight="true" outlineLevel="0" collapsed="false">
      <c r="A197" s="12" t="s">
        <v>644</v>
      </c>
      <c r="B197" s="14" t="n">
        <v>18.885</v>
      </c>
      <c r="C197" s="14" t="n">
        <f aca="false">IF('MRR Conglomerado'!AH197&gt;0,'MRR Conglomerado'!AH197,"")</f>
        <v>14179.9911</v>
      </c>
      <c r="D197" s="14" t="n">
        <f aca="false">IF(C197="","",'MRR Conglomerado'!AT197)</f>
        <v>13595.067864</v>
      </c>
      <c r="E197" s="15" t="n">
        <f aca="false">IF(C197="","",D197/C197)</f>
        <v>0.958750098510288</v>
      </c>
      <c r="F197" s="14" t="n">
        <f aca="false">IF(C197="","",C197/B197)</f>
        <v>750.86</v>
      </c>
      <c r="G197" s="12" t="str">
        <f aca="false">IF(F197="","",IF(F197&lt;100,"Menos de 100 USD",IF(F197&lt;500,"100 a 500 USD",IF(F197&lt;2000,"500 a 2.000 USD","Más de 2.000 USD"))))</f>
        <v>500 a 2.000 USD</v>
      </c>
      <c r="H197" s="14" t="n">
        <f aca="false">IF(C197="","",MIN(D197,C197))</f>
        <v>13595.067864</v>
      </c>
    </row>
    <row r="198" customFormat="false" ht="15" hidden="false" customHeight="true" outlineLevel="0" collapsed="false">
      <c r="A198" s="12" t="s">
        <v>647</v>
      </c>
      <c r="B198" s="14" t="n">
        <v>18.885</v>
      </c>
      <c r="C198" s="14" t="str">
        <f aca="false">IF('MRR Conglomerado'!AH198&gt;0,'MRR Conglomerado'!AH198,"")</f>
        <v/>
      </c>
      <c r="D198" s="14" t="str">
        <f aca="false">IF(C198="","",'MRR Conglomerado'!AT198)</f>
        <v/>
      </c>
      <c r="E198" s="15" t="str">
        <f aca="false">IF(C198="","",D198/C198)</f>
        <v/>
      </c>
      <c r="F198" s="14" t="str">
        <f aca="false">IF(C198="","",C198/B198)</f>
        <v/>
      </c>
      <c r="G198" s="12" t="str">
        <f aca="false">IF(F198="","",IF(F198&lt;100,"Menos de 100 USD",IF(F198&lt;500,"100 a 500 USD",IF(F198&lt;2000,"500 a 2.000 USD","Más de 2.000 USD"))))</f>
        <v/>
      </c>
      <c r="H198" s="14" t="str">
        <f aca="false">IF(C198="","",MIN(D198,C198))</f>
        <v/>
      </c>
    </row>
    <row r="199" customFormat="false" ht="15" hidden="false" customHeight="true" outlineLevel="0" collapsed="false">
      <c r="A199" s="12" t="s">
        <v>650</v>
      </c>
      <c r="B199" s="14" t="n">
        <v>18.885</v>
      </c>
      <c r="C199" s="14" t="str">
        <f aca="false">IF('MRR Conglomerado'!AH199&gt;0,'MRR Conglomerado'!AH199,"")</f>
        <v/>
      </c>
      <c r="D199" s="14" t="str">
        <f aca="false">IF(C199="","",'MRR Conglomerado'!AT199)</f>
        <v/>
      </c>
      <c r="E199" s="15" t="str">
        <f aca="false">IF(C199="","",D199/C199)</f>
        <v/>
      </c>
      <c r="F199" s="14" t="str">
        <f aca="false">IF(C199="","",C199/B199)</f>
        <v/>
      </c>
      <c r="G199" s="12" t="str">
        <f aca="false">IF(F199="","",IF(F199&lt;100,"Menos de 100 USD",IF(F199&lt;500,"100 a 500 USD",IF(F199&lt;2000,"500 a 2.000 USD","Más de 2.000 USD"))))</f>
        <v/>
      </c>
      <c r="H199" s="14" t="str">
        <f aca="false">IF(C199="","",MIN(D199,C199))</f>
        <v/>
      </c>
    </row>
    <row r="200" customFormat="false" ht="15" hidden="false" customHeight="true" outlineLevel="0" collapsed="false">
      <c r="A200" s="12" t="s">
        <v>653</v>
      </c>
      <c r="B200" s="14" t="n">
        <v>18.885</v>
      </c>
      <c r="C200" s="14" t="str">
        <f aca="false">IF('MRR Conglomerado'!AH200&gt;0,'MRR Conglomerado'!AH200,"")</f>
        <v/>
      </c>
      <c r="D200" s="14" t="str">
        <f aca="false">IF(C200="","",'MRR Conglomerado'!AT200)</f>
        <v/>
      </c>
      <c r="E200" s="15" t="str">
        <f aca="false">IF(C200="","",D200/C200)</f>
        <v/>
      </c>
      <c r="F200" s="14" t="str">
        <f aca="false">IF(C200="","",C200/B200)</f>
        <v/>
      </c>
      <c r="G200" s="12" t="str">
        <f aca="false">IF(F200="","",IF(F200&lt;100,"Menos de 100 USD",IF(F200&lt;500,"100 a 500 USD",IF(F200&lt;2000,"500 a 2.000 USD","Más de 2.000 USD"))))</f>
        <v/>
      </c>
      <c r="H200" s="14" t="str">
        <f aca="false">IF(C200="","",MIN(D200,C200))</f>
        <v/>
      </c>
    </row>
    <row r="201" customFormat="false" ht="15" hidden="false" customHeight="true" outlineLevel="0" collapsed="false">
      <c r="A201" s="12" t="s">
        <v>656</v>
      </c>
      <c r="B201" s="14" t="n">
        <v>18.885</v>
      </c>
      <c r="C201" s="14" t="str">
        <f aca="false">IF('MRR Conglomerado'!AH201&gt;0,'MRR Conglomerado'!AH201,"")</f>
        <v/>
      </c>
      <c r="D201" s="14" t="str">
        <f aca="false">IF(C201="","",'MRR Conglomerado'!AT201)</f>
        <v/>
      </c>
      <c r="E201" s="15" t="str">
        <f aca="false">IF(C201="","",D201/C201)</f>
        <v/>
      </c>
      <c r="F201" s="14" t="str">
        <f aca="false">IF(C201="","",C201/B201)</f>
        <v/>
      </c>
      <c r="G201" s="12" t="str">
        <f aca="false">IF(F201="","",IF(F201&lt;100,"Menos de 100 USD",IF(F201&lt;500,"100 a 500 USD",IF(F201&lt;2000,"500 a 2.000 USD","Más de 2.000 USD"))))</f>
        <v/>
      </c>
      <c r="H201" s="14" t="str">
        <f aca="false">IF(C201="","",MIN(D201,C201))</f>
        <v/>
      </c>
    </row>
    <row r="202" customFormat="false" ht="15" hidden="false" customHeight="true" outlineLevel="0" collapsed="false">
      <c r="A202" s="12" t="s">
        <v>659</v>
      </c>
      <c r="B202" s="14" t="n">
        <v>18.885</v>
      </c>
      <c r="C202" s="14" t="str">
        <f aca="false">IF('MRR Conglomerado'!AH202&gt;0,'MRR Conglomerado'!AH202,"")</f>
        <v/>
      </c>
      <c r="D202" s="14" t="str">
        <f aca="false">IF(C202="","",'MRR Conglomerado'!AT202)</f>
        <v/>
      </c>
      <c r="E202" s="15" t="str">
        <f aca="false">IF(C202="","",D202/C202)</f>
        <v/>
      </c>
      <c r="F202" s="14" t="str">
        <f aca="false">IF(C202="","",C202/B202)</f>
        <v/>
      </c>
      <c r="G202" s="12" t="str">
        <f aca="false">IF(F202="","",IF(F202&lt;100,"Menos de 100 USD",IF(F202&lt;500,"100 a 500 USD",IF(F202&lt;2000,"500 a 2.000 USD","Más de 2.000 USD"))))</f>
        <v/>
      </c>
      <c r="H202" s="14" t="str">
        <f aca="false">IF(C202="","",MIN(D202,C202))</f>
        <v/>
      </c>
    </row>
    <row r="203" customFormat="false" ht="15" hidden="false" customHeight="true" outlineLevel="0" collapsed="false">
      <c r="A203" s="12" t="s">
        <v>662</v>
      </c>
      <c r="B203" s="14" t="n">
        <v>18.885</v>
      </c>
      <c r="C203" s="14" t="n">
        <f aca="false">IF('MRR Conglomerado'!AH203&gt;0,'MRR Conglomerado'!AH203,"")</f>
        <v>15078.9171</v>
      </c>
      <c r="D203" s="14" t="n">
        <f aca="false">IF(C203="","",'MRR Conglomerado'!AT203)</f>
        <v>14841.006768</v>
      </c>
      <c r="E203" s="15" t="n">
        <f aca="false">IF(C203="","",D203/C203)</f>
        <v>0.984222319784489</v>
      </c>
      <c r="F203" s="14" t="n">
        <f aca="false">IF(C203="","",C203/B203)</f>
        <v>798.46</v>
      </c>
      <c r="G203" s="12" t="str">
        <f aca="false">IF(F203="","",IF(F203&lt;100,"Menos de 100 USD",IF(F203&lt;500,"100 a 500 USD",IF(F203&lt;2000,"500 a 2.000 USD","Más de 2.000 USD"))))</f>
        <v>500 a 2.000 USD</v>
      </c>
      <c r="H203" s="14" t="n">
        <f aca="false">IF(C203="","",MIN(D203,C203))</f>
        <v>14841.006768</v>
      </c>
    </row>
    <row r="204" customFormat="false" ht="15" hidden="false" customHeight="true" outlineLevel="0" collapsed="false">
      <c r="A204" s="12" t="s">
        <v>665</v>
      </c>
      <c r="B204" s="14" t="n">
        <v>18.885</v>
      </c>
      <c r="C204" s="14" t="n">
        <f aca="false">IF('MRR Conglomerado'!AH204&gt;0,'MRR Conglomerado'!AH204,"")</f>
        <v>2564.9607</v>
      </c>
      <c r="D204" s="14" t="n">
        <f aca="false">IF(C204="","",'MRR Conglomerado'!AT204)</f>
        <v>3079.581536</v>
      </c>
      <c r="E204" s="15" t="n">
        <f aca="false">IF(C204="","",D204/C204)</f>
        <v>1.2006349789297</v>
      </c>
      <c r="F204" s="14" t="n">
        <f aca="false">IF(C204="","",C204/B204)</f>
        <v>135.82</v>
      </c>
      <c r="G204" s="12" t="str">
        <f aca="false">IF(F204="","",IF(F204&lt;100,"Menos de 100 USD",IF(F204&lt;500,"100 a 500 USD",IF(F204&lt;2000,"500 a 2.000 USD","Más de 2.000 USD"))))</f>
        <v>100 a 500 USD</v>
      </c>
      <c r="H204" s="14" t="n">
        <f aca="false">IF(C204="","",MIN(D204,C204))</f>
        <v>2564.9607</v>
      </c>
    </row>
    <row r="205" customFormat="false" ht="15" hidden="false" customHeight="true" outlineLevel="0" collapsed="false">
      <c r="A205" s="12" t="s">
        <v>668</v>
      </c>
      <c r="B205" s="14" t="n">
        <v>18.885</v>
      </c>
      <c r="C205" s="14" t="str">
        <f aca="false">IF('MRR Conglomerado'!AH205&gt;0,'MRR Conglomerado'!AH205,"")</f>
        <v/>
      </c>
      <c r="D205" s="14" t="str">
        <f aca="false">IF(C205="","",'MRR Conglomerado'!AT205)</f>
        <v/>
      </c>
      <c r="E205" s="15" t="str">
        <f aca="false">IF(C205="","",D205/C205)</f>
        <v/>
      </c>
      <c r="F205" s="14" t="str">
        <f aca="false">IF(C205="","",C205/B205)</f>
        <v/>
      </c>
      <c r="G205" s="12" t="str">
        <f aca="false">IF(F205="","",IF(F205&lt;100,"Menos de 100 USD",IF(F205&lt;500,"100 a 500 USD",IF(F205&lt;2000,"500 a 2.000 USD","Más de 2.000 USD"))))</f>
        <v/>
      </c>
      <c r="H205" s="14" t="str">
        <f aca="false">IF(C205="","",MIN(D205,C205))</f>
        <v/>
      </c>
    </row>
    <row r="206" customFormat="false" ht="15" hidden="false" customHeight="true" outlineLevel="0" collapsed="false">
      <c r="A206" s="12" t="s">
        <v>671</v>
      </c>
      <c r="B206" s="14" t="n">
        <v>18.885</v>
      </c>
      <c r="C206" s="14" t="str">
        <f aca="false">IF('MRR Conglomerado'!AH206&gt;0,'MRR Conglomerado'!AH206,"")</f>
        <v/>
      </c>
      <c r="D206" s="14" t="str">
        <f aca="false">IF(C206="","",'MRR Conglomerado'!AT206)</f>
        <v/>
      </c>
      <c r="E206" s="15" t="str">
        <f aca="false">IF(C206="","",D206/C206)</f>
        <v/>
      </c>
      <c r="F206" s="14" t="str">
        <f aca="false">IF(C206="","",C206/B206)</f>
        <v/>
      </c>
      <c r="G206" s="12" t="str">
        <f aca="false">IF(F206="","",IF(F206&lt;100,"Menos de 100 USD",IF(F206&lt;500,"100 a 500 USD",IF(F206&lt;2000,"500 a 2.000 USD","Más de 2.000 USD"))))</f>
        <v/>
      </c>
      <c r="H206" s="14" t="str">
        <f aca="false">IF(C206="","",MIN(D206,C206))</f>
        <v/>
      </c>
    </row>
    <row r="207" customFormat="false" ht="15" hidden="false" customHeight="true" outlineLevel="0" collapsed="false">
      <c r="A207" s="12" t="s">
        <v>674</v>
      </c>
      <c r="B207" s="14" t="n">
        <v>18.885</v>
      </c>
      <c r="C207" s="14" t="n">
        <f aca="false">IF('MRR Conglomerado'!AH207&gt;0,'MRR Conglomerado'!AH207,"")</f>
        <v>5856.04965</v>
      </c>
      <c r="D207" s="14" t="n">
        <f aca="false">IF(C207="","",'MRR Conglomerado'!AT207)</f>
        <v>0</v>
      </c>
      <c r="E207" s="15" t="n">
        <f aca="false">IF(C207="","",D207/C207)</f>
        <v>0</v>
      </c>
      <c r="F207" s="14" t="n">
        <f aca="false">IF(C207="","",C207/B207)</f>
        <v>310.09</v>
      </c>
      <c r="G207" s="12" t="str">
        <f aca="false">IF(F207="","",IF(F207&lt;100,"Menos de 100 USD",IF(F207&lt;500,"100 a 500 USD",IF(F207&lt;2000,"500 a 2.000 USD","Más de 2.000 USD"))))</f>
        <v>100 a 500 USD</v>
      </c>
      <c r="H207" s="14" t="n">
        <f aca="false">IF(C207="","",MIN(D207,C207))</f>
        <v>0</v>
      </c>
    </row>
    <row r="208" customFormat="false" ht="15" hidden="false" customHeight="true" outlineLevel="0" collapsed="false">
      <c r="A208" s="12" t="s">
        <v>677</v>
      </c>
      <c r="B208" s="14" t="n">
        <v>18.885</v>
      </c>
      <c r="C208" s="14" t="str">
        <f aca="false">IF('MRR Conglomerado'!AH208&gt;0,'MRR Conglomerado'!AH208,"")</f>
        <v/>
      </c>
      <c r="D208" s="14" t="str">
        <f aca="false">IF(C208="","",'MRR Conglomerado'!AT208)</f>
        <v/>
      </c>
      <c r="E208" s="15" t="str">
        <f aca="false">IF(C208="","",D208/C208)</f>
        <v/>
      </c>
      <c r="F208" s="14" t="str">
        <f aca="false">IF(C208="","",C208/B208)</f>
        <v/>
      </c>
      <c r="G208" s="12" t="str">
        <f aca="false">IF(F208="","",IF(F208&lt;100,"Menos de 100 USD",IF(F208&lt;500,"100 a 500 USD",IF(F208&lt;2000,"500 a 2.000 USD","Más de 2.000 USD"))))</f>
        <v/>
      </c>
      <c r="H208" s="14" t="str">
        <f aca="false">IF(C208="","",MIN(D208,C208))</f>
        <v/>
      </c>
    </row>
    <row r="209" customFormat="false" ht="15" hidden="false" customHeight="true" outlineLevel="0" collapsed="false">
      <c r="A209" s="12" t="s">
        <v>680</v>
      </c>
      <c r="B209" s="14" t="n">
        <v>18.885</v>
      </c>
      <c r="C209" s="14" t="str">
        <f aca="false">IF('MRR Conglomerado'!AH209&gt;0,'MRR Conglomerado'!AH209,"")</f>
        <v/>
      </c>
      <c r="D209" s="14" t="str">
        <f aca="false">IF(C209="","",'MRR Conglomerado'!AT209)</f>
        <v/>
      </c>
      <c r="E209" s="15" t="str">
        <f aca="false">IF(C209="","",D209/C209)</f>
        <v/>
      </c>
      <c r="F209" s="14" t="str">
        <f aca="false">IF(C209="","",C209/B209)</f>
        <v/>
      </c>
      <c r="G209" s="12" t="str">
        <f aca="false">IF(F209="","",IF(F209&lt;100,"Menos de 100 USD",IF(F209&lt;500,"100 a 500 USD",IF(F209&lt;2000,"500 a 2.000 USD","Más de 2.000 USD"))))</f>
        <v/>
      </c>
      <c r="H209" s="14" t="str">
        <f aca="false">IF(C209="","",MIN(D209,C209))</f>
        <v/>
      </c>
    </row>
    <row r="210" customFormat="false" ht="15" hidden="false" customHeight="true" outlineLevel="0" collapsed="false">
      <c r="A210" s="12" t="s">
        <v>683</v>
      </c>
      <c r="B210" s="14" t="n">
        <v>18.885</v>
      </c>
      <c r="C210" s="14" t="str">
        <f aca="false">IF('MRR Conglomerado'!AH210&gt;0,'MRR Conglomerado'!AH210,"")</f>
        <v/>
      </c>
      <c r="D210" s="14" t="str">
        <f aca="false">IF(C210="","",'MRR Conglomerado'!AT210)</f>
        <v/>
      </c>
      <c r="E210" s="15" t="str">
        <f aca="false">IF(C210="","",D210/C210)</f>
        <v/>
      </c>
      <c r="F210" s="14" t="str">
        <f aca="false">IF(C210="","",C210/B210)</f>
        <v/>
      </c>
      <c r="G210" s="12" t="str">
        <f aca="false">IF(F210="","",IF(F210&lt;100,"Menos de 100 USD",IF(F210&lt;500,"100 a 500 USD",IF(F210&lt;2000,"500 a 2.000 USD","Más de 2.000 USD"))))</f>
        <v/>
      </c>
      <c r="H210" s="14" t="str">
        <f aca="false">IF(C210="","",MIN(D210,C210))</f>
        <v/>
      </c>
    </row>
    <row r="211" customFormat="false" ht="15" hidden="false" customHeight="true" outlineLevel="0" collapsed="false">
      <c r="A211" s="12" t="s">
        <v>686</v>
      </c>
      <c r="B211" s="14" t="n">
        <v>18.885</v>
      </c>
      <c r="C211" s="14" t="str">
        <f aca="false">IF('MRR Conglomerado'!AH211&gt;0,'MRR Conglomerado'!AH211,"")</f>
        <v/>
      </c>
      <c r="D211" s="14" t="str">
        <f aca="false">IF(C211="","",'MRR Conglomerado'!AT211)</f>
        <v/>
      </c>
      <c r="E211" s="15" t="str">
        <f aca="false">IF(C211="","",D211/C211)</f>
        <v/>
      </c>
      <c r="F211" s="14" t="str">
        <f aca="false">IF(C211="","",C211/B211)</f>
        <v/>
      </c>
      <c r="G211" s="12" t="str">
        <f aca="false">IF(F211="","",IF(F211&lt;100,"Menos de 100 USD",IF(F211&lt;500,"100 a 500 USD",IF(F211&lt;2000,"500 a 2.000 USD","Más de 2.000 USD"))))</f>
        <v/>
      </c>
      <c r="H211" s="14" t="str">
        <f aca="false">IF(C211="","",MIN(D211,C211))</f>
        <v/>
      </c>
    </row>
    <row r="212" customFormat="false" ht="15" hidden="false" customHeight="true" outlineLevel="0" collapsed="false">
      <c r="A212" s="12" t="s">
        <v>689</v>
      </c>
      <c r="B212" s="14" t="n">
        <v>18.885</v>
      </c>
      <c r="C212" s="14" t="n">
        <f aca="false">IF('MRR Conglomerado'!AH212&gt;0,'MRR Conglomerado'!AH212,"")</f>
        <v>781.65015</v>
      </c>
      <c r="D212" s="14" t="n">
        <f aca="false">IF(C212="","",'MRR Conglomerado'!AT212)</f>
        <v>940.185952</v>
      </c>
      <c r="E212" s="15" t="n">
        <f aca="false">IF(C212="","",D212/C212)</f>
        <v>1.20282194278348</v>
      </c>
      <c r="F212" s="14" t="n">
        <f aca="false">IF(C212="","",C212/B212)</f>
        <v>41.39</v>
      </c>
      <c r="G212" s="12" t="str">
        <f aca="false">IF(F212="","",IF(F212&lt;100,"Menos de 100 USD",IF(F212&lt;500,"100 a 500 USD",IF(F212&lt;2000,"500 a 2.000 USD","Más de 2.000 USD"))))</f>
        <v>Menos de 100 USD</v>
      </c>
      <c r="H212" s="14" t="n">
        <f aca="false">IF(C212="","",MIN(D212,C212))</f>
        <v>781.65015</v>
      </c>
    </row>
    <row r="213" customFormat="false" ht="15" hidden="false" customHeight="true" outlineLevel="0" collapsed="false">
      <c r="A213" s="12" t="s">
        <v>692</v>
      </c>
      <c r="B213" s="14" t="n">
        <v>18.885</v>
      </c>
      <c r="C213" s="14" t="str">
        <f aca="false">IF('MRR Conglomerado'!AH213&gt;0,'MRR Conglomerado'!AH213,"")</f>
        <v/>
      </c>
      <c r="D213" s="14" t="str">
        <f aca="false">IF(C213="","",'MRR Conglomerado'!AT213)</f>
        <v/>
      </c>
      <c r="E213" s="15" t="str">
        <f aca="false">IF(C213="","",D213/C213)</f>
        <v/>
      </c>
      <c r="F213" s="14" t="str">
        <f aca="false">IF(C213="","",C213/B213)</f>
        <v/>
      </c>
      <c r="G213" s="12" t="str">
        <f aca="false">IF(F213="","",IF(F213&lt;100,"Menos de 100 USD",IF(F213&lt;500,"100 a 500 USD",IF(F213&lt;2000,"500 a 2.000 USD","Más de 2.000 USD"))))</f>
        <v/>
      </c>
      <c r="H213" s="14" t="str">
        <f aca="false">IF(C213="","",MIN(D213,C213))</f>
        <v/>
      </c>
    </row>
    <row r="214" customFormat="false" ht="15" hidden="false" customHeight="true" outlineLevel="0" collapsed="false">
      <c r="A214" s="12" t="s">
        <v>695</v>
      </c>
      <c r="B214" s="14" t="n">
        <v>18.885</v>
      </c>
      <c r="C214" s="14" t="n">
        <f aca="false">IF('MRR Conglomerado'!AH214&gt;0,'MRR Conglomerado'!AH214,"")</f>
        <v>930.84165</v>
      </c>
      <c r="D214" s="14" t="n">
        <f aca="false">IF(C214="","",'MRR Conglomerado'!AT214)</f>
        <v>965.21324</v>
      </c>
      <c r="E214" s="15" t="n">
        <f aca="false">IF(C214="","",D214/C214)</f>
        <v>1.03692528154493</v>
      </c>
      <c r="F214" s="14" t="n">
        <f aca="false">IF(C214="","",C214/B214)</f>
        <v>49.29</v>
      </c>
      <c r="G214" s="12" t="str">
        <f aca="false">IF(F214="","",IF(F214&lt;100,"Menos de 100 USD",IF(F214&lt;500,"100 a 500 USD",IF(F214&lt;2000,"500 a 2.000 USD","Más de 2.000 USD"))))</f>
        <v>Menos de 100 USD</v>
      </c>
      <c r="H214" s="14" t="n">
        <f aca="false">IF(C214="","",MIN(D214,C214))</f>
        <v>930.84165</v>
      </c>
    </row>
    <row r="215" customFormat="false" ht="15" hidden="false" customHeight="true" outlineLevel="0" collapsed="false">
      <c r="A215" s="12" t="s">
        <v>698</v>
      </c>
      <c r="B215" s="14" t="n">
        <v>18.885</v>
      </c>
      <c r="C215" s="14" t="n">
        <f aca="false">IF('MRR Conglomerado'!AH215&gt;0,'MRR Conglomerado'!AH215,"")</f>
        <v>487.6107</v>
      </c>
      <c r="D215" s="14" t="n">
        <f aca="false">IF(C215="","",'MRR Conglomerado'!AT215)</f>
        <v>0</v>
      </c>
      <c r="E215" s="15" t="n">
        <f aca="false">IF(C215="","",D215/C215)</f>
        <v>0</v>
      </c>
      <c r="F215" s="14" t="n">
        <f aca="false">IF(C215="","",C215/B215)</f>
        <v>25.82</v>
      </c>
      <c r="G215" s="12" t="str">
        <f aca="false">IF(F215="","",IF(F215&lt;100,"Menos de 100 USD",IF(F215&lt;500,"100 a 500 USD",IF(F215&lt;2000,"500 a 2.000 USD","Más de 2.000 USD"))))</f>
        <v>Menos de 100 USD</v>
      </c>
      <c r="H215" s="14" t="n">
        <f aca="false">IF(C215="","",MIN(D215,C215))</f>
        <v>0</v>
      </c>
    </row>
    <row r="216" customFormat="false" ht="15" hidden="false" customHeight="true" outlineLevel="0" collapsed="false">
      <c r="A216" s="12" t="s">
        <v>701</v>
      </c>
      <c r="B216" s="14" t="n">
        <v>18.885</v>
      </c>
      <c r="C216" s="14" t="n">
        <f aca="false">IF('MRR Conglomerado'!AH216&gt;0,'MRR Conglomerado'!AH216,"")</f>
        <v>1094.1969</v>
      </c>
      <c r="D216" s="14" t="n">
        <f aca="false">IF(C216="","",'MRR Conglomerado'!AT216)</f>
        <v>0</v>
      </c>
      <c r="E216" s="15" t="n">
        <f aca="false">IF(C216="","",D216/C216)</f>
        <v>0</v>
      </c>
      <c r="F216" s="14" t="n">
        <f aca="false">IF(C216="","",C216/B216)</f>
        <v>57.94</v>
      </c>
      <c r="G216" s="12" t="str">
        <f aca="false">IF(F216="","",IF(F216&lt;100,"Menos de 100 USD",IF(F216&lt;500,"100 a 500 USD",IF(F216&lt;2000,"500 a 2.000 USD","Más de 2.000 USD"))))</f>
        <v>Menos de 100 USD</v>
      </c>
      <c r="H216" s="14" t="n">
        <f aca="false">IF(C216="","",MIN(D216,C216))</f>
        <v>0</v>
      </c>
    </row>
    <row r="217" customFormat="false" ht="15" hidden="false" customHeight="true" outlineLevel="0" collapsed="false">
      <c r="A217" s="12" t="s">
        <v>704</v>
      </c>
      <c r="B217" s="14" t="n">
        <v>18.885</v>
      </c>
      <c r="C217" s="14" t="n">
        <f aca="false">IF('MRR Conglomerado'!AH217&gt;0,'MRR Conglomerado'!AH217,"")</f>
        <v>2340.04035</v>
      </c>
      <c r="D217" s="14" t="n">
        <f aca="false">IF(C217="","",'MRR Conglomerado'!AT217)</f>
        <v>3732.741248</v>
      </c>
      <c r="E217" s="15" t="n">
        <f aca="false">IF(C217="","",D217/C217)</f>
        <v>1.59516106121845</v>
      </c>
      <c r="F217" s="14" t="n">
        <f aca="false">IF(C217="","",C217/B217)</f>
        <v>123.91</v>
      </c>
      <c r="G217" s="12" t="str">
        <f aca="false">IF(F217="","",IF(F217&lt;100,"Menos de 100 USD",IF(F217&lt;500,"100 a 500 USD",IF(F217&lt;2000,"500 a 2.000 USD","Más de 2.000 USD"))))</f>
        <v>100 a 500 USD</v>
      </c>
      <c r="H217" s="14" t="n">
        <f aca="false">IF(C217="","",MIN(D217,C217))</f>
        <v>2340.04035</v>
      </c>
    </row>
    <row r="218" customFormat="false" ht="15" hidden="false" customHeight="true" outlineLevel="0" collapsed="false">
      <c r="A218" s="12" t="s">
        <v>707</v>
      </c>
      <c r="B218" s="14" t="n">
        <v>18.885</v>
      </c>
      <c r="C218" s="14" t="n">
        <f aca="false">IF('MRR Conglomerado'!AH218&gt;0,'MRR Conglomerado'!AH218,"")</f>
        <v>4429.85445</v>
      </c>
      <c r="D218" s="14" t="n">
        <f aca="false">IF(C218="","",'MRR Conglomerado'!AT218)</f>
        <v>1797.41432</v>
      </c>
      <c r="E218" s="15" t="n">
        <f aca="false">IF(C218="","",D218/C218)</f>
        <v>0.40575019795515</v>
      </c>
      <c r="F218" s="14" t="n">
        <f aca="false">IF(C218="","",C218/B218)</f>
        <v>234.57</v>
      </c>
      <c r="G218" s="12" t="str">
        <f aca="false">IF(F218="","",IF(F218&lt;100,"Menos de 100 USD",IF(F218&lt;500,"100 a 500 USD",IF(F218&lt;2000,"500 a 2.000 USD","Más de 2.000 USD"))))</f>
        <v>100 a 500 USD</v>
      </c>
      <c r="H218" s="14" t="n">
        <f aca="false">IF(C218="","",MIN(D218,C218))</f>
        <v>1797.41432</v>
      </c>
    </row>
    <row r="219" customFormat="false" ht="15" hidden="false" customHeight="true" outlineLevel="0" collapsed="false">
      <c r="A219" s="12" t="s">
        <v>710</v>
      </c>
      <c r="B219" s="14" t="n">
        <v>18.885</v>
      </c>
      <c r="C219" s="14" t="n">
        <f aca="false">IF('MRR Conglomerado'!AH219&gt;0,'MRR Conglomerado'!AH219,"")</f>
        <v>989.9517</v>
      </c>
      <c r="D219" s="14" t="n">
        <f aca="false">IF(C219="","",'MRR Conglomerado'!AT219)</f>
        <v>4059.49612</v>
      </c>
      <c r="E219" s="15" t="n">
        <f aca="false">IF(C219="","",D219/C219)</f>
        <v>4.10070119582602</v>
      </c>
      <c r="F219" s="14" t="n">
        <f aca="false">IF(C219="","",C219/B219)</f>
        <v>52.42</v>
      </c>
      <c r="G219" s="12" t="str">
        <f aca="false">IF(F219="","",IF(F219&lt;100,"Menos de 100 USD",IF(F219&lt;500,"100 a 500 USD",IF(F219&lt;2000,"500 a 2.000 USD","Más de 2.000 USD"))))</f>
        <v>Menos de 100 USD</v>
      </c>
      <c r="H219" s="14" t="n">
        <f aca="false">IF(C219="","",MIN(D219,C219))</f>
        <v>989.9517</v>
      </c>
    </row>
    <row r="220" customFormat="false" ht="15" hidden="false" customHeight="true" outlineLevel="0" collapsed="false">
      <c r="A220" s="12" t="s">
        <v>713</v>
      </c>
      <c r="B220" s="14" t="n">
        <v>18.885</v>
      </c>
      <c r="C220" s="14" t="str">
        <f aca="false">IF('MRR Conglomerado'!AH220&gt;0,'MRR Conglomerado'!AH220,"")</f>
        <v/>
      </c>
      <c r="D220" s="14" t="str">
        <f aca="false">IF(C220="","",'MRR Conglomerado'!AT220)</f>
        <v/>
      </c>
      <c r="E220" s="15" t="str">
        <f aca="false">IF(C220="","",D220/C220)</f>
        <v/>
      </c>
      <c r="F220" s="14" t="str">
        <f aca="false">IF(C220="","",C220/B220)</f>
        <v/>
      </c>
      <c r="G220" s="12" t="str">
        <f aca="false">IF(F220="","",IF(F220&lt;100,"Menos de 100 USD",IF(F220&lt;500,"100 a 500 USD",IF(F220&lt;2000,"500 a 2.000 USD","Más de 2.000 USD"))))</f>
        <v/>
      </c>
      <c r="H220" s="14" t="str">
        <f aca="false">IF(C220="","",MIN(D220,C220))</f>
        <v/>
      </c>
    </row>
    <row r="221" customFormat="false" ht="15" hidden="false" customHeight="true" outlineLevel="0" collapsed="false">
      <c r="A221" s="12" t="s">
        <v>716</v>
      </c>
      <c r="B221" s="14" t="n">
        <v>18.885</v>
      </c>
      <c r="C221" s="14" t="str">
        <f aca="false">IF('MRR Conglomerado'!AH221&gt;0,'MRR Conglomerado'!AH221,"")</f>
        <v/>
      </c>
      <c r="D221" s="14" t="str">
        <f aca="false">IF(C221="","",'MRR Conglomerado'!AT221)</f>
        <v/>
      </c>
      <c r="E221" s="15" t="str">
        <f aca="false">IF(C221="","",D221/C221)</f>
        <v/>
      </c>
      <c r="F221" s="14" t="str">
        <f aca="false">IF(C221="","",C221/B221)</f>
        <v/>
      </c>
      <c r="G221" s="12" t="str">
        <f aca="false">IF(F221="","",IF(F221&lt;100,"Menos de 100 USD",IF(F221&lt;500,"100 a 500 USD",IF(F221&lt;2000,"500 a 2.000 USD","Más de 2.000 USD"))))</f>
        <v/>
      </c>
      <c r="H221" s="14" t="str">
        <f aca="false">IF(C221="","",MIN(D221,C221))</f>
        <v/>
      </c>
    </row>
    <row r="222" customFormat="false" ht="15" hidden="false" customHeight="true" outlineLevel="0" collapsed="false">
      <c r="A222" s="12" t="s">
        <v>719</v>
      </c>
      <c r="B222" s="14" t="n">
        <v>18.885</v>
      </c>
      <c r="C222" s="14" t="str">
        <f aca="false">IF('MRR Conglomerado'!AH222&gt;0,'MRR Conglomerado'!AH222,"")</f>
        <v/>
      </c>
      <c r="D222" s="14" t="str">
        <f aca="false">IF(C222="","",'MRR Conglomerado'!AT222)</f>
        <v/>
      </c>
      <c r="E222" s="15" t="str">
        <f aca="false">IF(C222="","",D222/C222)</f>
        <v/>
      </c>
      <c r="F222" s="14" t="str">
        <f aca="false">IF(C222="","",C222/B222)</f>
        <v/>
      </c>
      <c r="G222" s="12" t="str">
        <f aca="false">IF(F222="","",IF(F222&lt;100,"Menos de 100 USD",IF(F222&lt;500,"100 a 500 USD",IF(F222&lt;2000,"500 a 2.000 USD","Más de 2.000 USD"))))</f>
        <v/>
      </c>
      <c r="H222" s="14" t="str">
        <f aca="false">IF(C222="","",MIN(D222,C222))</f>
        <v/>
      </c>
    </row>
    <row r="223" customFormat="false" ht="15" hidden="false" customHeight="true" outlineLevel="0" collapsed="false">
      <c r="A223" s="12" t="s">
        <v>722</v>
      </c>
      <c r="B223" s="14" t="n">
        <v>18.885</v>
      </c>
      <c r="C223" s="14" t="n">
        <f aca="false">IF('MRR Conglomerado'!AH223&gt;0,'MRR Conglomerado'!AH223,"")</f>
        <v>3392.69025</v>
      </c>
      <c r="D223" s="14" t="n">
        <f aca="false">IF(C223="","",'MRR Conglomerado'!AT223)</f>
        <v>2987.698136</v>
      </c>
      <c r="E223" s="15" t="n">
        <f aca="false">IF(C223="","",D223/C223)</f>
        <v>0.880628031397797</v>
      </c>
      <c r="F223" s="14" t="n">
        <f aca="false">IF(C223="","",C223/B223)</f>
        <v>179.65</v>
      </c>
      <c r="G223" s="12" t="str">
        <f aca="false">IF(F223="","",IF(F223&lt;100,"Menos de 100 USD",IF(F223&lt;500,"100 a 500 USD",IF(F223&lt;2000,"500 a 2.000 USD","Más de 2.000 USD"))))</f>
        <v>100 a 500 USD</v>
      </c>
      <c r="H223" s="14" t="n">
        <f aca="false">IF(C223="","",MIN(D223,C223))</f>
        <v>2987.698136</v>
      </c>
    </row>
    <row r="224" customFormat="false" ht="15" hidden="false" customHeight="true" outlineLevel="0" collapsed="false">
      <c r="A224" s="12" t="s">
        <v>725</v>
      </c>
      <c r="B224" s="14" t="n">
        <v>18.885</v>
      </c>
      <c r="C224" s="14" t="str">
        <f aca="false">IF('MRR Conglomerado'!AH224&gt;0,'MRR Conglomerado'!AH224,"")</f>
        <v/>
      </c>
      <c r="D224" s="14" t="str">
        <f aca="false">IF(C224="","",'MRR Conglomerado'!AT224)</f>
        <v/>
      </c>
      <c r="E224" s="15" t="str">
        <f aca="false">IF(C224="","",D224/C224)</f>
        <v/>
      </c>
      <c r="F224" s="14" t="str">
        <f aca="false">IF(C224="","",C224/B224)</f>
        <v/>
      </c>
      <c r="G224" s="12" t="str">
        <f aca="false">IF(F224="","",IF(F224&lt;100,"Menos de 100 USD",IF(F224&lt;500,"100 a 500 USD",IF(F224&lt;2000,"500 a 2.000 USD","Más de 2.000 USD"))))</f>
        <v/>
      </c>
      <c r="H224" s="14" t="str">
        <f aca="false">IF(C224="","",MIN(D224,C224))</f>
        <v/>
      </c>
    </row>
    <row r="225" customFormat="false" ht="15" hidden="false" customHeight="true" outlineLevel="0" collapsed="false">
      <c r="A225" s="12" t="s">
        <v>728</v>
      </c>
      <c r="B225" s="14" t="n">
        <v>18.885</v>
      </c>
      <c r="C225" s="14" t="n">
        <f aca="false">IF('MRR Conglomerado'!AH225&gt;0,'MRR Conglomerado'!AH225,"")</f>
        <v>1013.93565</v>
      </c>
      <c r="D225" s="14" t="n">
        <f aca="false">IF(C225="","",'MRR Conglomerado'!AT225)</f>
        <v>12432.086544</v>
      </c>
      <c r="E225" s="15" t="n">
        <f aca="false">IF(C225="","",D225/C225)</f>
        <v>12.2612184944873</v>
      </c>
      <c r="F225" s="14" t="n">
        <f aca="false">IF(C225="","",C225/B225)</f>
        <v>53.69</v>
      </c>
      <c r="G225" s="12" t="str">
        <f aca="false">IF(F225="","",IF(F225&lt;100,"Menos de 100 USD",IF(F225&lt;500,"100 a 500 USD",IF(F225&lt;2000,"500 a 2.000 USD","Más de 2.000 USD"))))</f>
        <v>Menos de 100 USD</v>
      </c>
      <c r="H225" s="14" t="n">
        <f aca="false">IF(C225="","",MIN(D225,C225))</f>
        <v>1013.93565</v>
      </c>
    </row>
    <row r="226" customFormat="false" ht="15" hidden="false" customHeight="true" outlineLevel="0" collapsed="false">
      <c r="A226" s="12" t="s">
        <v>731</v>
      </c>
      <c r="B226" s="14" t="n">
        <v>18.885</v>
      </c>
      <c r="C226" s="14" t="str">
        <f aca="false">IF('MRR Conglomerado'!AH226&gt;0,'MRR Conglomerado'!AH226,"")</f>
        <v/>
      </c>
      <c r="D226" s="14" t="str">
        <f aca="false">IF(C226="","",'MRR Conglomerado'!AT226)</f>
        <v/>
      </c>
      <c r="E226" s="15" t="str">
        <f aca="false">IF(C226="","",D226/C226)</f>
        <v/>
      </c>
      <c r="F226" s="14" t="str">
        <f aca="false">IF(C226="","",C226/B226)</f>
        <v/>
      </c>
      <c r="G226" s="12" t="str">
        <f aca="false">IF(F226="","",IF(F226&lt;100,"Menos de 100 USD",IF(F226&lt;500,"100 a 500 USD",IF(F226&lt;2000,"500 a 2.000 USD","Más de 2.000 USD"))))</f>
        <v/>
      </c>
      <c r="H226" s="14" t="str">
        <f aca="false">IF(C226="","",MIN(D226,C226))</f>
        <v/>
      </c>
    </row>
    <row r="227" customFormat="false" ht="15" hidden="false" customHeight="true" outlineLevel="0" collapsed="false">
      <c r="A227" s="12" t="s">
        <v>734</v>
      </c>
      <c r="B227" s="14" t="n">
        <v>18.885</v>
      </c>
      <c r="C227" s="14" t="str">
        <f aca="false">IF('MRR Conglomerado'!AH227&gt;0,'MRR Conglomerado'!AH227,"")</f>
        <v/>
      </c>
      <c r="D227" s="14" t="str">
        <f aca="false">IF(C227="","",'MRR Conglomerado'!AT227)</f>
        <v/>
      </c>
      <c r="E227" s="15" t="str">
        <f aca="false">IF(C227="","",D227/C227)</f>
        <v/>
      </c>
      <c r="F227" s="14" t="str">
        <f aca="false">IF(C227="","",C227/B227)</f>
        <v/>
      </c>
      <c r="G227" s="12" t="str">
        <f aca="false">IF(F227="","",IF(F227&lt;100,"Menos de 100 USD",IF(F227&lt;500,"100 a 500 USD",IF(F227&lt;2000,"500 a 2.000 USD","Más de 2.000 USD"))))</f>
        <v/>
      </c>
      <c r="H227" s="14" t="str">
        <f aca="false">IF(C227="","",MIN(D227,C227))</f>
        <v/>
      </c>
    </row>
    <row r="228" customFormat="false" ht="15" hidden="false" customHeight="true" outlineLevel="0" collapsed="false">
      <c r="A228" s="12" t="s">
        <v>737</v>
      </c>
      <c r="B228" s="14" t="n">
        <v>18.885</v>
      </c>
      <c r="C228" s="14" t="str">
        <f aca="false">IF('MRR Conglomerado'!AH228&gt;0,'MRR Conglomerado'!AH228,"")</f>
        <v/>
      </c>
      <c r="D228" s="14" t="str">
        <f aca="false">IF(C228="","",'MRR Conglomerado'!AT228)</f>
        <v/>
      </c>
      <c r="E228" s="15" t="str">
        <f aca="false">IF(C228="","",D228/C228)</f>
        <v/>
      </c>
      <c r="F228" s="14" t="str">
        <f aca="false">IF(C228="","",C228/B228)</f>
        <v/>
      </c>
      <c r="G228" s="12" t="str">
        <f aca="false">IF(F228="","",IF(F228&lt;100,"Menos de 100 USD",IF(F228&lt;500,"100 a 500 USD",IF(F228&lt;2000,"500 a 2.000 USD","Más de 2.000 USD"))))</f>
        <v/>
      </c>
      <c r="H228" s="14" t="str">
        <f aca="false">IF(C228="","",MIN(D228,C228))</f>
        <v/>
      </c>
    </row>
    <row r="229" customFormat="false" ht="15" hidden="false" customHeight="true" outlineLevel="0" collapsed="false">
      <c r="A229" s="12" t="s">
        <v>740</v>
      </c>
      <c r="B229" s="14" t="n">
        <v>18.885</v>
      </c>
      <c r="C229" s="14" t="n">
        <f aca="false">IF('MRR Conglomerado'!AH229&gt;0,'MRR Conglomerado'!AH229,"")</f>
        <v>5125.0113</v>
      </c>
      <c r="D229" s="14" t="n">
        <f aca="false">IF(C229="","",'MRR Conglomerado'!AT229)</f>
        <v>5660.01744</v>
      </c>
      <c r="E229" s="15" t="n">
        <f aca="false">IF(C229="","",D229/C229)</f>
        <v>1.10439121178133</v>
      </c>
      <c r="F229" s="14" t="n">
        <f aca="false">IF(C229="","",C229/B229)</f>
        <v>271.38</v>
      </c>
      <c r="G229" s="12" t="str">
        <f aca="false">IF(F229="","",IF(F229&lt;100,"Menos de 100 USD",IF(F229&lt;500,"100 a 500 USD",IF(F229&lt;2000,"500 a 2.000 USD","Más de 2.000 USD"))))</f>
        <v>100 a 500 USD</v>
      </c>
      <c r="H229" s="14" t="n">
        <f aca="false">IF(C229="","",MIN(D229,C229))</f>
        <v>5125.0113</v>
      </c>
    </row>
    <row r="230" customFormat="false" ht="15" hidden="false" customHeight="true" outlineLevel="0" collapsed="false">
      <c r="A230" s="12" t="s">
        <v>743</v>
      </c>
      <c r="B230" s="14" t="n">
        <v>18.885</v>
      </c>
      <c r="C230" s="14" t="n">
        <f aca="false">IF('MRR Conglomerado'!AH230&gt;0,'MRR Conglomerado'!AH230,"")</f>
        <v>3560.01135</v>
      </c>
      <c r="D230" s="14" t="n">
        <f aca="false">IF(C230="","",'MRR Conglomerado'!AT230)</f>
        <v>7052.26972</v>
      </c>
      <c r="E230" s="15" t="n">
        <f aca="false">IF(C230="","",D230/C230)</f>
        <v>1.98096832472177</v>
      </c>
      <c r="F230" s="14" t="n">
        <f aca="false">IF(C230="","",C230/B230)</f>
        <v>188.51</v>
      </c>
      <c r="G230" s="12" t="str">
        <f aca="false">IF(F230="","",IF(F230&lt;100,"Menos de 100 USD",IF(F230&lt;500,"100 a 500 USD",IF(F230&lt;2000,"500 a 2.000 USD","Más de 2.000 USD"))))</f>
        <v>100 a 500 USD</v>
      </c>
      <c r="H230" s="14" t="n">
        <f aca="false">IF(C230="","",MIN(D230,C230))</f>
        <v>3560.01135</v>
      </c>
    </row>
    <row r="231" customFormat="false" ht="15" hidden="false" customHeight="true" outlineLevel="0" collapsed="false">
      <c r="A231" s="12" t="s">
        <v>746</v>
      </c>
      <c r="B231" s="14" t="n">
        <v>18.885</v>
      </c>
      <c r="C231" s="14" t="n">
        <f aca="false">IF('MRR Conglomerado'!AH231&gt;0,'MRR Conglomerado'!AH231,"")</f>
        <v>3039.91845</v>
      </c>
      <c r="D231" s="14" t="n">
        <f aca="false">IF(C231="","",'MRR Conglomerado'!AT231)</f>
        <v>2551.033216</v>
      </c>
      <c r="E231" s="15" t="n">
        <f aca="false">IF(C231="","",D231/C231)</f>
        <v>0.839178174664521</v>
      </c>
      <c r="F231" s="14" t="n">
        <f aca="false">IF(C231="","",C231/B231)</f>
        <v>160.97</v>
      </c>
      <c r="G231" s="12" t="str">
        <f aca="false">IF(F231="","",IF(F231&lt;100,"Menos de 100 USD",IF(F231&lt;500,"100 a 500 USD",IF(F231&lt;2000,"500 a 2.000 USD","Más de 2.000 USD"))))</f>
        <v>100 a 500 USD</v>
      </c>
      <c r="H231" s="14" t="n">
        <f aca="false">IF(C231="","",MIN(D231,C231))</f>
        <v>2551.033216</v>
      </c>
    </row>
    <row r="232" customFormat="false" ht="15" hidden="false" customHeight="true" outlineLevel="0" collapsed="false">
      <c r="A232" s="12" t="s">
        <v>749</v>
      </c>
      <c r="B232" s="14" t="n">
        <v>18.885</v>
      </c>
      <c r="C232" s="14" t="str">
        <f aca="false">IF('MRR Conglomerado'!AH232&gt;0,'MRR Conglomerado'!AH232,"")</f>
        <v/>
      </c>
      <c r="D232" s="14" t="str">
        <f aca="false">IF(C232="","",'MRR Conglomerado'!AT232)</f>
        <v/>
      </c>
      <c r="E232" s="15" t="str">
        <f aca="false">IF(C232="","",D232/C232)</f>
        <v/>
      </c>
      <c r="F232" s="14" t="str">
        <f aca="false">IF(C232="","",C232/B232)</f>
        <v/>
      </c>
      <c r="G232" s="12" t="str">
        <f aca="false">IF(F232="","",IF(F232&lt;100,"Menos de 100 USD",IF(F232&lt;500,"100 a 500 USD",IF(F232&lt;2000,"500 a 2.000 USD","Más de 2.000 USD"))))</f>
        <v/>
      </c>
      <c r="H232" s="14" t="str">
        <f aca="false">IF(C232="","",MIN(D232,C232))</f>
        <v/>
      </c>
    </row>
    <row r="233" customFormat="false" ht="15" hidden="false" customHeight="true" outlineLevel="0" collapsed="false">
      <c r="A233" s="12" t="s">
        <v>752</v>
      </c>
      <c r="B233" s="14" t="n">
        <v>18.885</v>
      </c>
      <c r="C233" s="14" t="n">
        <f aca="false">IF('MRR Conglomerado'!AH233&gt;0,'MRR Conglomerado'!AH233,"")</f>
        <v>2492.0646</v>
      </c>
      <c r="D233" s="14" t="n">
        <f aca="false">IF(C233="","",'MRR Conglomerado'!AT233)</f>
        <v>2436.047704</v>
      </c>
      <c r="E233" s="15" t="n">
        <f aca="false">IF(C233="","",D233/C233)</f>
        <v>0.977521892490267</v>
      </c>
      <c r="F233" s="14" t="n">
        <f aca="false">IF(C233="","",C233/B233)</f>
        <v>131.96</v>
      </c>
      <c r="G233" s="12" t="str">
        <f aca="false">IF(F233="","",IF(F233&lt;100,"Menos de 100 USD",IF(F233&lt;500,"100 a 500 USD",IF(F233&lt;2000,"500 a 2.000 USD","Más de 2.000 USD"))))</f>
        <v>100 a 500 USD</v>
      </c>
      <c r="H233" s="14" t="n">
        <f aca="false">IF(C233="","",MIN(D233,C233))</f>
        <v>2436.047704</v>
      </c>
    </row>
    <row r="234" customFormat="false" ht="15" hidden="false" customHeight="true" outlineLevel="0" collapsed="false">
      <c r="A234" s="12" t="s">
        <v>755</v>
      </c>
      <c r="B234" s="14" t="n">
        <v>18.885</v>
      </c>
      <c r="C234" s="14" t="str">
        <f aca="false">IF('MRR Conglomerado'!AH234&gt;0,'MRR Conglomerado'!AH234,"")</f>
        <v/>
      </c>
      <c r="D234" s="14" t="str">
        <f aca="false">IF(C234="","",'MRR Conglomerado'!AT234)</f>
        <v/>
      </c>
      <c r="E234" s="15" t="str">
        <f aca="false">IF(C234="","",D234/C234)</f>
        <v/>
      </c>
      <c r="F234" s="14" t="str">
        <f aca="false">IF(C234="","",C234/B234)</f>
        <v/>
      </c>
      <c r="G234" s="12" t="str">
        <f aca="false">IF(F234="","",IF(F234&lt;100,"Menos de 100 USD",IF(F234&lt;500,"100 a 500 USD",IF(F234&lt;2000,"500 a 2.000 USD","Más de 2.000 USD"))))</f>
        <v/>
      </c>
      <c r="H234" s="14" t="str">
        <f aca="false">IF(C234="","",MIN(D234,C234))</f>
        <v/>
      </c>
    </row>
    <row r="235" customFormat="false" ht="15" hidden="false" customHeight="true" outlineLevel="0" collapsed="false">
      <c r="A235" s="12" t="s">
        <v>758</v>
      </c>
      <c r="B235" s="14" t="n">
        <v>18.885</v>
      </c>
      <c r="C235" s="14" t="str">
        <f aca="false">IF('MRR Conglomerado'!AH235&gt;0,'MRR Conglomerado'!AH235,"")</f>
        <v/>
      </c>
      <c r="D235" s="14" t="str">
        <f aca="false">IF(C235="","",'MRR Conglomerado'!AT235)</f>
        <v/>
      </c>
      <c r="E235" s="15" t="str">
        <f aca="false">IF(C235="","",D235/C235)</f>
        <v/>
      </c>
      <c r="F235" s="14" t="str">
        <f aca="false">IF(C235="","",C235/B235)</f>
        <v/>
      </c>
      <c r="G235" s="12" t="str">
        <f aca="false">IF(F235="","",IF(F235&lt;100,"Menos de 100 USD",IF(F235&lt;500,"100 a 500 USD",IF(F235&lt;2000,"500 a 2.000 USD","Más de 2.000 USD"))))</f>
        <v/>
      </c>
      <c r="H235" s="14" t="str">
        <f aca="false">IF(C235="","",MIN(D235,C235))</f>
        <v/>
      </c>
    </row>
    <row r="236" customFormat="false" ht="15" hidden="false" customHeight="true" outlineLevel="0" collapsed="false">
      <c r="A236" s="12" t="s">
        <v>761</v>
      </c>
      <c r="B236" s="14" t="n">
        <v>18.885</v>
      </c>
      <c r="C236" s="14" t="str">
        <f aca="false">IF('MRR Conglomerado'!AH236&gt;0,'MRR Conglomerado'!AH236,"")</f>
        <v/>
      </c>
      <c r="D236" s="14" t="str">
        <f aca="false">IF(C236="","",'MRR Conglomerado'!AT236)</f>
        <v/>
      </c>
      <c r="E236" s="15" t="str">
        <f aca="false">IF(C236="","",D236/C236)</f>
        <v/>
      </c>
      <c r="F236" s="14" t="str">
        <f aca="false">IF(C236="","",C236/B236)</f>
        <v/>
      </c>
      <c r="G236" s="12" t="str">
        <f aca="false">IF(F236="","",IF(F236&lt;100,"Menos de 100 USD",IF(F236&lt;500,"100 a 500 USD",IF(F236&lt;2000,"500 a 2.000 USD","Más de 2.000 USD"))))</f>
        <v/>
      </c>
      <c r="H236" s="14" t="str">
        <f aca="false">IF(C236="","",MIN(D236,C236))</f>
        <v/>
      </c>
    </row>
    <row r="237" customFormat="false" ht="15" hidden="false" customHeight="true" outlineLevel="0" collapsed="false">
      <c r="A237" s="12" t="s">
        <v>764</v>
      </c>
      <c r="B237" s="14" t="n">
        <v>18.885</v>
      </c>
      <c r="C237" s="14" t="n">
        <f aca="false">IF('MRR Conglomerado'!AH237&gt;0,'MRR Conglomerado'!AH237,"")</f>
        <v>1543.09335</v>
      </c>
      <c r="D237" s="14" t="n">
        <f aca="false">IF(C237="","",'MRR Conglomerado'!AT237)</f>
        <v>1531.740032</v>
      </c>
      <c r="E237" s="15" t="n">
        <f aca="false">IF(C237="","",D237/C237)</f>
        <v>0.992642494376636</v>
      </c>
      <c r="F237" s="14" t="n">
        <f aca="false">IF(C237="","",C237/B237)</f>
        <v>81.71</v>
      </c>
      <c r="G237" s="12" t="str">
        <f aca="false">IF(F237="","",IF(F237&lt;100,"Menos de 100 USD",IF(F237&lt;500,"100 a 500 USD",IF(F237&lt;2000,"500 a 2.000 USD","Más de 2.000 USD"))))</f>
        <v>Menos de 100 USD</v>
      </c>
      <c r="H237" s="14" t="n">
        <f aca="false">IF(C237="","",MIN(D237,C237))</f>
        <v>1531.740032</v>
      </c>
    </row>
    <row r="238" customFormat="false" ht="15" hidden="false" customHeight="true" outlineLevel="0" collapsed="false">
      <c r="A238" s="12" t="s">
        <v>767</v>
      </c>
      <c r="B238" s="14" t="n">
        <v>18.885</v>
      </c>
      <c r="C238" s="14" t="n">
        <f aca="false">IF('MRR Conglomerado'!AH238&gt;0,'MRR Conglomerado'!AH238,"")</f>
        <v>15678.51585</v>
      </c>
      <c r="D238" s="14" t="n">
        <f aca="false">IF(C238="","",'MRR Conglomerado'!AT238)</f>
        <v>0</v>
      </c>
      <c r="E238" s="15" t="n">
        <f aca="false">IF(C238="","",D238/C238)</f>
        <v>0</v>
      </c>
      <c r="F238" s="14" t="n">
        <f aca="false">IF(C238="","",C238/B238)</f>
        <v>830.21</v>
      </c>
      <c r="G238" s="12" t="str">
        <f aca="false">IF(F238="","",IF(F238&lt;100,"Menos de 100 USD",IF(F238&lt;500,"100 a 500 USD",IF(F238&lt;2000,"500 a 2.000 USD","Más de 2.000 USD"))))</f>
        <v>500 a 2.000 USD</v>
      </c>
      <c r="H238" s="14" t="n">
        <f aca="false">IF(C238="","",MIN(D238,C238))</f>
        <v>0</v>
      </c>
    </row>
    <row r="239" customFormat="false" ht="15" hidden="false" customHeight="true" outlineLevel="0" collapsed="false">
      <c r="A239" s="12" t="s">
        <v>770</v>
      </c>
      <c r="B239" s="14" t="n">
        <v>18.885</v>
      </c>
      <c r="C239" s="14" t="str">
        <f aca="false">IF('MRR Conglomerado'!AH239&gt;0,'MRR Conglomerado'!AH239,"")</f>
        <v/>
      </c>
      <c r="D239" s="14" t="str">
        <f aca="false">IF(C239="","",'MRR Conglomerado'!AT239)</f>
        <v/>
      </c>
      <c r="E239" s="15" t="str">
        <f aca="false">IF(C239="","",D239/C239)</f>
        <v/>
      </c>
      <c r="F239" s="14" t="str">
        <f aca="false">IF(C239="","",C239/B239)</f>
        <v/>
      </c>
      <c r="G239" s="12" t="str">
        <f aca="false">IF(F239="","",IF(F239&lt;100,"Menos de 100 USD",IF(F239&lt;500,"100 a 500 USD",IF(F239&lt;2000,"500 a 2.000 USD","Más de 2.000 USD"))))</f>
        <v/>
      </c>
      <c r="H239" s="14" t="str">
        <f aca="false">IF(C239="","",MIN(D239,C239))</f>
        <v/>
      </c>
    </row>
    <row r="240" customFormat="false" ht="15" hidden="false" customHeight="true" outlineLevel="0" collapsed="false">
      <c r="A240" s="12" t="s">
        <v>773</v>
      </c>
      <c r="B240" s="14" t="n">
        <v>18.885</v>
      </c>
      <c r="C240" s="14" t="n">
        <f aca="false">IF('MRR Conglomerado'!AH240&gt;0,'MRR Conglomerado'!AH240,"")</f>
        <v>906.48</v>
      </c>
      <c r="D240" s="14" t="n">
        <f aca="false">IF(C240="","",'MRR Conglomerado'!AT240)</f>
        <v>939.83592</v>
      </c>
      <c r="E240" s="15" t="n">
        <f aca="false">IF(C240="","",D240/C240)</f>
        <v>1.03679719353985</v>
      </c>
      <c r="F240" s="14" t="n">
        <f aca="false">IF(C240="","",C240/B240)</f>
        <v>48</v>
      </c>
      <c r="G240" s="12" t="str">
        <f aca="false">IF(F240="","",IF(F240&lt;100,"Menos de 100 USD",IF(F240&lt;500,"100 a 500 USD",IF(F240&lt;2000,"500 a 2.000 USD","Más de 2.000 USD"))))</f>
        <v>Menos de 100 USD</v>
      </c>
      <c r="H240" s="14" t="n">
        <f aca="false">IF(C240="","",MIN(D240,C240))</f>
        <v>906.48</v>
      </c>
    </row>
    <row r="241" customFormat="false" ht="15" hidden="false" customHeight="true" outlineLevel="0" collapsed="false">
      <c r="A241" s="12" t="s">
        <v>776</v>
      </c>
      <c r="B241" s="14" t="n">
        <v>18.885</v>
      </c>
      <c r="C241" s="14" t="n">
        <f aca="false">IF('MRR Conglomerado'!AH241&gt;0,'MRR Conglomerado'!AH241,"")</f>
        <v>593.93325</v>
      </c>
      <c r="D241" s="14" t="n">
        <f aca="false">IF(C241="","",'MRR Conglomerado'!AT241)</f>
        <v>583.328328</v>
      </c>
      <c r="E241" s="15" t="n">
        <f aca="false">IF(C241="","",D241/C241)</f>
        <v>0.982144589480384</v>
      </c>
      <c r="F241" s="14" t="n">
        <f aca="false">IF(C241="","",C241/B241)</f>
        <v>31.45</v>
      </c>
      <c r="G241" s="12" t="str">
        <f aca="false">IF(F241="","",IF(F241&lt;100,"Menos de 100 USD",IF(F241&lt;500,"100 a 500 USD",IF(F241&lt;2000,"500 a 2.000 USD","Más de 2.000 USD"))))</f>
        <v>Menos de 100 USD</v>
      </c>
      <c r="H241" s="14" t="n">
        <f aca="false">IF(C241="","",MIN(D241,C241))</f>
        <v>583.328328</v>
      </c>
    </row>
    <row r="242" customFormat="false" ht="15" hidden="false" customHeight="true" outlineLevel="0" collapsed="false">
      <c r="A242" s="12" t="s">
        <v>779</v>
      </c>
      <c r="B242" s="14" t="n">
        <v>18.885</v>
      </c>
      <c r="C242" s="14" t="n">
        <f aca="false">IF('MRR Conglomerado'!AH242&gt;0,'MRR Conglomerado'!AH242,"")</f>
        <v>1413.91995</v>
      </c>
      <c r="D242" s="14" t="n">
        <f aca="false">IF(C242="","",'MRR Conglomerado'!AT242)</f>
        <v>0</v>
      </c>
      <c r="E242" s="15" t="n">
        <f aca="false">IF(C242="","",D242/C242)</f>
        <v>0</v>
      </c>
      <c r="F242" s="14" t="n">
        <f aca="false">IF(C242="","",C242/B242)</f>
        <v>74.87</v>
      </c>
      <c r="G242" s="12" t="str">
        <f aca="false">IF(F242="","",IF(F242&lt;100,"Menos de 100 USD",IF(F242&lt;500,"100 a 500 USD",IF(F242&lt;2000,"500 a 2.000 USD","Más de 2.000 USD"))))</f>
        <v>Menos de 100 USD</v>
      </c>
      <c r="H242" s="14" t="n">
        <f aca="false">IF(C242="","",MIN(D242,C242))</f>
        <v>0</v>
      </c>
    </row>
    <row r="243" customFormat="false" ht="15" hidden="false" customHeight="true" outlineLevel="0" collapsed="false">
      <c r="A243" s="12" t="s">
        <v>782</v>
      </c>
      <c r="B243" s="14" t="n">
        <v>18.885</v>
      </c>
      <c r="C243" s="14" t="str">
        <f aca="false">IF('MRR Conglomerado'!AH243&gt;0,'MRR Conglomerado'!AH243,"")</f>
        <v/>
      </c>
      <c r="D243" s="14" t="str">
        <f aca="false">IF(C243="","",'MRR Conglomerado'!AT243)</f>
        <v/>
      </c>
      <c r="E243" s="15" t="str">
        <f aca="false">IF(C243="","",D243/C243)</f>
        <v/>
      </c>
      <c r="F243" s="14" t="str">
        <f aca="false">IF(C243="","",C243/B243)</f>
        <v/>
      </c>
      <c r="G243" s="12" t="str">
        <f aca="false">IF(F243="","",IF(F243&lt;100,"Menos de 100 USD",IF(F243&lt;500,"100 a 500 USD",IF(F243&lt;2000,"500 a 2.000 USD","Más de 2.000 USD"))))</f>
        <v/>
      </c>
      <c r="H243" s="14" t="str">
        <f aca="false">IF(C243="","",MIN(D243,C243))</f>
        <v/>
      </c>
    </row>
    <row r="244" customFormat="false" ht="15" hidden="false" customHeight="true" outlineLevel="0" collapsed="false">
      <c r="A244" s="12" t="s">
        <v>785</v>
      </c>
      <c r="B244" s="14" t="n">
        <v>18.885</v>
      </c>
      <c r="C244" s="14" t="n">
        <f aca="false">IF('MRR Conglomerado'!AH244&gt;0,'MRR Conglomerado'!AH244,"")</f>
        <v>840.0048</v>
      </c>
      <c r="D244" s="14" t="n">
        <f aca="false">IF(C244="","",'MRR Conglomerado'!AT244)</f>
        <v>870.879616</v>
      </c>
      <c r="E244" s="15" t="n">
        <f aca="false">IF(C244="","",D244/C244)</f>
        <v>1.03675552330177</v>
      </c>
      <c r="F244" s="14" t="n">
        <f aca="false">IF(C244="","",C244/B244)</f>
        <v>44.48</v>
      </c>
      <c r="G244" s="12" t="str">
        <f aca="false">IF(F244="","",IF(F244&lt;100,"Menos de 100 USD",IF(F244&lt;500,"100 a 500 USD",IF(F244&lt;2000,"500 a 2.000 USD","Más de 2.000 USD"))))</f>
        <v>Menos de 100 USD</v>
      </c>
      <c r="H244" s="14" t="n">
        <f aca="false">IF(C244="","",MIN(D244,C244))</f>
        <v>840.0048</v>
      </c>
    </row>
    <row r="245" customFormat="false" ht="15" hidden="false" customHeight="true" outlineLevel="0" collapsed="false">
      <c r="A245" s="12" t="s">
        <v>788</v>
      </c>
      <c r="B245" s="14" t="n">
        <v>18.885</v>
      </c>
      <c r="C245" s="14" t="n">
        <f aca="false">IF('MRR Conglomerado'!AH245&gt;0,'MRR Conglomerado'!AH245,"")</f>
        <v>1250.5647</v>
      </c>
      <c r="D245" s="14" t="n">
        <f aca="false">IF(C245="","",'MRR Conglomerado'!AT245)</f>
        <v>1426.555416</v>
      </c>
      <c r="E245" s="15" t="n">
        <f aca="false">IF(C245="","",D245/C245)</f>
        <v>1.14072899706828</v>
      </c>
      <c r="F245" s="14" t="n">
        <f aca="false">IF(C245="","",C245/B245)</f>
        <v>66.22</v>
      </c>
      <c r="G245" s="12" t="str">
        <f aca="false">IF(F245="","",IF(F245&lt;100,"Menos de 100 USD",IF(F245&lt;500,"100 a 500 USD",IF(F245&lt;2000,"500 a 2.000 USD","Más de 2.000 USD"))))</f>
        <v>Menos de 100 USD</v>
      </c>
      <c r="H245" s="14" t="n">
        <f aca="false">IF(C245="","",MIN(D245,C245))</f>
        <v>1250.5647</v>
      </c>
    </row>
    <row r="246" customFormat="false" ht="15" hidden="false" customHeight="true" outlineLevel="0" collapsed="false">
      <c r="A246" s="12" t="s">
        <v>791</v>
      </c>
      <c r="B246" s="14" t="n">
        <v>18.885</v>
      </c>
      <c r="C246" s="14" t="n">
        <f aca="false">IF('MRR Conglomerado'!AH246&gt;0,'MRR Conglomerado'!AH246,"")</f>
        <v>2938.8837</v>
      </c>
      <c r="D246" s="14" t="n">
        <f aca="false">IF(C246="","",'MRR Conglomerado'!AT246)</f>
        <v>2723.24896</v>
      </c>
      <c r="E246" s="15" t="n">
        <f aca="false">IF(C246="","",D246/C246)</f>
        <v>0.926626991057863</v>
      </c>
      <c r="F246" s="14" t="n">
        <f aca="false">IF(C246="","",C246/B246)</f>
        <v>155.62</v>
      </c>
      <c r="G246" s="12" t="str">
        <f aca="false">IF(F246="","",IF(F246&lt;100,"Menos de 100 USD",IF(F246&lt;500,"100 a 500 USD",IF(F246&lt;2000,"500 a 2.000 USD","Más de 2.000 USD"))))</f>
        <v>100 a 500 USD</v>
      </c>
      <c r="H246" s="14" t="n">
        <f aca="false">IF(C246="","",MIN(D246,C246))</f>
        <v>2723.24896</v>
      </c>
    </row>
    <row r="247" customFormat="false" ht="15" hidden="false" customHeight="true" outlineLevel="0" collapsed="false">
      <c r="A247" s="12" t="s">
        <v>794</v>
      </c>
      <c r="B247" s="14" t="n">
        <v>18.885</v>
      </c>
      <c r="C247" s="14" t="n">
        <f aca="false">IF('MRR Conglomerado'!AH247&gt;0,'MRR Conglomerado'!AH247,"")</f>
        <v>9200.0166</v>
      </c>
      <c r="D247" s="14" t="n">
        <f aca="false">IF(C247="","",'MRR Conglomerado'!AT247)</f>
        <v>12505.943296</v>
      </c>
      <c r="E247" s="15" t="n">
        <f aca="false">IF(C247="","",D247/C247)</f>
        <v>1.35933920988795</v>
      </c>
      <c r="F247" s="14" t="n">
        <f aca="false">IF(C247="","",C247/B247)</f>
        <v>487.16</v>
      </c>
      <c r="G247" s="12" t="str">
        <f aca="false">IF(F247="","",IF(F247&lt;100,"Menos de 100 USD",IF(F247&lt;500,"100 a 500 USD",IF(F247&lt;2000,"500 a 2.000 USD","Más de 2.000 USD"))))</f>
        <v>100 a 500 USD</v>
      </c>
      <c r="H247" s="14" t="n">
        <f aca="false">IF(C247="","",MIN(D247,C247))</f>
        <v>9200.0166</v>
      </c>
    </row>
    <row r="248" customFormat="false" ht="15" hidden="false" customHeight="true" outlineLevel="0" collapsed="false">
      <c r="A248" s="12" t="s">
        <v>797</v>
      </c>
      <c r="B248" s="14" t="n">
        <v>18.885</v>
      </c>
      <c r="C248" s="14" t="n">
        <f aca="false">IF('MRR Conglomerado'!AH248&gt;0,'MRR Conglomerado'!AH248,"")</f>
        <v>2320.02225</v>
      </c>
      <c r="D248" s="14" t="n">
        <f aca="false">IF(C248="","",'MRR Conglomerado'!AT248)</f>
        <v>2509.554424</v>
      </c>
      <c r="E248" s="15" t="n">
        <f aca="false">IF(C248="","",D248/C248)</f>
        <v>1.08169411909735</v>
      </c>
      <c r="F248" s="14" t="n">
        <f aca="false">IF(C248="","",C248/B248)</f>
        <v>122.85</v>
      </c>
      <c r="G248" s="12" t="str">
        <f aca="false">IF(F248="","",IF(F248&lt;100,"Menos de 100 USD",IF(F248&lt;500,"100 a 500 USD",IF(F248&lt;2000,"500 a 2.000 USD","Más de 2.000 USD"))))</f>
        <v>100 a 500 USD</v>
      </c>
      <c r="H248" s="14" t="n">
        <f aca="false">IF(C248="","",MIN(D248,C248))</f>
        <v>2320.02225</v>
      </c>
    </row>
    <row r="249" customFormat="false" ht="15" hidden="false" customHeight="true" outlineLevel="0" collapsed="false">
      <c r="A249" s="12" t="s">
        <v>800</v>
      </c>
      <c r="B249" s="14" t="n">
        <v>18.885</v>
      </c>
      <c r="C249" s="14" t="n">
        <f aca="false">IF('MRR Conglomerado'!AH249&gt;0,'MRR Conglomerado'!AH249,"")</f>
        <v>22739.99505</v>
      </c>
      <c r="D249" s="14" t="n">
        <f aca="false">IF(C249="","",'MRR Conglomerado'!AT249)</f>
        <v>21009.970736</v>
      </c>
      <c r="E249" s="15" t="n">
        <f aca="false">IF(C249="","",D249/C249)</f>
        <v>0.92392151756427</v>
      </c>
      <c r="F249" s="14" t="n">
        <f aca="false">IF(C249="","",C249/B249)</f>
        <v>1204.13</v>
      </c>
      <c r="G249" s="12" t="str">
        <f aca="false">IF(F249="","",IF(F249&lt;100,"Menos de 100 USD",IF(F249&lt;500,"100 a 500 USD",IF(F249&lt;2000,"500 a 2.000 USD","Más de 2.000 USD"))))</f>
        <v>500 a 2.000 USD</v>
      </c>
      <c r="H249" s="14" t="n">
        <f aca="false">IF(C249="","",MIN(D249,C249))</f>
        <v>21009.970736</v>
      </c>
    </row>
    <row r="250" customFormat="false" ht="15" hidden="false" customHeight="true" outlineLevel="0" collapsed="false">
      <c r="A250" s="12" t="s">
        <v>803</v>
      </c>
      <c r="B250" s="14" t="n">
        <v>18.885</v>
      </c>
      <c r="C250" s="14" t="n">
        <f aca="false">IF('MRR Conglomerado'!AH250&gt;0,'MRR Conglomerado'!AH250,"")</f>
        <v>4192.47</v>
      </c>
      <c r="D250" s="14" t="n">
        <f aca="false">IF(C250="","",'MRR Conglomerado'!AT250)</f>
        <v>0</v>
      </c>
      <c r="E250" s="15" t="n">
        <f aca="false">IF(C250="","",D250/C250)</f>
        <v>0</v>
      </c>
      <c r="F250" s="14" t="n">
        <f aca="false">IF(C250="","",C250/B250)</f>
        <v>222</v>
      </c>
      <c r="G250" s="12" t="str">
        <f aca="false">IF(F250="","",IF(F250&lt;100,"Menos de 100 USD",IF(F250&lt;500,"100 a 500 USD",IF(F250&lt;2000,"500 a 2.000 USD","Más de 2.000 USD"))))</f>
        <v>100 a 500 USD</v>
      </c>
      <c r="H250" s="14" t="n">
        <f aca="false">IF(C250="","",MIN(D250,C250))</f>
        <v>0</v>
      </c>
    </row>
    <row r="251" customFormat="false" ht="15" hidden="false" customHeight="true" outlineLevel="0" collapsed="false">
      <c r="A251" s="12" t="s">
        <v>806</v>
      </c>
      <c r="B251" s="14" t="n">
        <v>18.885</v>
      </c>
      <c r="C251" s="14" t="str">
        <f aca="false">IF('MRR Conglomerado'!AH251&gt;0,'MRR Conglomerado'!AH251,"")</f>
        <v/>
      </c>
      <c r="D251" s="14" t="str">
        <f aca="false">IF(C251="","",'MRR Conglomerado'!AT251)</f>
        <v/>
      </c>
      <c r="E251" s="15" t="str">
        <f aca="false">IF(C251="","",D251/C251)</f>
        <v/>
      </c>
      <c r="F251" s="14" t="str">
        <f aca="false">IF(C251="","",C251/B251)</f>
        <v/>
      </c>
      <c r="G251" s="12" t="str">
        <f aca="false">IF(F251="","",IF(F251&lt;100,"Menos de 100 USD",IF(F251&lt;500,"100 a 500 USD",IF(F251&lt;2000,"500 a 2.000 USD","Más de 2.000 USD"))))</f>
        <v/>
      </c>
      <c r="H251" s="14" t="str">
        <f aca="false">IF(C251="","",MIN(D251,C251))</f>
        <v/>
      </c>
    </row>
    <row r="252" customFormat="false" ht="15" hidden="false" customHeight="true" outlineLevel="0" collapsed="false">
      <c r="A252" s="12" t="s">
        <v>809</v>
      </c>
      <c r="B252" s="14" t="n">
        <v>18.885</v>
      </c>
      <c r="C252" s="14" t="str">
        <f aca="false">IF('MRR Conglomerado'!AH252&gt;0,'MRR Conglomerado'!AH252,"")</f>
        <v/>
      </c>
      <c r="D252" s="14" t="str">
        <f aca="false">IF(C252="","",'MRR Conglomerado'!AT252)</f>
        <v/>
      </c>
      <c r="E252" s="15" t="str">
        <f aca="false">IF(C252="","",D252/C252)</f>
        <v/>
      </c>
      <c r="F252" s="14" t="str">
        <f aca="false">IF(C252="","",C252/B252)</f>
        <v/>
      </c>
      <c r="G252" s="12" t="str">
        <f aca="false">IF(F252="","",IF(F252&lt;100,"Menos de 100 USD",IF(F252&lt;500,"100 a 500 USD",IF(F252&lt;2000,"500 a 2.000 USD","Más de 2.000 USD"))))</f>
        <v/>
      </c>
      <c r="H252" s="14" t="str">
        <f aca="false">IF(C252="","",MIN(D252,C252))</f>
        <v/>
      </c>
    </row>
    <row r="253" customFormat="false" ht="15" hidden="false" customHeight="true" outlineLevel="0" collapsed="false">
      <c r="A253" s="12" t="s">
        <v>812</v>
      </c>
      <c r="B253" s="14" t="n">
        <v>18.885</v>
      </c>
      <c r="C253" s="14" t="str">
        <f aca="false">IF('MRR Conglomerado'!AH253&gt;0,'MRR Conglomerado'!AH253,"")</f>
        <v/>
      </c>
      <c r="D253" s="14" t="str">
        <f aca="false">IF(C253="","",'MRR Conglomerado'!AT253)</f>
        <v/>
      </c>
      <c r="E253" s="15" t="str">
        <f aca="false">IF(C253="","",D253/C253)</f>
        <v/>
      </c>
      <c r="F253" s="14" t="str">
        <f aca="false">IF(C253="","",C253/B253)</f>
        <v/>
      </c>
      <c r="G253" s="12" t="str">
        <f aca="false">IF(F253="","",IF(F253&lt;100,"Menos de 100 USD",IF(F253&lt;500,"100 a 500 USD",IF(F253&lt;2000,"500 a 2.000 USD","Más de 2.000 USD"))))</f>
        <v/>
      </c>
      <c r="H253" s="14" t="str">
        <f aca="false">IF(C253="","",MIN(D253,C253))</f>
        <v/>
      </c>
    </row>
    <row r="254" customFormat="false" ht="15" hidden="false" customHeight="true" outlineLevel="0" collapsed="false">
      <c r="A254" s="12" t="s">
        <v>815</v>
      </c>
      <c r="B254" s="14" t="n">
        <v>18.885</v>
      </c>
      <c r="C254" s="14" t="n">
        <f aca="false">IF('MRR Conglomerado'!AH254&gt;0,'MRR Conglomerado'!AH254,"")</f>
        <v>2384.98665</v>
      </c>
      <c r="D254" s="14" t="n">
        <f aca="false">IF(C254="","",'MRR Conglomerado'!AT254)</f>
        <v>2799.555936</v>
      </c>
      <c r="E254" s="15" t="n">
        <f aca="false">IF(C254="","",D254/C254)</f>
        <v>1.17382457298031</v>
      </c>
      <c r="F254" s="14" t="n">
        <f aca="false">IF(C254="","",C254/B254)</f>
        <v>126.29</v>
      </c>
      <c r="G254" s="12" t="str">
        <f aca="false">IF(F254="","",IF(F254&lt;100,"Menos de 100 USD",IF(F254&lt;500,"100 a 500 USD",IF(F254&lt;2000,"500 a 2.000 USD","Más de 2.000 USD"))))</f>
        <v>100 a 500 USD</v>
      </c>
      <c r="H254" s="14" t="n">
        <f aca="false">IF(C254="","",MIN(D254,C254))</f>
        <v>2384.98665</v>
      </c>
    </row>
    <row r="255" customFormat="false" ht="15" hidden="false" customHeight="true" outlineLevel="0" collapsed="false">
      <c r="A255" s="12" t="s">
        <v>818</v>
      </c>
      <c r="B255" s="14" t="n">
        <v>18.885</v>
      </c>
      <c r="C255" s="14" t="str">
        <f aca="false">IF('MRR Conglomerado'!AH255&gt;0,'MRR Conglomerado'!AH255,"")</f>
        <v/>
      </c>
      <c r="D255" s="14" t="str">
        <f aca="false">IF(C255="","",'MRR Conglomerado'!AT255)</f>
        <v/>
      </c>
      <c r="E255" s="15" t="str">
        <f aca="false">IF(C255="","",D255/C255)</f>
        <v/>
      </c>
      <c r="F255" s="14" t="str">
        <f aca="false">IF(C255="","",C255/B255)</f>
        <v/>
      </c>
      <c r="G255" s="12" t="str">
        <f aca="false">IF(F255="","",IF(F255&lt;100,"Menos de 100 USD",IF(F255&lt;500,"100 a 500 USD",IF(F255&lt;2000,"500 a 2.000 USD","Más de 2.000 USD"))))</f>
        <v/>
      </c>
      <c r="H255" s="14" t="str">
        <f aca="false">IF(C255="","",MIN(D255,C255))</f>
        <v/>
      </c>
    </row>
    <row r="256" customFormat="false" ht="15" hidden="false" customHeight="true" outlineLevel="0" collapsed="false">
      <c r="A256" s="12" t="s">
        <v>821</v>
      </c>
      <c r="B256" s="14" t="n">
        <v>18.885</v>
      </c>
      <c r="C256" s="14" t="str">
        <f aca="false">IF('MRR Conglomerado'!AH256&gt;0,'MRR Conglomerado'!AH256,"")</f>
        <v/>
      </c>
      <c r="D256" s="14" t="str">
        <f aca="false">IF(C256="","",'MRR Conglomerado'!AT256)</f>
        <v/>
      </c>
      <c r="E256" s="15" t="str">
        <f aca="false">IF(C256="","",D256/C256)</f>
        <v/>
      </c>
      <c r="F256" s="14" t="str">
        <f aca="false">IF(C256="","",C256/B256)</f>
        <v/>
      </c>
      <c r="G256" s="12" t="str">
        <f aca="false">IF(F256="","",IF(F256&lt;100,"Menos de 100 USD",IF(F256&lt;500,"100 a 500 USD",IF(F256&lt;2000,"500 a 2.000 USD","Más de 2.000 USD"))))</f>
        <v/>
      </c>
      <c r="H256" s="14" t="str">
        <f aca="false">IF(C256="","",MIN(D256,C256))</f>
        <v/>
      </c>
    </row>
    <row r="257" customFormat="false" ht="15" hidden="false" customHeight="true" outlineLevel="0" collapsed="false">
      <c r="A257" s="12" t="s">
        <v>824</v>
      </c>
      <c r="B257" s="14" t="n">
        <v>18.885</v>
      </c>
      <c r="C257" s="14" t="str">
        <f aca="false">IF('MRR Conglomerado'!AH257&gt;0,'MRR Conglomerado'!AH257,"")</f>
        <v/>
      </c>
      <c r="D257" s="14" t="str">
        <f aca="false">IF(C257="","",'MRR Conglomerado'!AT257)</f>
        <v/>
      </c>
      <c r="E257" s="15" t="str">
        <f aca="false">IF(C257="","",D257/C257)</f>
        <v/>
      </c>
      <c r="F257" s="14" t="str">
        <f aca="false">IF(C257="","",C257/B257)</f>
        <v/>
      </c>
      <c r="G257" s="12" t="str">
        <f aca="false">IF(F257="","",IF(F257&lt;100,"Menos de 100 USD",IF(F257&lt;500,"100 a 500 USD",IF(F257&lt;2000,"500 a 2.000 USD","Más de 2.000 USD"))))</f>
        <v/>
      </c>
      <c r="H257" s="14" t="str">
        <f aca="false">IF(C257="","",MIN(D257,C257))</f>
        <v/>
      </c>
    </row>
    <row r="258" customFormat="false" ht="15" hidden="false" customHeight="true" outlineLevel="0" collapsed="false">
      <c r="A258" s="12" t="s">
        <v>827</v>
      </c>
      <c r="B258" s="14" t="n">
        <v>18.885</v>
      </c>
      <c r="C258" s="14" t="str">
        <f aca="false">IF('MRR Conglomerado'!AH258&gt;0,'MRR Conglomerado'!AH258,"")</f>
        <v/>
      </c>
      <c r="D258" s="14" t="str">
        <f aca="false">IF(C258="","",'MRR Conglomerado'!AT258)</f>
        <v/>
      </c>
      <c r="E258" s="15" t="str">
        <f aca="false">IF(C258="","",D258/C258)</f>
        <v/>
      </c>
      <c r="F258" s="14" t="str">
        <f aca="false">IF(C258="","",C258/B258)</f>
        <v/>
      </c>
      <c r="G258" s="12" t="str">
        <f aca="false">IF(F258="","",IF(F258&lt;100,"Menos de 100 USD",IF(F258&lt;500,"100 a 500 USD",IF(F258&lt;2000,"500 a 2.000 USD","Más de 2.000 USD"))))</f>
        <v/>
      </c>
      <c r="H258" s="14" t="str">
        <f aca="false">IF(C258="","",MIN(D258,C258))</f>
        <v/>
      </c>
    </row>
    <row r="259" customFormat="false" ht="15" hidden="false" customHeight="true" outlineLevel="0" collapsed="false">
      <c r="A259" s="12" t="s">
        <v>830</v>
      </c>
      <c r="B259" s="14" t="n">
        <v>18.885</v>
      </c>
      <c r="C259" s="14" t="n">
        <f aca="false">IF('MRR Conglomerado'!AH259&gt;0,'MRR Conglomerado'!AH259,"")</f>
        <v>3780.0216</v>
      </c>
      <c r="D259" s="14" t="n">
        <f aca="false">IF(C259="","",'MRR Conglomerado'!AT259)</f>
        <v>3670.435552</v>
      </c>
      <c r="E259" s="15" t="n">
        <f aca="false">IF(C259="","",D259/C259)</f>
        <v>0.971009147672595</v>
      </c>
      <c r="F259" s="14" t="n">
        <f aca="false">IF(C259="","",C259/B259)</f>
        <v>200.16</v>
      </c>
      <c r="G259" s="12" t="str">
        <f aca="false">IF(F259="","",IF(F259&lt;100,"Menos de 100 USD",IF(F259&lt;500,"100 a 500 USD",IF(F259&lt;2000,"500 a 2.000 USD","Más de 2.000 USD"))))</f>
        <v>100 a 500 USD</v>
      </c>
      <c r="H259" s="14" t="n">
        <f aca="false">IF(C259="","",MIN(D259,C259))</f>
        <v>3670.435552</v>
      </c>
    </row>
    <row r="260" customFormat="false" ht="15" hidden="false" customHeight="true" outlineLevel="0" collapsed="false">
      <c r="A260" s="12" t="s">
        <v>833</v>
      </c>
      <c r="B260" s="14" t="n">
        <v>18.885</v>
      </c>
      <c r="C260" s="14" t="n">
        <f aca="false">IF('MRR Conglomerado'!AH260&gt;0,'MRR Conglomerado'!AH260,"")</f>
        <v>1260.0072</v>
      </c>
      <c r="D260" s="14" t="n">
        <f aca="false">IF(C260="","",'MRR Conglomerado'!AT260)</f>
        <v>6510.070152</v>
      </c>
      <c r="E260" s="15" t="n">
        <f aca="false">IF(C260="","",D260/C260)</f>
        <v>5.16669281889818</v>
      </c>
      <c r="F260" s="14" t="n">
        <f aca="false">IF(C260="","",C260/B260)</f>
        <v>66.72</v>
      </c>
      <c r="G260" s="12" t="str">
        <f aca="false">IF(F260="","",IF(F260&lt;100,"Menos de 100 USD",IF(F260&lt;500,"100 a 500 USD",IF(F260&lt;2000,"500 a 2.000 USD","Más de 2.000 USD"))))</f>
        <v>Menos de 100 USD</v>
      </c>
      <c r="H260" s="14" t="n">
        <f aca="false">IF(C260="","",MIN(D260,C260))</f>
        <v>1260.0072</v>
      </c>
    </row>
    <row r="261" customFormat="false" ht="15" hidden="false" customHeight="true" outlineLevel="0" collapsed="false">
      <c r="A261" s="12" t="s">
        <v>836</v>
      </c>
      <c r="B261" s="14" t="n">
        <v>18.885</v>
      </c>
      <c r="C261" s="14" t="n">
        <f aca="false">IF('MRR Conglomerado'!AH261&gt;0,'MRR Conglomerado'!AH261,"")</f>
        <v>33660.05745</v>
      </c>
      <c r="D261" s="14" t="n">
        <f aca="false">IF(C261="","",'MRR Conglomerado'!AT261)</f>
        <v>34054.963312</v>
      </c>
      <c r="E261" s="15" t="n">
        <f aca="false">IF(C261="","",D261/C261)</f>
        <v>1.01173218027291</v>
      </c>
      <c r="F261" s="14" t="n">
        <f aca="false">IF(C261="","",C261/B261)</f>
        <v>1782.37</v>
      </c>
      <c r="G261" s="12" t="str">
        <f aca="false">IF(F261="","",IF(F261&lt;100,"Menos de 100 USD",IF(F261&lt;500,"100 a 500 USD",IF(F261&lt;2000,"500 a 2.000 USD","Más de 2.000 USD"))))</f>
        <v>500 a 2.000 USD</v>
      </c>
      <c r="H261" s="14" t="n">
        <f aca="false">IF(C261="","",MIN(D261,C261))</f>
        <v>33660.05745</v>
      </c>
    </row>
    <row r="262" customFormat="false" ht="15" hidden="false" customHeight="true" outlineLevel="0" collapsed="false">
      <c r="A262" s="12" t="s">
        <v>839</v>
      </c>
      <c r="B262" s="14" t="n">
        <v>18.885</v>
      </c>
      <c r="C262" s="14" t="n">
        <f aca="false">IF('MRR Conglomerado'!AH262&gt;0,'MRR Conglomerado'!AH262,"")</f>
        <v>4200.024</v>
      </c>
      <c r="D262" s="14" t="n">
        <f aca="false">IF(C262="","",'MRR Conglomerado'!AT262)</f>
        <v>0</v>
      </c>
      <c r="E262" s="15" t="n">
        <f aca="false">IF(C262="","",D262/C262)</f>
        <v>0</v>
      </c>
      <c r="F262" s="14" t="n">
        <f aca="false">IF(C262="","",C262/B262)</f>
        <v>222.4</v>
      </c>
      <c r="G262" s="12" t="str">
        <f aca="false">IF(F262="","",IF(F262&lt;100,"Menos de 100 USD",IF(F262&lt;500,"100 a 500 USD",IF(F262&lt;2000,"500 a 2.000 USD","Más de 2.000 USD"))))</f>
        <v>100 a 500 USD</v>
      </c>
      <c r="H262" s="14" t="n">
        <f aca="false">IF(C262="","",MIN(D262,C262))</f>
        <v>0</v>
      </c>
    </row>
    <row r="263" customFormat="false" ht="15" hidden="false" customHeight="true" outlineLevel="0" collapsed="false">
      <c r="A263" s="12" t="s">
        <v>842</v>
      </c>
      <c r="B263" s="14" t="n">
        <v>18.885</v>
      </c>
      <c r="C263" s="14" t="str">
        <f aca="false">IF('MRR Conglomerado'!AH263&gt;0,'MRR Conglomerado'!AH263,"")</f>
        <v/>
      </c>
      <c r="D263" s="14" t="str">
        <f aca="false">IF(C263="","",'MRR Conglomerado'!AT263)</f>
        <v/>
      </c>
      <c r="E263" s="15" t="str">
        <f aca="false">IF(C263="","",D263/C263)</f>
        <v/>
      </c>
      <c r="F263" s="14" t="str">
        <f aca="false">IF(C263="","",C263/B263)</f>
        <v/>
      </c>
      <c r="G263" s="12" t="str">
        <f aca="false">IF(F263="","",IF(F263&lt;100,"Menos de 100 USD",IF(F263&lt;500,"100 a 500 USD",IF(F263&lt;2000,"500 a 2.000 USD","Más de 2.000 USD"))))</f>
        <v/>
      </c>
      <c r="H263" s="14" t="str">
        <f aca="false">IF(C263="","",MIN(D263,C263))</f>
        <v/>
      </c>
    </row>
    <row r="264" customFormat="false" ht="15" hidden="false" customHeight="true" outlineLevel="0" collapsed="false">
      <c r="A264" s="12" t="s">
        <v>845</v>
      </c>
      <c r="B264" s="14" t="n">
        <v>18.885</v>
      </c>
      <c r="C264" s="14" t="n">
        <f aca="false">IF('MRR Conglomerado'!AH264&gt;0,'MRR Conglomerado'!AH264,"")</f>
        <v>2844.081</v>
      </c>
      <c r="D264" s="14" t="n">
        <f aca="false">IF(C264="","",'MRR Conglomerado'!AT264)</f>
        <v>0</v>
      </c>
      <c r="E264" s="15" t="n">
        <f aca="false">IF(C264="","",D264/C264)</f>
        <v>0</v>
      </c>
      <c r="F264" s="14" t="n">
        <f aca="false">IF(C264="","",C264/B264)</f>
        <v>150.6</v>
      </c>
      <c r="G264" s="12" t="str">
        <f aca="false">IF(F264="","",IF(F264&lt;100,"Menos de 100 USD",IF(F264&lt;500,"100 a 500 USD",IF(F264&lt;2000,"500 a 2.000 USD","Más de 2.000 USD"))))</f>
        <v>100 a 500 USD</v>
      </c>
      <c r="H264" s="14" t="n">
        <f aca="false">IF(C264="","",MIN(D264,C264))</f>
        <v>0</v>
      </c>
    </row>
    <row r="265" customFormat="false" ht="15" hidden="false" customHeight="true" outlineLevel="0" collapsed="false">
      <c r="A265" s="12" t="s">
        <v>848</v>
      </c>
      <c r="B265" s="14" t="n">
        <v>18.885</v>
      </c>
      <c r="C265" s="14" t="str">
        <f aca="false">IF('MRR Conglomerado'!AH265&gt;0,'MRR Conglomerado'!AH265,"")</f>
        <v/>
      </c>
      <c r="D265" s="14" t="str">
        <f aca="false">IF(C265="","",'MRR Conglomerado'!AT265)</f>
        <v/>
      </c>
      <c r="E265" s="15" t="str">
        <f aca="false">IF(C265="","",D265/C265)</f>
        <v/>
      </c>
      <c r="F265" s="14" t="str">
        <f aca="false">IF(C265="","",C265/B265)</f>
        <v/>
      </c>
      <c r="G265" s="12" t="str">
        <f aca="false">IF(F265="","",IF(F265&lt;100,"Menos de 100 USD",IF(F265&lt;500,"100 a 500 USD",IF(F265&lt;2000,"500 a 2.000 USD","Más de 2.000 USD"))))</f>
        <v/>
      </c>
      <c r="H265" s="14" t="str">
        <f aca="false">IF(C265="","",MIN(D265,C265))</f>
        <v/>
      </c>
    </row>
    <row r="266" customFormat="false" ht="15" hidden="false" customHeight="true" outlineLevel="0" collapsed="false">
      <c r="A266" s="12" t="s">
        <v>851</v>
      </c>
      <c r="B266" s="14" t="n">
        <v>18.885</v>
      </c>
      <c r="C266" s="14" t="str">
        <f aca="false">IF('MRR Conglomerado'!AH266&gt;0,'MRR Conglomerado'!AH266,"")</f>
        <v/>
      </c>
      <c r="D266" s="14" t="str">
        <f aca="false">IF(C266="","",'MRR Conglomerado'!AT266)</f>
        <v/>
      </c>
      <c r="E266" s="15" t="str">
        <f aca="false">IF(C266="","",D266/C266)</f>
        <v/>
      </c>
      <c r="F266" s="14" t="str">
        <f aca="false">IF(C266="","",C266/B266)</f>
        <v/>
      </c>
      <c r="G266" s="12" t="str">
        <f aca="false">IF(F266="","",IF(F266&lt;100,"Menos de 100 USD",IF(F266&lt;500,"100 a 500 USD",IF(F266&lt;2000,"500 a 2.000 USD","Más de 2.000 USD"))))</f>
        <v/>
      </c>
      <c r="H266" s="14" t="str">
        <f aca="false">IF(C266="","",MIN(D266,C266))</f>
        <v/>
      </c>
    </row>
    <row r="267" customFormat="false" ht="15" hidden="false" customHeight="true" outlineLevel="0" collapsed="false">
      <c r="A267" s="12" t="s">
        <v>854</v>
      </c>
      <c r="B267" s="14" t="n">
        <v>18.885</v>
      </c>
      <c r="C267" s="14" t="str">
        <f aca="false">IF('MRR Conglomerado'!AH267&gt;0,'MRR Conglomerado'!AH267,"")</f>
        <v/>
      </c>
      <c r="D267" s="14" t="str">
        <f aca="false">IF(C267="","",'MRR Conglomerado'!AT267)</f>
        <v/>
      </c>
      <c r="E267" s="15" t="str">
        <f aca="false">IF(C267="","",D267/C267)</f>
        <v/>
      </c>
      <c r="F267" s="14" t="str">
        <f aca="false">IF(C267="","",C267/B267)</f>
        <v/>
      </c>
      <c r="G267" s="12" t="str">
        <f aca="false">IF(F267="","",IF(F267&lt;100,"Menos de 100 USD",IF(F267&lt;500,"100 a 500 USD",IF(F267&lt;2000,"500 a 2.000 USD","Más de 2.000 USD"))))</f>
        <v/>
      </c>
      <c r="H267" s="14" t="str">
        <f aca="false">IF(C267="","",MIN(D267,C267))</f>
        <v/>
      </c>
    </row>
    <row r="268" customFormat="false" ht="15" hidden="false" customHeight="true" outlineLevel="0" collapsed="false">
      <c r="A268" s="12" t="s">
        <v>857</v>
      </c>
      <c r="B268" s="14" t="n">
        <v>18.885</v>
      </c>
      <c r="C268" s="14" t="str">
        <f aca="false">IF('MRR Conglomerado'!AH268&gt;0,'MRR Conglomerado'!AH268,"")</f>
        <v/>
      </c>
      <c r="D268" s="14" t="str">
        <f aca="false">IF(C268="","",'MRR Conglomerado'!AT268)</f>
        <v/>
      </c>
      <c r="E268" s="15" t="str">
        <f aca="false">IF(C268="","",D268/C268)</f>
        <v/>
      </c>
      <c r="F268" s="14" t="str">
        <f aca="false">IF(C268="","",C268/B268)</f>
        <v/>
      </c>
      <c r="G268" s="12" t="str">
        <f aca="false">IF(F268="","",IF(F268&lt;100,"Menos de 100 USD",IF(F268&lt;500,"100 a 500 USD",IF(F268&lt;2000,"500 a 2.000 USD","Más de 2.000 USD"))))</f>
        <v/>
      </c>
      <c r="H268" s="14" t="str">
        <f aca="false">IF(C268="","",MIN(D268,C268))</f>
        <v/>
      </c>
    </row>
    <row r="269" customFormat="false" ht="15" hidden="false" customHeight="true" outlineLevel="0" collapsed="false">
      <c r="A269" s="12" t="s">
        <v>860</v>
      </c>
      <c r="B269" s="14" t="n">
        <v>18.885</v>
      </c>
      <c r="C269" s="14" t="str">
        <f aca="false">IF('MRR Conglomerado'!AH269&gt;0,'MRR Conglomerado'!AH269,"")</f>
        <v/>
      </c>
      <c r="D269" s="14" t="str">
        <f aca="false">IF(C269="","",'MRR Conglomerado'!AT269)</f>
        <v/>
      </c>
      <c r="E269" s="15" t="str">
        <f aca="false">IF(C269="","",D269/C269)</f>
        <v/>
      </c>
      <c r="F269" s="14" t="str">
        <f aca="false">IF(C269="","",C269/B269)</f>
        <v/>
      </c>
      <c r="G269" s="12" t="str">
        <f aca="false">IF(F269="","",IF(F269&lt;100,"Menos de 100 USD",IF(F269&lt;500,"100 a 500 USD",IF(F269&lt;2000,"500 a 2.000 USD","Más de 2.000 USD"))))</f>
        <v/>
      </c>
      <c r="H269" s="14" t="str">
        <f aca="false">IF(C269="","",MIN(D269,C269))</f>
        <v/>
      </c>
    </row>
    <row r="270" customFormat="false" ht="15" hidden="false" customHeight="true" outlineLevel="0" collapsed="false">
      <c r="A270" s="12" t="s">
        <v>863</v>
      </c>
      <c r="B270" s="14" t="n">
        <v>18.885</v>
      </c>
      <c r="C270" s="14" t="str">
        <f aca="false">IF('MRR Conglomerado'!AH270&gt;0,'MRR Conglomerado'!AH270,"")</f>
        <v/>
      </c>
      <c r="D270" s="14" t="str">
        <f aca="false">IF(C270="","",'MRR Conglomerado'!AT270)</f>
        <v/>
      </c>
      <c r="E270" s="15" t="str">
        <f aca="false">IF(C270="","",D270/C270)</f>
        <v/>
      </c>
      <c r="F270" s="14" t="str">
        <f aca="false">IF(C270="","",C270/B270)</f>
        <v/>
      </c>
      <c r="G270" s="12" t="str">
        <f aca="false">IF(F270="","",IF(F270&lt;100,"Menos de 100 USD",IF(F270&lt;500,"100 a 500 USD",IF(F270&lt;2000,"500 a 2.000 USD","Más de 2.000 USD"))))</f>
        <v/>
      </c>
      <c r="H270" s="14" t="str">
        <f aca="false">IF(C270="","",MIN(D270,C270))</f>
        <v/>
      </c>
    </row>
    <row r="271" customFormat="false" ht="15" hidden="false" customHeight="true" outlineLevel="0" collapsed="false">
      <c r="A271" s="12" t="s">
        <v>866</v>
      </c>
      <c r="B271" s="14" t="n">
        <v>18.885</v>
      </c>
      <c r="C271" s="14" t="str">
        <f aca="false">IF('MRR Conglomerado'!AH271&gt;0,'MRR Conglomerado'!AH271,"")</f>
        <v/>
      </c>
      <c r="D271" s="14" t="str">
        <f aca="false">IF(C271="","",'MRR Conglomerado'!AT271)</f>
        <v/>
      </c>
      <c r="E271" s="15" t="str">
        <f aca="false">IF(C271="","",D271/C271)</f>
        <v/>
      </c>
      <c r="F271" s="14" t="str">
        <f aca="false">IF(C271="","",C271/B271)</f>
        <v/>
      </c>
      <c r="G271" s="12" t="str">
        <f aca="false">IF(F271="","",IF(F271&lt;100,"Menos de 100 USD",IF(F271&lt;500,"100 a 500 USD",IF(F271&lt;2000,"500 a 2.000 USD","Más de 2.000 USD"))))</f>
        <v/>
      </c>
      <c r="H271" s="14" t="str">
        <f aca="false">IF(C271="","",MIN(D271,C271))</f>
        <v/>
      </c>
    </row>
    <row r="272" customFormat="false" ht="15" hidden="false" customHeight="true" outlineLevel="0" collapsed="false">
      <c r="A272" s="12" t="s">
        <v>869</v>
      </c>
      <c r="B272" s="14" t="n">
        <v>18.885</v>
      </c>
      <c r="C272" s="14" t="n">
        <f aca="false">IF('MRR Conglomerado'!AH272&gt;0,'MRR Conglomerado'!AH272,"")</f>
        <v>900.0591</v>
      </c>
      <c r="D272" s="14" t="n">
        <f aca="false">IF(C272="","",'MRR Conglomerado'!AT272)</f>
        <v>964.33816</v>
      </c>
      <c r="E272" s="15" t="n">
        <f aca="false">IF(C272="","",D272/C272)</f>
        <v>1.07141648809506</v>
      </c>
      <c r="F272" s="14" t="n">
        <f aca="false">IF(C272="","",C272/B272)</f>
        <v>47.66</v>
      </c>
      <c r="G272" s="12" t="str">
        <f aca="false">IF(F272="","",IF(F272&lt;100,"Menos de 100 USD",IF(F272&lt;500,"100 a 500 USD",IF(F272&lt;2000,"500 a 2.000 USD","Más de 2.000 USD"))))</f>
        <v>Menos de 100 USD</v>
      </c>
      <c r="H272" s="14" t="n">
        <f aca="false">IF(C272="","",MIN(D272,C272))</f>
        <v>900.0591</v>
      </c>
    </row>
    <row r="273" customFormat="false" ht="15" hidden="false" customHeight="true" outlineLevel="0" collapsed="false">
      <c r="A273" s="12" t="s">
        <v>872</v>
      </c>
      <c r="B273" s="14" t="n">
        <v>18.885</v>
      </c>
      <c r="C273" s="14" t="str">
        <f aca="false">IF('MRR Conglomerado'!AH273&gt;0,'MRR Conglomerado'!AH273,"")</f>
        <v/>
      </c>
      <c r="D273" s="14" t="str">
        <f aca="false">IF(C273="","",'MRR Conglomerado'!AT273)</f>
        <v/>
      </c>
      <c r="E273" s="15" t="str">
        <f aca="false">IF(C273="","",D273/C273)</f>
        <v/>
      </c>
      <c r="F273" s="14" t="str">
        <f aca="false">IF(C273="","",C273/B273)</f>
        <v/>
      </c>
      <c r="G273" s="12" t="str">
        <f aca="false">IF(F273="","",IF(F273&lt;100,"Menos de 100 USD",IF(F273&lt;500,"100 a 500 USD",IF(F273&lt;2000,"500 a 2.000 USD","Más de 2.000 USD"))))</f>
        <v/>
      </c>
      <c r="H273" s="14" t="str">
        <f aca="false">IF(C273="","",MIN(D273,C273))</f>
        <v/>
      </c>
    </row>
    <row r="274" customFormat="false" ht="15" hidden="false" customHeight="true" outlineLevel="0" collapsed="false">
      <c r="A274" s="12" t="s">
        <v>875</v>
      </c>
      <c r="B274" s="14" t="n">
        <v>18.885</v>
      </c>
      <c r="C274" s="14" t="str">
        <f aca="false">IF('MRR Conglomerado'!AH274&gt;0,'MRR Conglomerado'!AH274,"")</f>
        <v/>
      </c>
      <c r="D274" s="14" t="str">
        <f aca="false">IF(C274="","",'MRR Conglomerado'!AT274)</f>
        <v/>
      </c>
      <c r="E274" s="15" t="str">
        <f aca="false">IF(C274="","",D274/C274)</f>
        <v/>
      </c>
      <c r="F274" s="14" t="str">
        <f aca="false">IF(C274="","",C274/B274)</f>
        <v/>
      </c>
      <c r="G274" s="12" t="str">
        <f aca="false">IF(F274="","",IF(F274&lt;100,"Menos de 100 USD",IF(F274&lt;500,"100 a 500 USD",IF(F274&lt;2000,"500 a 2.000 USD","Más de 2.000 USD"))))</f>
        <v/>
      </c>
      <c r="H274" s="14" t="str">
        <f aca="false">IF(C274="","",MIN(D274,C274))</f>
        <v/>
      </c>
    </row>
    <row r="275" customFormat="false" ht="15" hidden="false" customHeight="true" outlineLevel="0" collapsed="false">
      <c r="A275" s="12" t="s">
        <v>878</v>
      </c>
      <c r="B275" s="14" t="n">
        <v>18.885</v>
      </c>
      <c r="C275" s="14" t="str">
        <f aca="false">IF('MRR Conglomerado'!AH275&gt;0,'MRR Conglomerado'!AH275,"")</f>
        <v/>
      </c>
      <c r="D275" s="14" t="str">
        <f aca="false">IF(C275="","",'MRR Conglomerado'!AT275)</f>
        <v/>
      </c>
      <c r="E275" s="15" t="str">
        <f aca="false">IF(C275="","",D275/C275)</f>
        <v/>
      </c>
      <c r="F275" s="14" t="str">
        <f aca="false">IF(C275="","",C275/B275)</f>
        <v/>
      </c>
      <c r="G275" s="12" t="str">
        <f aca="false">IF(F275="","",IF(F275&lt;100,"Menos de 100 USD",IF(F275&lt;500,"100 a 500 USD",IF(F275&lt;2000,"500 a 2.000 USD","Más de 2.000 USD"))))</f>
        <v/>
      </c>
      <c r="H275" s="14" t="str">
        <f aca="false">IF(C275="","",MIN(D275,C275))</f>
        <v/>
      </c>
    </row>
    <row r="276" customFormat="false" ht="15" hidden="false" customHeight="true" outlineLevel="0" collapsed="false">
      <c r="A276" s="12" t="s">
        <v>881</v>
      </c>
      <c r="B276" s="14" t="n">
        <v>18.885</v>
      </c>
      <c r="C276" s="14" t="n">
        <f aca="false">IF('MRR Conglomerado'!AH276&gt;0,'MRR Conglomerado'!AH276,"")</f>
        <v>2148.7353</v>
      </c>
      <c r="D276" s="14" t="n">
        <f aca="false">IF(C276="","",'MRR Conglomerado'!AT276)</f>
        <v>2224.978408</v>
      </c>
      <c r="E276" s="15" t="n">
        <f aca="false">IF(C276="","",D276/C276)</f>
        <v>1.03548278282579</v>
      </c>
      <c r="F276" s="14" t="n">
        <f aca="false">IF(C276="","",C276/B276)</f>
        <v>113.78</v>
      </c>
      <c r="G276" s="12" t="str">
        <f aca="false">IF(F276="","",IF(F276&lt;100,"Menos de 100 USD",IF(F276&lt;500,"100 a 500 USD",IF(F276&lt;2000,"500 a 2.000 USD","Más de 2.000 USD"))))</f>
        <v>100 a 500 USD</v>
      </c>
      <c r="H276" s="14" t="n">
        <f aca="false">IF(C276="","",MIN(D276,C276))</f>
        <v>2148.7353</v>
      </c>
    </row>
    <row r="277" customFormat="false" ht="15" hidden="false" customHeight="true" outlineLevel="0" collapsed="false">
      <c r="A277" s="12" t="s">
        <v>884</v>
      </c>
      <c r="B277" s="14" t="n">
        <v>18.885</v>
      </c>
      <c r="C277" s="14" t="str">
        <f aca="false">IF('MRR Conglomerado'!AH277&gt;0,'MRR Conglomerado'!AH277,"")</f>
        <v/>
      </c>
      <c r="D277" s="14" t="str">
        <f aca="false">IF(C277="","",'MRR Conglomerado'!AT277)</f>
        <v/>
      </c>
      <c r="E277" s="15" t="str">
        <f aca="false">IF(C277="","",D277/C277)</f>
        <v/>
      </c>
      <c r="F277" s="14" t="str">
        <f aca="false">IF(C277="","",C277/B277)</f>
        <v/>
      </c>
      <c r="G277" s="12" t="str">
        <f aca="false">IF(F277="","",IF(F277&lt;100,"Menos de 100 USD",IF(F277&lt;500,"100 a 500 USD",IF(F277&lt;2000,"500 a 2.000 USD","Más de 2.000 USD"))))</f>
        <v/>
      </c>
      <c r="H277" s="14" t="str">
        <f aca="false">IF(C277="","",MIN(D277,C277))</f>
        <v/>
      </c>
    </row>
    <row r="278" customFormat="false" ht="15" hidden="false" customHeight="true" outlineLevel="0" collapsed="false">
      <c r="A278" s="12" t="s">
        <v>887</v>
      </c>
      <c r="B278" s="14" t="n">
        <v>18.885</v>
      </c>
      <c r="C278" s="14" t="str">
        <f aca="false">IF('MRR Conglomerado'!AH278&gt;0,'MRR Conglomerado'!AH278,"")</f>
        <v/>
      </c>
      <c r="D278" s="14" t="str">
        <f aca="false">IF(C278="","",'MRR Conglomerado'!AT278)</f>
        <v/>
      </c>
      <c r="E278" s="15" t="str">
        <f aca="false">IF(C278="","",D278/C278)</f>
        <v/>
      </c>
      <c r="F278" s="14" t="str">
        <f aca="false">IF(C278="","",C278/B278)</f>
        <v/>
      </c>
      <c r="G278" s="12" t="str">
        <f aca="false">IF(F278="","",IF(F278&lt;100,"Menos de 100 USD",IF(F278&lt;500,"100 a 500 USD",IF(F278&lt;2000,"500 a 2.000 USD","Más de 2.000 USD"))))</f>
        <v/>
      </c>
      <c r="H278" s="14" t="str">
        <f aca="false">IF(C278="","",MIN(D278,C278))</f>
        <v/>
      </c>
    </row>
    <row r="279" customFormat="false" ht="15" hidden="false" customHeight="true" outlineLevel="0" collapsed="false">
      <c r="A279" s="12" t="s">
        <v>890</v>
      </c>
      <c r="B279" s="14" t="n">
        <v>18.885</v>
      </c>
      <c r="C279" s="14" t="str">
        <f aca="false">IF('MRR Conglomerado'!AH279&gt;0,'MRR Conglomerado'!AH279,"")</f>
        <v/>
      </c>
      <c r="D279" s="14" t="str">
        <f aca="false">IF(C279="","",'MRR Conglomerado'!AT279)</f>
        <v/>
      </c>
      <c r="E279" s="15" t="str">
        <f aca="false">IF(C279="","",D279/C279)</f>
        <v/>
      </c>
      <c r="F279" s="14" t="str">
        <f aca="false">IF(C279="","",C279/B279)</f>
        <v/>
      </c>
      <c r="G279" s="12" t="str">
        <f aca="false">IF(F279="","",IF(F279&lt;100,"Menos de 100 USD",IF(F279&lt;500,"100 a 500 USD",IF(F279&lt;2000,"500 a 2.000 USD","Más de 2.000 USD"))))</f>
        <v/>
      </c>
      <c r="H279" s="14" t="str">
        <f aca="false">IF(C279="","",MIN(D279,C279))</f>
        <v/>
      </c>
    </row>
    <row r="280" customFormat="false" ht="15" hidden="false" customHeight="true" outlineLevel="0" collapsed="false">
      <c r="A280" s="12" t="s">
        <v>893</v>
      </c>
      <c r="B280" s="14" t="n">
        <v>18.885</v>
      </c>
      <c r="C280" s="14" t="n">
        <f aca="false">IF('MRR Conglomerado'!AH280&gt;0,'MRR Conglomerado'!AH280,"")</f>
        <v>820.7421</v>
      </c>
      <c r="D280" s="14" t="n">
        <f aca="false">IF(C280="","",'MRR Conglomerado'!AT280)</f>
        <v>1286.3676</v>
      </c>
      <c r="E280" s="15" t="n">
        <f aca="false">IF(C280="","",D280/C280)</f>
        <v>1.56732254870318</v>
      </c>
      <c r="F280" s="14" t="n">
        <f aca="false">IF(C280="","",C280/B280)</f>
        <v>43.46</v>
      </c>
      <c r="G280" s="12" t="str">
        <f aca="false">IF(F280="","",IF(F280&lt;100,"Menos de 100 USD",IF(F280&lt;500,"100 a 500 USD",IF(F280&lt;2000,"500 a 2.000 USD","Más de 2.000 USD"))))</f>
        <v>Menos de 100 USD</v>
      </c>
      <c r="H280" s="14" t="n">
        <f aca="false">IF(C280="","",MIN(D280,C280))</f>
        <v>820.7421</v>
      </c>
    </row>
    <row r="281" customFormat="false" ht="15" hidden="false" customHeight="true" outlineLevel="0" collapsed="false">
      <c r="A281" s="12" t="s">
        <v>896</v>
      </c>
      <c r="B281" s="14" t="n">
        <v>18.885</v>
      </c>
      <c r="C281" s="14" t="n">
        <f aca="false">IF('MRR Conglomerado'!AH281&gt;0,'MRR Conglomerado'!AH281,"")</f>
        <v>8849.1333</v>
      </c>
      <c r="D281" s="14" t="n">
        <f aca="false">IF(C281="","",'MRR Conglomerado'!AT281)</f>
        <v>7226.060608</v>
      </c>
      <c r="E281" s="15" t="n">
        <f aca="false">IF(C281="","",D281/C281)</f>
        <v>0.816583993372549</v>
      </c>
      <c r="F281" s="14" t="n">
        <f aca="false">IF(C281="","",C281/B281)</f>
        <v>468.58</v>
      </c>
      <c r="G281" s="12" t="str">
        <f aca="false">IF(F281="","",IF(F281&lt;100,"Menos de 100 USD",IF(F281&lt;500,"100 a 500 USD",IF(F281&lt;2000,"500 a 2.000 USD","Más de 2.000 USD"))))</f>
        <v>100 a 500 USD</v>
      </c>
      <c r="H281" s="14" t="n">
        <f aca="false">IF(C281="","",MIN(D281,C281))</f>
        <v>7226.060608</v>
      </c>
    </row>
    <row r="282" customFormat="false" ht="15" hidden="false" customHeight="true" outlineLevel="0" collapsed="false">
      <c r="A282" s="12" t="s">
        <v>899</v>
      </c>
      <c r="B282" s="14" t="n">
        <v>18.885</v>
      </c>
      <c r="C282" s="14" t="n">
        <f aca="false">IF('MRR Conglomerado'!AH282&gt;0,'MRR Conglomerado'!AH282,"")</f>
        <v>22351.9083</v>
      </c>
      <c r="D282" s="14" t="n">
        <f aca="false">IF(C282="","",'MRR Conglomerado'!AT282)</f>
        <v>15742.514184</v>
      </c>
      <c r="E282" s="15" t="n">
        <f aca="false">IF(C282="","",D282/C282)</f>
        <v>0.704302915559116</v>
      </c>
      <c r="F282" s="14" t="n">
        <f aca="false">IF(C282="","",C282/B282)</f>
        <v>1183.58</v>
      </c>
      <c r="G282" s="12" t="str">
        <f aca="false">IF(F282="","",IF(F282&lt;100,"Menos de 100 USD",IF(F282&lt;500,"100 a 500 USD",IF(F282&lt;2000,"500 a 2.000 USD","Más de 2.000 USD"))))</f>
        <v>500 a 2.000 USD</v>
      </c>
      <c r="H282" s="14" t="n">
        <f aca="false">IF(C282="","",MIN(D282,C282))</f>
        <v>15742.514184</v>
      </c>
    </row>
    <row r="283" customFormat="false" ht="15" hidden="false" customHeight="true" outlineLevel="0" collapsed="false">
      <c r="A283" s="12" t="s">
        <v>902</v>
      </c>
      <c r="B283" s="14" t="n">
        <v>18.885</v>
      </c>
      <c r="C283" s="14" t="n">
        <f aca="false">IF('MRR Conglomerado'!AH283&gt;0,'MRR Conglomerado'!AH283,"")</f>
        <v>29964.64065</v>
      </c>
      <c r="D283" s="14" t="n">
        <f aca="false">IF(C283="","",'MRR Conglomerado'!AT283)</f>
        <v>32419.788824</v>
      </c>
      <c r="E283" s="15" t="n">
        <f aca="false">IF(C283="","",D283/C283)</f>
        <v>1.08193484456153</v>
      </c>
      <c r="F283" s="14" t="n">
        <f aca="false">IF(C283="","",C283/B283)</f>
        <v>1586.69</v>
      </c>
      <c r="G283" s="12" t="str">
        <f aca="false">IF(F283="","",IF(F283&lt;100,"Menos de 100 USD",IF(F283&lt;500,"100 a 500 USD",IF(F283&lt;2000,"500 a 2.000 USD","Más de 2.000 USD"))))</f>
        <v>500 a 2.000 USD</v>
      </c>
      <c r="H283" s="14" t="n">
        <f aca="false">IF(C283="","",MIN(D283,C283))</f>
        <v>29964.64065</v>
      </c>
    </row>
    <row r="284" customFormat="false" ht="15" hidden="false" customHeight="true" outlineLevel="0" collapsed="false">
      <c r="A284" s="12" t="s">
        <v>905</v>
      </c>
      <c r="B284" s="14" t="n">
        <v>18.885</v>
      </c>
      <c r="C284" s="14" t="n">
        <f aca="false">IF('MRR Conglomerado'!AH284&gt;0,'MRR Conglomerado'!AH284,"")</f>
        <v>1435.07115</v>
      </c>
      <c r="D284" s="14" t="n">
        <f aca="false">IF(C284="","",'MRR Conglomerado'!AT284)</f>
        <v>0</v>
      </c>
      <c r="E284" s="15" t="n">
        <f aca="false">IF(C284="","",D284/C284)</f>
        <v>0</v>
      </c>
      <c r="F284" s="14" t="n">
        <f aca="false">IF(C284="","",C284/B284)</f>
        <v>75.99</v>
      </c>
      <c r="G284" s="12" t="str">
        <f aca="false">IF(F284="","",IF(F284&lt;100,"Menos de 100 USD",IF(F284&lt;500,"100 a 500 USD",IF(F284&lt;2000,"500 a 2.000 USD","Más de 2.000 USD"))))</f>
        <v>Menos de 100 USD</v>
      </c>
      <c r="H284" s="14" t="n">
        <f aca="false">IF(C284="","",MIN(D284,C284))</f>
        <v>0</v>
      </c>
    </row>
    <row r="285" customFormat="false" ht="15" hidden="false" customHeight="true" outlineLevel="0" collapsed="false">
      <c r="A285" s="12" t="s">
        <v>908</v>
      </c>
      <c r="B285" s="14" t="n">
        <v>18.885</v>
      </c>
      <c r="C285" s="14" t="n">
        <f aca="false">IF('MRR Conglomerado'!AH285&gt;0,'MRR Conglomerado'!AH285,"")</f>
        <v>32613.07305</v>
      </c>
      <c r="D285" s="14" t="n">
        <f aca="false">IF(C285="","",'MRR Conglomerado'!AT285)</f>
        <v>28580.98788</v>
      </c>
      <c r="E285" s="15" t="n">
        <f aca="false">IF(C285="","",D285/C285)</f>
        <v>0.876365984774931</v>
      </c>
      <c r="F285" s="14" t="n">
        <f aca="false">IF(C285="","",C285/B285)</f>
        <v>1726.93</v>
      </c>
      <c r="G285" s="12" t="str">
        <f aca="false">IF(F285="","",IF(F285&lt;100,"Menos de 100 USD",IF(F285&lt;500,"100 a 500 USD",IF(F285&lt;2000,"500 a 2.000 USD","Más de 2.000 USD"))))</f>
        <v>500 a 2.000 USD</v>
      </c>
      <c r="H285" s="14" t="n">
        <f aca="false">IF(C285="","",MIN(D285,C285))</f>
        <v>28580.98788</v>
      </c>
    </row>
    <row r="286" customFormat="false" ht="15" hidden="false" customHeight="true" outlineLevel="0" collapsed="false">
      <c r="A286" s="12" t="s">
        <v>911</v>
      </c>
      <c r="B286" s="14" t="n">
        <v>18.885</v>
      </c>
      <c r="C286" s="14" t="str">
        <f aca="false">IF('MRR Conglomerado'!AH286&gt;0,'MRR Conglomerado'!AH286,"")</f>
        <v/>
      </c>
      <c r="D286" s="14" t="str">
        <f aca="false">IF(C286="","",'MRR Conglomerado'!AT286)</f>
        <v/>
      </c>
      <c r="E286" s="15" t="str">
        <f aca="false">IF(C286="","",D286/C286)</f>
        <v/>
      </c>
      <c r="F286" s="14" t="str">
        <f aca="false">IF(C286="","",C286/B286)</f>
        <v/>
      </c>
      <c r="G286" s="12" t="str">
        <f aca="false">IF(F286="","",IF(F286&lt;100,"Menos de 100 USD",IF(F286&lt;500,"100 a 500 USD",IF(F286&lt;2000,"500 a 2.000 USD","Más de 2.000 USD"))))</f>
        <v/>
      </c>
      <c r="H286" s="14" t="str">
        <f aca="false">IF(C286="","",MIN(D286,C286))</f>
        <v/>
      </c>
    </row>
    <row r="287" customFormat="false" ht="15" hidden="false" customHeight="true" outlineLevel="0" collapsed="false">
      <c r="A287" s="12" t="s">
        <v>914</v>
      </c>
      <c r="B287" s="14" t="n">
        <v>18.885</v>
      </c>
      <c r="C287" s="14" t="str">
        <f aca="false">IF('MRR Conglomerado'!AH287&gt;0,'MRR Conglomerado'!AH287,"")</f>
        <v/>
      </c>
      <c r="D287" s="14" t="str">
        <f aca="false">IF(C287="","",'MRR Conglomerado'!AT287)</f>
        <v/>
      </c>
      <c r="E287" s="15" t="str">
        <f aca="false">IF(C287="","",D287/C287)</f>
        <v/>
      </c>
      <c r="F287" s="14" t="str">
        <f aca="false">IF(C287="","",C287/B287)</f>
        <v/>
      </c>
      <c r="G287" s="12" t="str">
        <f aca="false">IF(F287="","",IF(F287&lt;100,"Menos de 100 USD",IF(F287&lt;500,"100 a 500 USD",IF(F287&lt;2000,"500 a 2.000 USD","Más de 2.000 USD"))))</f>
        <v/>
      </c>
      <c r="H287" s="14" t="str">
        <f aca="false">IF(C287="","",MIN(D287,C287))</f>
        <v/>
      </c>
    </row>
    <row r="288" customFormat="false" ht="15" hidden="false" customHeight="true" outlineLevel="0" collapsed="false">
      <c r="A288" s="12" t="s">
        <v>917</v>
      </c>
      <c r="B288" s="14" t="n">
        <v>18.885</v>
      </c>
      <c r="C288" s="14" t="n">
        <f aca="false">IF('MRR Conglomerado'!AH288&gt;0,'MRR Conglomerado'!AH288,"")</f>
        <v>819.04245</v>
      </c>
      <c r="D288" s="14" t="n">
        <f aca="false">IF(C288="","",'MRR Conglomerado'!AT288)</f>
        <v>0</v>
      </c>
      <c r="E288" s="15" t="n">
        <f aca="false">IF(C288="","",D288/C288)</f>
        <v>0</v>
      </c>
      <c r="F288" s="14" t="n">
        <f aca="false">IF(C288="","",C288/B288)</f>
        <v>43.37</v>
      </c>
      <c r="G288" s="12" t="str">
        <f aca="false">IF(F288="","",IF(F288&lt;100,"Menos de 100 USD",IF(F288&lt;500,"100 a 500 USD",IF(F288&lt;2000,"500 a 2.000 USD","Más de 2.000 USD"))))</f>
        <v>Menos de 100 USD</v>
      </c>
      <c r="H288" s="14" t="n">
        <f aca="false">IF(C288="","",MIN(D288,C288))</f>
        <v>0</v>
      </c>
    </row>
    <row r="289" customFormat="false" ht="15" hidden="false" customHeight="true" outlineLevel="0" collapsed="false">
      <c r="A289" s="12" t="s">
        <v>920</v>
      </c>
      <c r="B289" s="14" t="n">
        <v>18.885</v>
      </c>
      <c r="C289" s="14" t="str">
        <f aca="false">IF('MRR Conglomerado'!AH289&gt;0,'MRR Conglomerado'!AH289,"")</f>
        <v/>
      </c>
      <c r="D289" s="14" t="str">
        <f aca="false">IF(C289="","",'MRR Conglomerado'!AT289)</f>
        <v/>
      </c>
      <c r="E289" s="15" t="str">
        <f aca="false">IF(C289="","",D289/C289)</f>
        <v/>
      </c>
      <c r="F289" s="14" t="str">
        <f aca="false">IF(C289="","",C289/B289)</f>
        <v/>
      </c>
      <c r="G289" s="12" t="str">
        <f aca="false">IF(F289="","",IF(F289&lt;100,"Menos de 100 USD",IF(F289&lt;500,"100 a 500 USD",IF(F289&lt;2000,"500 a 2.000 USD","Más de 2.000 USD"))))</f>
        <v/>
      </c>
      <c r="H289" s="14" t="str">
        <f aca="false">IF(C289="","",MIN(D289,C289))</f>
        <v/>
      </c>
    </row>
    <row r="290" customFormat="false" ht="15" hidden="false" customHeight="true" outlineLevel="0" collapsed="false">
      <c r="A290" s="12" t="s">
        <v>923</v>
      </c>
      <c r="B290" s="14" t="n">
        <v>18.885</v>
      </c>
      <c r="C290" s="14" t="n">
        <f aca="false">IF('MRR Conglomerado'!AH290&gt;0,'MRR Conglomerado'!AH290,"")</f>
        <v>12702.051</v>
      </c>
      <c r="D290" s="14" t="n">
        <f aca="false">IF(C290="","",'MRR Conglomerado'!AT290)</f>
        <v>16573.840184</v>
      </c>
      <c r="E290" s="15" t="n">
        <f aca="false">IF(C290="","",D290/C290)</f>
        <v>1.30481606348455</v>
      </c>
      <c r="F290" s="14" t="n">
        <f aca="false">IF(C290="","",C290/B290)</f>
        <v>672.6</v>
      </c>
      <c r="G290" s="12" t="str">
        <f aca="false">IF(F290="","",IF(F290&lt;100,"Menos de 100 USD",IF(F290&lt;500,"100 a 500 USD",IF(F290&lt;2000,"500 a 2.000 USD","Más de 2.000 USD"))))</f>
        <v>500 a 2.000 USD</v>
      </c>
      <c r="H290" s="14" t="n">
        <f aca="false">IF(C290="","",MIN(D290,C290))</f>
        <v>12702.051</v>
      </c>
    </row>
    <row r="291" customFormat="false" ht="15" hidden="false" customHeight="true" outlineLevel="0" collapsed="false">
      <c r="A291" s="12" t="s">
        <v>926</v>
      </c>
      <c r="B291" s="14" t="n">
        <v>18.885</v>
      </c>
      <c r="C291" s="14" t="str">
        <f aca="false">IF('MRR Conglomerado'!AH291&gt;0,'MRR Conglomerado'!AH291,"")</f>
        <v/>
      </c>
      <c r="D291" s="14" t="str">
        <f aca="false">IF(C291="","",'MRR Conglomerado'!AT291)</f>
        <v/>
      </c>
      <c r="E291" s="15" t="str">
        <f aca="false">IF(C291="","",D291/C291)</f>
        <v/>
      </c>
      <c r="F291" s="14" t="str">
        <f aca="false">IF(C291="","",C291/B291)</f>
        <v/>
      </c>
      <c r="G291" s="12" t="str">
        <f aca="false">IF(F291="","",IF(F291&lt;100,"Menos de 100 USD",IF(F291&lt;500,"100 a 500 USD",IF(F291&lt;2000,"500 a 2.000 USD","Más de 2.000 USD"))))</f>
        <v/>
      </c>
      <c r="H291" s="14" t="str">
        <f aca="false">IF(C291="","",MIN(D291,C291))</f>
        <v/>
      </c>
    </row>
    <row r="292" customFormat="false" ht="15" hidden="false" customHeight="true" outlineLevel="0" collapsed="false">
      <c r="A292" s="12" t="s">
        <v>929</v>
      </c>
      <c r="B292" s="14" t="n">
        <v>18.885</v>
      </c>
      <c r="C292" s="14" t="n">
        <f aca="false">IF('MRR Conglomerado'!AH292&gt;0,'MRR Conglomerado'!AH292,"")</f>
        <v>1625.43195</v>
      </c>
      <c r="D292" s="14" t="n">
        <f aca="false">IF(C292="","",'MRR Conglomerado'!AT292)</f>
        <v>1469.434336</v>
      </c>
      <c r="E292" s="15" t="n">
        <f aca="false">IF(C292="","",D292/C292)</f>
        <v>0.904026979413072</v>
      </c>
      <c r="F292" s="14" t="n">
        <f aca="false">IF(C292="","",C292/B292)</f>
        <v>86.07</v>
      </c>
      <c r="G292" s="12" t="str">
        <f aca="false">IF(F292="","",IF(F292&lt;100,"Menos de 100 USD",IF(F292&lt;500,"100 a 500 USD",IF(F292&lt;2000,"500 a 2.000 USD","Más de 2.000 USD"))))</f>
        <v>Menos de 100 USD</v>
      </c>
      <c r="H292" s="14" t="n">
        <f aca="false">IF(C292="","",MIN(D292,C292))</f>
        <v>1469.434336</v>
      </c>
    </row>
    <row r="293" customFormat="false" ht="15" hidden="false" customHeight="true" outlineLevel="0" collapsed="false">
      <c r="A293" s="12" t="s">
        <v>932</v>
      </c>
      <c r="B293" s="14" t="n">
        <v>18.885</v>
      </c>
      <c r="C293" s="14" t="n">
        <f aca="false">IF('MRR Conglomerado'!AH293&gt;0,'MRR Conglomerado'!AH293,"")</f>
        <v>8430.07515</v>
      </c>
      <c r="D293" s="14" t="n">
        <f aca="false">IF(C293="","",'MRR Conglomerado'!AT293)</f>
        <v>8835.157712</v>
      </c>
      <c r="E293" s="15" t="n">
        <f aca="false">IF(C293="","",D293/C293)</f>
        <v>1.04805207009335</v>
      </c>
      <c r="F293" s="14" t="n">
        <f aca="false">IF(C293="","",C293/B293)</f>
        <v>446.39</v>
      </c>
      <c r="G293" s="12" t="str">
        <f aca="false">IF(F293="","",IF(F293&lt;100,"Menos de 100 USD",IF(F293&lt;500,"100 a 500 USD",IF(F293&lt;2000,"500 a 2.000 USD","Más de 2.000 USD"))))</f>
        <v>100 a 500 USD</v>
      </c>
      <c r="H293" s="14" t="n">
        <f aca="false">IF(C293="","",MIN(D293,C293))</f>
        <v>8430.07515</v>
      </c>
    </row>
    <row r="294" customFormat="false" ht="15" hidden="false" customHeight="true" outlineLevel="0" collapsed="false">
      <c r="A294" s="12" t="s">
        <v>935</v>
      </c>
      <c r="B294" s="14" t="n">
        <v>18.885</v>
      </c>
      <c r="C294" s="14" t="n">
        <f aca="false">IF('MRR Conglomerado'!AH294&gt;0,'MRR Conglomerado'!AH294,"")</f>
        <v>3907.49535</v>
      </c>
      <c r="D294" s="14" t="n">
        <f aca="false">IF(C294="","",'MRR Conglomerado'!AT294)</f>
        <v>12869.80156</v>
      </c>
      <c r="E294" s="15" t="n">
        <f aca="false">IF(C294="","",D294/C294)</f>
        <v>3.29361916195243</v>
      </c>
      <c r="F294" s="14" t="n">
        <f aca="false">IF(C294="","",C294/B294)</f>
        <v>206.91</v>
      </c>
      <c r="G294" s="12" t="str">
        <f aca="false">IF(F294="","",IF(F294&lt;100,"Menos de 100 USD",IF(F294&lt;500,"100 a 500 USD",IF(F294&lt;2000,"500 a 2.000 USD","Más de 2.000 USD"))))</f>
        <v>100 a 500 USD</v>
      </c>
      <c r="H294" s="14" t="n">
        <f aca="false">IF(C294="","",MIN(D294,C294))</f>
        <v>3907.49535</v>
      </c>
    </row>
    <row r="295" customFormat="false" ht="15" hidden="false" customHeight="true" outlineLevel="0" collapsed="false">
      <c r="A295" s="12" t="s">
        <v>938</v>
      </c>
      <c r="B295" s="14" t="n">
        <v>18.885</v>
      </c>
      <c r="C295" s="14" t="str">
        <f aca="false">IF('MRR Conglomerado'!AH295&gt;0,'MRR Conglomerado'!AH295,"")</f>
        <v/>
      </c>
      <c r="D295" s="14" t="str">
        <f aca="false">IF(C295="","",'MRR Conglomerado'!AT295)</f>
        <v/>
      </c>
      <c r="E295" s="15" t="str">
        <f aca="false">IF(C295="","",D295/C295)</f>
        <v/>
      </c>
      <c r="F295" s="14" t="str">
        <f aca="false">IF(C295="","",C295/B295)</f>
        <v/>
      </c>
      <c r="G295" s="12" t="str">
        <f aca="false">IF(F295="","",IF(F295&lt;100,"Menos de 100 USD",IF(F295&lt;500,"100 a 500 USD",IF(F295&lt;2000,"500 a 2.000 USD","Más de 2.000 USD"))))</f>
        <v/>
      </c>
      <c r="H295" s="14" t="str">
        <f aca="false">IF(C295="","",MIN(D295,C295))</f>
        <v/>
      </c>
    </row>
    <row r="296" customFormat="false" ht="15" hidden="false" customHeight="true" outlineLevel="0" collapsed="false">
      <c r="A296" s="12" t="s">
        <v>941</v>
      </c>
      <c r="B296" s="14" t="n">
        <v>18.885</v>
      </c>
      <c r="C296" s="14" t="str">
        <f aca="false">IF('MRR Conglomerado'!AH296&gt;0,'MRR Conglomerado'!AH296,"")</f>
        <v/>
      </c>
      <c r="D296" s="14" t="str">
        <f aca="false">IF(C296="","",'MRR Conglomerado'!AT296)</f>
        <v/>
      </c>
      <c r="E296" s="15" t="str">
        <f aca="false">IF(C296="","",D296/C296)</f>
        <v/>
      </c>
      <c r="F296" s="14" t="str">
        <f aca="false">IF(C296="","",C296/B296)</f>
        <v/>
      </c>
      <c r="G296" s="12" t="str">
        <f aca="false">IF(F296="","",IF(F296&lt;100,"Menos de 100 USD",IF(F296&lt;500,"100 a 500 USD",IF(F296&lt;2000,"500 a 2.000 USD","Más de 2.000 USD"))))</f>
        <v/>
      </c>
      <c r="H296" s="14" t="str">
        <f aca="false">IF(C296="","",MIN(D296,C296))</f>
        <v/>
      </c>
    </row>
    <row r="297" customFormat="false" ht="15" hidden="false" customHeight="true" outlineLevel="0" collapsed="false">
      <c r="A297" s="12" t="s">
        <v>944</v>
      </c>
      <c r="B297" s="14" t="n">
        <v>18.885</v>
      </c>
      <c r="C297" s="14" t="n">
        <f aca="false">IF('MRR Conglomerado'!AH297&gt;0,'MRR Conglomerado'!AH297,"")</f>
        <v>2448.06255</v>
      </c>
      <c r="D297" s="14" t="n">
        <f aca="false">IF(C297="","",'MRR Conglomerado'!AT297)</f>
        <v>14497.45036</v>
      </c>
      <c r="E297" s="15" t="n">
        <f aca="false">IF(C297="","",D297/C297)</f>
        <v>5.92200977871256</v>
      </c>
      <c r="F297" s="14" t="n">
        <f aca="false">IF(C297="","",C297/B297)</f>
        <v>129.63</v>
      </c>
      <c r="G297" s="12" t="str">
        <f aca="false">IF(F297="","",IF(F297&lt;100,"Menos de 100 USD",IF(F297&lt;500,"100 a 500 USD",IF(F297&lt;2000,"500 a 2.000 USD","Más de 2.000 USD"))))</f>
        <v>100 a 500 USD</v>
      </c>
      <c r="H297" s="14" t="n">
        <f aca="false">IF(C297="","",MIN(D297,C297))</f>
        <v>2448.06255</v>
      </c>
    </row>
    <row r="298" customFormat="false" ht="15" hidden="false" customHeight="true" outlineLevel="0" collapsed="false">
      <c r="A298" s="12" t="s">
        <v>947</v>
      </c>
      <c r="B298" s="14" t="n">
        <v>18.885</v>
      </c>
      <c r="C298" s="14" t="n">
        <f aca="false">IF('MRR Conglomerado'!AH298&gt;0,'MRR Conglomerado'!AH298,"")</f>
        <v>878.1525</v>
      </c>
      <c r="D298" s="14" t="n">
        <f aca="false">IF(C298="","",'MRR Conglomerado'!AT298)</f>
        <v>0</v>
      </c>
      <c r="E298" s="15" t="n">
        <f aca="false">IF(C298="","",D298/C298)</f>
        <v>0</v>
      </c>
      <c r="F298" s="14" t="n">
        <f aca="false">IF(C298="","",C298/B298)</f>
        <v>46.5</v>
      </c>
      <c r="G298" s="12" t="str">
        <f aca="false">IF(F298="","",IF(F298&lt;100,"Menos de 100 USD",IF(F298&lt;500,"100 a 500 USD",IF(F298&lt;2000,"500 a 2.000 USD","Más de 2.000 USD"))))</f>
        <v>Menos de 100 USD</v>
      </c>
      <c r="H298" s="14" t="n">
        <f aca="false">IF(C298="","",MIN(D298,C298))</f>
        <v>0</v>
      </c>
    </row>
    <row r="299" customFormat="false" ht="15" hidden="false" customHeight="true" outlineLevel="0" collapsed="false">
      <c r="A299" s="12" t="s">
        <v>950</v>
      </c>
      <c r="B299" s="14" t="n">
        <v>18.885</v>
      </c>
      <c r="C299" s="14" t="str">
        <f aca="false">IF('MRR Conglomerado'!AH299&gt;0,'MRR Conglomerado'!AH299,"")</f>
        <v/>
      </c>
      <c r="D299" s="14" t="str">
        <f aca="false">IF(C299="","",'MRR Conglomerado'!AT299)</f>
        <v/>
      </c>
      <c r="E299" s="15" t="str">
        <f aca="false">IF(C299="","",D299/C299)</f>
        <v/>
      </c>
      <c r="F299" s="14" t="str">
        <f aca="false">IF(C299="","",C299/B299)</f>
        <v/>
      </c>
      <c r="G299" s="12" t="str">
        <f aca="false">IF(F299="","",IF(F299&lt;100,"Menos de 100 USD",IF(F299&lt;500,"100 a 500 USD",IF(F299&lt;2000,"500 a 2.000 USD","Más de 2.000 USD"))))</f>
        <v/>
      </c>
      <c r="H299" s="14" t="str">
        <f aca="false">IF(C299="","",MIN(D299,C299))</f>
        <v/>
      </c>
    </row>
    <row r="300" customFormat="false" ht="15" hidden="false" customHeight="true" outlineLevel="0" collapsed="false">
      <c r="A300" s="12" t="s">
        <v>953</v>
      </c>
      <c r="B300" s="14" t="n">
        <v>18.885</v>
      </c>
      <c r="C300" s="14" t="str">
        <f aca="false">IF('MRR Conglomerado'!AH300&gt;0,'MRR Conglomerado'!AH300,"")</f>
        <v/>
      </c>
      <c r="D300" s="14" t="str">
        <f aca="false">IF(C300="","",'MRR Conglomerado'!AT300)</f>
        <v/>
      </c>
      <c r="E300" s="15" t="str">
        <f aca="false">IF(C300="","",D300/C300)</f>
        <v/>
      </c>
      <c r="F300" s="14" t="str">
        <f aca="false">IF(C300="","",C300/B300)</f>
        <v/>
      </c>
      <c r="G300" s="12" t="str">
        <f aca="false">IF(F300="","",IF(F300&lt;100,"Menos de 100 USD",IF(F300&lt;500,"100 a 500 USD",IF(F300&lt;2000,"500 a 2.000 USD","Más de 2.000 USD"))))</f>
        <v/>
      </c>
      <c r="H300" s="14" t="str">
        <f aca="false">IF(C300="","",MIN(D300,C300))</f>
        <v/>
      </c>
    </row>
    <row r="301" customFormat="false" ht="15" hidden="false" customHeight="true" outlineLevel="0" collapsed="false">
      <c r="A301" s="12" t="s">
        <v>956</v>
      </c>
      <c r="B301" s="14" t="n">
        <v>18.885</v>
      </c>
      <c r="C301" s="14" t="str">
        <f aca="false">IF('MRR Conglomerado'!AH301&gt;0,'MRR Conglomerado'!AH301,"")</f>
        <v/>
      </c>
      <c r="D301" s="14" t="str">
        <f aca="false">IF(C301="","",'MRR Conglomerado'!AT301)</f>
        <v/>
      </c>
      <c r="E301" s="15" t="str">
        <f aca="false">IF(C301="","",D301/C301)</f>
        <v/>
      </c>
      <c r="F301" s="14" t="str">
        <f aca="false">IF(C301="","",C301/B301)</f>
        <v/>
      </c>
      <c r="G301" s="12" t="str">
        <f aca="false">IF(F301="","",IF(F301&lt;100,"Menos de 100 USD",IF(F301&lt;500,"100 a 500 USD",IF(F301&lt;2000,"500 a 2.000 USD","Más de 2.000 USD"))))</f>
        <v/>
      </c>
      <c r="H301" s="14" t="str">
        <f aca="false">IF(C301="","",MIN(D301,C301))</f>
        <v/>
      </c>
    </row>
    <row r="302" customFormat="false" ht="15" hidden="false" customHeight="true" outlineLevel="0" collapsed="false">
      <c r="A302" s="12" t="s">
        <v>959</v>
      </c>
      <c r="B302" s="14" t="n">
        <v>18.885</v>
      </c>
      <c r="C302" s="14" t="str">
        <f aca="false">IF('MRR Conglomerado'!AH302&gt;0,'MRR Conglomerado'!AH302,"")</f>
        <v/>
      </c>
      <c r="D302" s="14" t="str">
        <f aca="false">IF(C302="","",'MRR Conglomerado'!AT302)</f>
        <v/>
      </c>
      <c r="E302" s="15" t="str">
        <f aca="false">IF(C302="","",D302/C302)</f>
        <v/>
      </c>
      <c r="F302" s="14" t="str">
        <f aca="false">IF(C302="","",C302/B302)</f>
        <v/>
      </c>
      <c r="G302" s="12" t="str">
        <f aca="false">IF(F302="","",IF(F302&lt;100,"Menos de 100 USD",IF(F302&lt;500,"100 a 500 USD",IF(F302&lt;2000,"500 a 2.000 USD","Más de 2.000 USD"))))</f>
        <v/>
      </c>
      <c r="H302" s="14" t="str">
        <f aca="false">IF(C302="","",MIN(D302,C302))</f>
        <v/>
      </c>
    </row>
    <row r="303" customFormat="false" ht="15" hidden="false" customHeight="true" outlineLevel="0" collapsed="false">
      <c r="A303" s="12" t="s">
        <v>962</v>
      </c>
      <c r="B303" s="14" t="n">
        <v>18.885</v>
      </c>
      <c r="C303" s="14" t="n">
        <f aca="false">IF('MRR Conglomerado'!AH303&gt;0,'MRR Conglomerado'!AH303,"")</f>
        <v>1875.6582</v>
      </c>
      <c r="D303" s="14" t="n">
        <f aca="false">IF(C303="","",'MRR Conglomerado'!AT303)</f>
        <v>1166.831672</v>
      </c>
      <c r="E303" s="15" t="n">
        <f aca="false">IF(C303="","",D303/C303)</f>
        <v>0.622091845945066</v>
      </c>
      <c r="F303" s="14" t="n">
        <f aca="false">IF(C303="","",C303/B303)</f>
        <v>99.32</v>
      </c>
      <c r="G303" s="12" t="str">
        <f aca="false">IF(F303="","",IF(F303&lt;100,"Menos de 100 USD",IF(F303&lt;500,"100 a 500 USD",IF(F303&lt;2000,"500 a 2.000 USD","Más de 2.000 USD"))))</f>
        <v>Menos de 100 USD</v>
      </c>
      <c r="H303" s="14" t="n">
        <f aca="false">IF(C303="","",MIN(D303,C303))</f>
        <v>1166.831672</v>
      </c>
    </row>
    <row r="304" customFormat="false" ht="15" hidden="false" customHeight="true" outlineLevel="0" collapsed="false">
      <c r="A304" s="12" t="s">
        <v>965</v>
      </c>
      <c r="B304" s="14" t="n">
        <v>18.885</v>
      </c>
      <c r="C304" s="14" t="n">
        <f aca="false">IF('MRR Conglomerado'!AH304&gt;0,'MRR Conglomerado'!AH304,"")</f>
        <v>5999.95335</v>
      </c>
      <c r="D304" s="14" t="n">
        <f aca="false">IF(C304="","",'MRR Conglomerado'!AT304)</f>
        <v>5720.047928</v>
      </c>
      <c r="E304" s="15" t="n">
        <f aca="false">IF(C304="","",D304/C304)</f>
        <v>0.953348733619737</v>
      </c>
      <c r="F304" s="14" t="n">
        <f aca="false">IF(C304="","",C304/B304)</f>
        <v>317.71</v>
      </c>
      <c r="G304" s="12" t="str">
        <f aca="false">IF(F304="","",IF(F304&lt;100,"Menos de 100 USD",IF(F304&lt;500,"100 a 500 USD",IF(F304&lt;2000,"500 a 2.000 USD","Más de 2.000 USD"))))</f>
        <v>100 a 500 USD</v>
      </c>
      <c r="H304" s="14" t="n">
        <f aca="false">IF(C304="","",MIN(D304,C304))</f>
        <v>5720.047928</v>
      </c>
    </row>
    <row r="305" customFormat="false" ht="15" hidden="false" customHeight="true" outlineLevel="0" collapsed="false">
      <c r="A305" s="12" t="s">
        <v>968</v>
      </c>
      <c r="B305" s="14" t="n">
        <v>18.885</v>
      </c>
      <c r="C305" s="14" t="str">
        <f aca="false">IF('MRR Conglomerado'!AH305&gt;0,'MRR Conglomerado'!AH305,"")</f>
        <v/>
      </c>
      <c r="D305" s="14" t="str">
        <f aca="false">IF(C305="","",'MRR Conglomerado'!AT305)</f>
        <v/>
      </c>
      <c r="E305" s="15" t="str">
        <f aca="false">IF(C305="","",D305/C305)</f>
        <v/>
      </c>
      <c r="F305" s="14" t="str">
        <f aca="false">IF(C305="","",C305/B305)</f>
        <v/>
      </c>
      <c r="G305" s="12" t="str">
        <f aca="false">IF(F305="","",IF(F305&lt;100,"Menos de 100 USD",IF(F305&lt;500,"100 a 500 USD",IF(F305&lt;2000,"500 a 2.000 USD","Más de 2.000 USD"))))</f>
        <v/>
      </c>
      <c r="H305" s="14" t="str">
        <f aca="false">IF(C305="","",MIN(D305,C305))</f>
        <v/>
      </c>
    </row>
    <row r="306" customFormat="false" ht="15" hidden="false" customHeight="true" outlineLevel="0" collapsed="false">
      <c r="A306" s="12" t="s">
        <v>971</v>
      </c>
      <c r="B306" s="14" t="n">
        <v>18.885</v>
      </c>
      <c r="C306" s="14" t="n">
        <f aca="false">IF('MRR Conglomerado'!AH306&gt;0,'MRR Conglomerado'!AH306,"")</f>
        <v>3337.3572</v>
      </c>
      <c r="D306" s="14" t="n">
        <f aca="false">IF(C306="","",'MRR Conglomerado'!AT306)</f>
        <v>2949.89468</v>
      </c>
      <c r="E306" s="15" t="n">
        <f aca="false">IF(C306="","",D306/C306)</f>
        <v>0.88390139359371</v>
      </c>
      <c r="F306" s="14" t="n">
        <f aca="false">IF(C306="","",C306/B306)</f>
        <v>176.72</v>
      </c>
      <c r="G306" s="12" t="str">
        <f aca="false">IF(F306="","",IF(F306&lt;100,"Menos de 100 USD",IF(F306&lt;500,"100 a 500 USD",IF(F306&lt;2000,"500 a 2.000 USD","Más de 2.000 USD"))))</f>
        <v>100 a 500 USD</v>
      </c>
      <c r="H306" s="14" t="n">
        <f aca="false">IF(C306="","",MIN(D306,C306))</f>
        <v>2949.89468</v>
      </c>
    </row>
    <row r="307" customFormat="false" ht="15" hidden="false" customHeight="true" outlineLevel="0" collapsed="false">
      <c r="A307" s="12" t="s">
        <v>974</v>
      </c>
      <c r="B307" s="14" t="n">
        <v>18.885</v>
      </c>
      <c r="C307" s="14" t="str">
        <f aca="false">IF('MRR Conglomerado'!AH307&gt;0,'MRR Conglomerado'!AH307,"")</f>
        <v/>
      </c>
      <c r="D307" s="14" t="str">
        <f aca="false">IF(C307="","",'MRR Conglomerado'!AT307)</f>
        <v/>
      </c>
      <c r="E307" s="15" t="str">
        <f aca="false">IF(C307="","",D307/C307)</f>
        <v/>
      </c>
      <c r="F307" s="14" t="str">
        <f aca="false">IF(C307="","",C307/B307)</f>
        <v/>
      </c>
      <c r="G307" s="12" t="str">
        <f aca="false">IF(F307="","",IF(F307&lt;100,"Menos de 100 USD",IF(F307&lt;500,"100 a 500 USD",IF(F307&lt;2000,"500 a 2.000 USD","Más de 2.000 USD"))))</f>
        <v/>
      </c>
      <c r="H307" s="14" t="str">
        <f aca="false">IF(C307="","",MIN(D307,C307))</f>
        <v/>
      </c>
    </row>
    <row r="308" customFormat="false" ht="15" hidden="false" customHeight="true" outlineLevel="0" collapsed="false">
      <c r="A308" s="12" t="s">
        <v>977</v>
      </c>
      <c r="B308" s="14" t="n">
        <v>18.885</v>
      </c>
      <c r="C308" s="14" t="str">
        <f aca="false">IF('MRR Conglomerado'!AH308&gt;0,'MRR Conglomerado'!AH308,"")</f>
        <v/>
      </c>
      <c r="D308" s="14" t="str">
        <f aca="false">IF(C308="","",'MRR Conglomerado'!AT308)</f>
        <v/>
      </c>
      <c r="E308" s="15" t="str">
        <f aca="false">IF(C308="","",D308/C308)</f>
        <v/>
      </c>
      <c r="F308" s="14" t="str">
        <f aca="false">IF(C308="","",C308/B308)</f>
        <v/>
      </c>
      <c r="G308" s="12" t="str">
        <f aca="false">IF(F308="","",IF(F308&lt;100,"Menos de 100 USD",IF(F308&lt;500,"100 a 500 USD",IF(F308&lt;2000,"500 a 2.000 USD","Más de 2.000 USD"))))</f>
        <v/>
      </c>
      <c r="H308" s="14" t="str">
        <f aca="false">IF(C308="","",MIN(D308,C308))</f>
        <v/>
      </c>
    </row>
    <row r="309" customFormat="false" ht="15" hidden="false" customHeight="true" outlineLevel="0" collapsed="false">
      <c r="A309" s="12" t="s">
        <v>980</v>
      </c>
      <c r="B309" s="14" t="n">
        <v>18.885</v>
      </c>
      <c r="C309" s="14" t="str">
        <f aca="false">IF('MRR Conglomerado'!AH309&gt;0,'MRR Conglomerado'!AH309,"")</f>
        <v/>
      </c>
      <c r="D309" s="14" t="str">
        <f aca="false">IF(C309="","",'MRR Conglomerado'!AT309)</f>
        <v/>
      </c>
      <c r="E309" s="15" t="str">
        <f aca="false">IF(C309="","",D309/C309)</f>
        <v/>
      </c>
      <c r="F309" s="14" t="str">
        <f aca="false">IF(C309="","",C309/B309)</f>
        <v/>
      </c>
      <c r="G309" s="12" t="str">
        <f aca="false">IF(F309="","",IF(F309&lt;100,"Menos de 100 USD",IF(F309&lt;500,"100 a 500 USD",IF(F309&lt;2000,"500 a 2.000 USD","Más de 2.000 USD"))))</f>
        <v/>
      </c>
      <c r="H309" s="14" t="str">
        <f aca="false">IF(C309="","",MIN(D309,C309))</f>
        <v/>
      </c>
    </row>
    <row r="310" customFormat="false" ht="15" hidden="false" customHeight="true" outlineLevel="0" collapsed="false">
      <c r="A310" s="12" t="s">
        <v>983</v>
      </c>
      <c r="B310" s="14" t="n">
        <v>18.885</v>
      </c>
      <c r="C310" s="14" t="n">
        <f aca="false">IF('MRR Conglomerado'!AH310&gt;0,'MRR Conglomerado'!AH310,"")</f>
        <v>4149.97875</v>
      </c>
      <c r="D310" s="14" t="n">
        <f aca="false">IF(C310="","",'MRR Conglomerado'!AT310)</f>
        <v>0</v>
      </c>
      <c r="E310" s="15" t="n">
        <f aca="false">IF(C310="","",D310/C310)</f>
        <v>0</v>
      </c>
      <c r="F310" s="14" t="n">
        <f aca="false">IF(C310="","",C310/B310)</f>
        <v>219.75</v>
      </c>
      <c r="G310" s="12" t="str">
        <f aca="false">IF(F310="","",IF(F310&lt;100,"Menos de 100 USD",IF(F310&lt;500,"100 a 500 USD",IF(F310&lt;2000,"500 a 2.000 USD","Más de 2.000 USD"))))</f>
        <v>100 a 500 USD</v>
      </c>
      <c r="H310" s="14" t="n">
        <f aca="false">IF(C310="","",MIN(D310,C310))</f>
        <v>0</v>
      </c>
    </row>
    <row r="311" customFormat="false" ht="15" hidden="false" customHeight="true" outlineLevel="0" collapsed="false">
      <c r="A311" s="12" t="s">
        <v>986</v>
      </c>
      <c r="B311" s="14" t="n">
        <v>18.885</v>
      </c>
      <c r="C311" s="14" t="n">
        <f aca="false">IF('MRR Conglomerado'!AH311&gt;0,'MRR Conglomerado'!AH311,"")</f>
        <v>11393.3205</v>
      </c>
      <c r="D311" s="14" t="n">
        <f aca="false">IF(C311="","",'MRR Conglomerado'!AT311)</f>
        <v>0</v>
      </c>
      <c r="E311" s="15" t="n">
        <f aca="false">IF(C311="","",D311/C311)</f>
        <v>0</v>
      </c>
      <c r="F311" s="14" t="n">
        <f aca="false">IF(C311="","",C311/B311)</f>
        <v>603.3</v>
      </c>
      <c r="G311" s="12" t="str">
        <f aca="false">IF(F311="","",IF(F311&lt;100,"Menos de 100 USD",IF(F311&lt;500,"100 a 500 USD",IF(F311&lt;2000,"500 a 2.000 USD","Más de 2.000 USD"))))</f>
        <v>500 a 2.000 USD</v>
      </c>
      <c r="H311" s="14" t="n">
        <f aca="false">IF(C311="","",MIN(D311,C311))</f>
        <v>0</v>
      </c>
    </row>
    <row r="312" customFormat="false" ht="15" hidden="false" customHeight="true" outlineLevel="0" collapsed="false">
      <c r="A312" s="12" t="s">
        <v>989</v>
      </c>
      <c r="B312" s="14" t="n">
        <v>18.885</v>
      </c>
      <c r="C312" s="14" t="str">
        <f aca="false">IF('MRR Conglomerado'!AH312&gt;0,'MRR Conglomerado'!AH312,"")</f>
        <v/>
      </c>
      <c r="D312" s="14" t="str">
        <f aca="false">IF(C312="","",'MRR Conglomerado'!AT312)</f>
        <v/>
      </c>
      <c r="E312" s="15" t="str">
        <f aca="false">IF(C312="","",D312/C312)</f>
        <v/>
      </c>
      <c r="F312" s="14" t="str">
        <f aca="false">IF(C312="","",C312/B312)</f>
        <v/>
      </c>
      <c r="G312" s="12" t="str">
        <f aca="false">IF(F312="","",IF(F312&lt;100,"Menos de 100 USD",IF(F312&lt;500,"100 a 500 USD",IF(F312&lt;2000,"500 a 2.000 USD","Más de 2.000 USD"))))</f>
        <v/>
      </c>
      <c r="H312" s="14" t="str">
        <f aca="false">IF(C312="","",MIN(D312,C312))</f>
        <v/>
      </c>
    </row>
    <row r="313" customFormat="false" ht="15" hidden="false" customHeight="true" outlineLevel="0" collapsed="false">
      <c r="A313" s="12" t="s">
        <v>992</v>
      </c>
      <c r="B313" s="14" t="n">
        <v>18.885</v>
      </c>
      <c r="C313" s="14" t="str">
        <f aca="false">IF('MRR Conglomerado'!AH313&gt;0,'MRR Conglomerado'!AH313,"")</f>
        <v/>
      </c>
      <c r="D313" s="14" t="str">
        <f aca="false">IF(C313="","",'MRR Conglomerado'!AT313)</f>
        <v/>
      </c>
      <c r="E313" s="15" t="str">
        <f aca="false">IF(C313="","",D313/C313)</f>
        <v/>
      </c>
      <c r="F313" s="14" t="str">
        <f aca="false">IF(C313="","",C313/B313)</f>
        <v/>
      </c>
      <c r="G313" s="12" t="str">
        <f aca="false">IF(F313="","",IF(F313&lt;100,"Menos de 100 USD",IF(F313&lt;500,"100 a 500 USD",IF(F313&lt;2000,"500 a 2.000 USD","Más de 2.000 USD"))))</f>
        <v/>
      </c>
      <c r="H313" s="14" t="str">
        <f aca="false">IF(C313="","",MIN(D313,C313))</f>
        <v/>
      </c>
    </row>
    <row r="314" customFormat="false" ht="15" hidden="false" customHeight="true" outlineLevel="0" collapsed="false">
      <c r="A314" s="12" t="s">
        <v>995</v>
      </c>
      <c r="B314" s="14" t="n">
        <v>18.885</v>
      </c>
      <c r="C314" s="14" t="str">
        <f aca="false">IF('MRR Conglomerado'!AH314&gt;0,'MRR Conglomerado'!AH314,"")</f>
        <v/>
      </c>
      <c r="D314" s="14" t="str">
        <f aca="false">IF(C314="","",'MRR Conglomerado'!AT314)</f>
        <v/>
      </c>
      <c r="E314" s="15" t="str">
        <f aca="false">IF(C314="","",D314/C314)</f>
        <v/>
      </c>
      <c r="F314" s="14" t="str">
        <f aca="false">IF(C314="","",C314/B314)</f>
        <v/>
      </c>
      <c r="G314" s="12" t="str">
        <f aca="false">IF(F314="","",IF(F314&lt;100,"Menos de 100 USD",IF(F314&lt;500,"100 a 500 USD",IF(F314&lt;2000,"500 a 2.000 USD","Más de 2.000 USD"))))</f>
        <v/>
      </c>
      <c r="H314" s="14" t="str">
        <f aca="false">IF(C314="","",MIN(D314,C314))</f>
        <v/>
      </c>
    </row>
    <row r="315" customFormat="false" ht="15" hidden="false" customHeight="true" outlineLevel="0" collapsed="false">
      <c r="A315" s="12" t="s">
        <v>998</v>
      </c>
      <c r="B315" s="14" t="n">
        <v>18.885</v>
      </c>
      <c r="C315" s="14" t="n">
        <f aca="false">IF('MRR Conglomerado'!AH315&gt;0,'MRR Conglomerado'!AH315,"")</f>
        <v>23889.9027</v>
      </c>
      <c r="D315" s="14" t="n">
        <f aca="false">IF(C315="","",'MRR Conglomerado'!AT315)</f>
        <v>19253.860192</v>
      </c>
      <c r="E315" s="15" t="n">
        <f aca="false">IF(C315="","",D315/C315)</f>
        <v>0.805941339895035</v>
      </c>
      <c r="F315" s="14" t="n">
        <f aca="false">IF(C315="","",C315/B315)</f>
        <v>1265.02</v>
      </c>
      <c r="G315" s="12" t="str">
        <f aca="false">IF(F315="","",IF(F315&lt;100,"Menos de 100 USD",IF(F315&lt;500,"100 a 500 USD",IF(F315&lt;2000,"500 a 2.000 USD","Más de 2.000 USD"))))</f>
        <v>500 a 2.000 USD</v>
      </c>
      <c r="H315" s="14" t="n">
        <f aca="false">IF(C315="","",MIN(D315,C315))</f>
        <v>19253.860192</v>
      </c>
    </row>
    <row r="316" customFormat="false" ht="15" hidden="false" customHeight="true" outlineLevel="0" collapsed="false">
      <c r="A316" s="12" t="s">
        <v>1001</v>
      </c>
      <c r="B316" s="14" t="n">
        <v>18.885</v>
      </c>
      <c r="C316" s="14" t="n">
        <f aca="false">IF('MRR Conglomerado'!AH316&gt;0,'MRR Conglomerado'!AH316,"")</f>
        <v>1677.55455</v>
      </c>
      <c r="D316" s="14" t="n">
        <f aca="false">IF(C316="","",'MRR Conglomerado'!AT316)</f>
        <v>2723.073944</v>
      </c>
      <c r="E316" s="15" t="n">
        <f aca="false">IF(C316="","",D316/C316)</f>
        <v>1.62324017660111</v>
      </c>
      <c r="F316" s="14" t="n">
        <f aca="false">IF(C316="","",C316/B316)</f>
        <v>88.83</v>
      </c>
      <c r="G316" s="12" t="str">
        <f aca="false">IF(F316="","",IF(F316&lt;100,"Menos de 100 USD",IF(F316&lt;500,"100 a 500 USD",IF(F316&lt;2000,"500 a 2.000 USD","Más de 2.000 USD"))))</f>
        <v>Menos de 100 USD</v>
      </c>
      <c r="H316" s="14" t="n">
        <f aca="false">IF(C316="","",MIN(D316,C316))</f>
        <v>1677.55455</v>
      </c>
    </row>
    <row r="317" customFormat="false" ht="15" hidden="false" customHeight="true" outlineLevel="0" collapsed="false">
      <c r="A317" s="12" t="s">
        <v>1004</v>
      </c>
      <c r="B317" s="14" t="n">
        <v>18.885</v>
      </c>
      <c r="C317" s="14" t="n">
        <f aca="false">IF('MRR Conglomerado'!AH317&gt;0,'MRR Conglomerado'!AH317,"")</f>
        <v>9460.06305</v>
      </c>
      <c r="D317" s="14" t="n">
        <f aca="false">IF(C317="","",'MRR Conglomerado'!AT317)</f>
        <v>0</v>
      </c>
      <c r="E317" s="15" t="n">
        <f aca="false">IF(C317="","",D317/C317)</f>
        <v>0</v>
      </c>
      <c r="F317" s="14" t="n">
        <f aca="false">IF(C317="","",C317/B317)</f>
        <v>500.93</v>
      </c>
      <c r="G317" s="12" t="str">
        <f aca="false">IF(F317="","",IF(F317&lt;100,"Menos de 100 USD",IF(F317&lt;500,"100 a 500 USD",IF(F317&lt;2000,"500 a 2.000 USD","Más de 2.000 USD"))))</f>
        <v>500 a 2.000 USD</v>
      </c>
      <c r="H317" s="14" t="n">
        <f aca="false">IF(C317="","",MIN(D317,C317))</f>
        <v>0</v>
      </c>
    </row>
    <row r="318" customFormat="false" ht="15" hidden="false" customHeight="true" outlineLevel="0" collapsed="false">
      <c r="A318" s="12" t="s">
        <v>1007</v>
      </c>
      <c r="B318" s="14" t="n">
        <v>18.885</v>
      </c>
      <c r="C318" s="14" t="n">
        <f aca="false">IF('MRR Conglomerado'!AH318&gt;0,'MRR Conglomerado'!AH318,"")</f>
        <v>2399.9058</v>
      </c>
      <c r="D318" s="14" t="n">
        <f aca="false">IF(C318="","",'MRR Conglomerado'!AT318)</f>
        <v>2125.394304</v>
      </c>
      <c r="E318" s="15" t="n">
        <f aca="false">IF(C318="","",D318/C318)</f>
        <v>0.885615720417026</v>
      </c>
      <c r="F318" s="14" t="n">
        <f aca="false">IF(C318="","",C318/B318)</f>
        <v>127.08</v>
      </c>
      <c r="G318" s="12" t="str">
        <f aca="false">IF(F318="","",IF(F318&lt;100,"Menos de 100 USD",IF(F318&lt;500,"100 a 500 USD",IF(F318&lt;2000,"500 a 2.000 USD","Más de 2.000 USD"))))</f>
        <v>100 a 500 USD</v>
      </c>
      <c r="H318" s="14" t="n">
        <f aca="false">IF(C318="","",MIN(D318,C318))</f>
        <v>2125.394304</v>
      </c>
    </row>
    <row r="319" customFormat="false" ht="15" hidden="false" customHeight="true" outlineLevel="0" collapsed="false">
      <c r="A319" s="12" t="s">
        <v>1010</v>
      </c>
      <c r="B319" s="14" t="n">
        <v>18.885</v>
      </c>
      <c r="C319" s="14" t="n">
        <f aca="false">IF('MRR Conglomerado'!AH319&gt;0,'MRR Conglomerado'!AH319,"")</f>
        <v>2232.39585</v>
      </c>
      <c r="D319" s="14" t="n">
        <f aca="false">IF(C319="","",'MRR Conglomerado'!AT319)</f>
        <v>1395.577584</v>
      </c>
      <c r="E319" s="15" t="n">
        <f aca="false">IF(C319="","",D319/C319)</f>
        <v>0.625147902868571</v>
      </c>
      <c r="F319" s="14" t="n">
        <f aca="false">IF(C319="","",C319/B319)</f>
        <v>118.21</v>
      </c>
      <c r="G319" s="12" t="str">
        <f aca="false">IF(F319="","",IF(F319&lt;100,"Menos de 100 USD",IF(F319&lt;500,"100 a 500 USD",IF(F319&lt;2000,"500 a 2.000 USD","Más de 2.000 USD"))))</f>
        <v>100 a 500 USD</v>
      </c>
      <c r="H319" s="14" t="n">
        <f aca="false">IF(C319="","",MIN(D319,C319))</f>
        <v>1395.577584</v>
      </c>
    </row>
    <row r="320" customFormat="false" ht="15" hidden="false" customHeight="true" outlineLevel="0" collapsed="false">
      <c r="A320" s="12" t="s">
        <v>1013</v>
      </c>
      <c r="B320" s="14" t="n">
        <v>18.885</v>
      </c>
      <c r="C320" s="14" t="str">
        <f aca="false">IF('MRR Conglomerado'!AH320&gt;0,'MRR Conglomerado'!AH320,"")</f>
        <v/>
      </c>
      <c r="D320" s="14" t="str">
        <f aca="false">IF(C320="","",'MRR Conglomerado'!AT320)</f>
        <v/>
      </c>
      <c r="E320" s="15" t="str">
        <f aca="false">IF(C320="","",D320/C320)</f>
        <v/>
      </c>
      <c r="F320" s="14" t="str">
        <f aca="false">IF(C320="","",C320/B320)</f>
        <v/>
      </c>
      <c r="G320" s="12" t="str">
        <f aca="false">IF(F320="","",IF(F320&lt;100,"Menos de 100 USD",IF(F320&lt;500,"100 a 500 USD",IF(F320&lt;2000,"500 a 2.000 USD","Más de 2.000 USD"))))</f>
        <v/>
      </c>
      <c r="H320" s="14" t="str">
        <f aca="false">IF(C320="","",MIN(D320,C320))</f>
        <v/>
      </c>
    </row>
    <row r="321" customFormat="false" ht="15" hidden="false" customHeight="true" outlineLevel="0" collapsed="false">
      <c r="A321" s="12" t="s">
        <v>1016</v>
      </c>
      <c r="B321" s="14" t="n">
        <v>18.885</v>
      </c>
      <c r="C321" s="14" t="str">
        <f aca="false">IF('MRR Conglomerado'!AH321&gt;0,'MRR Conglomerado'!AH321,"")</f>
        <v/>
      </c>
      <c r="D321" s="14" t="str">
        <f aca="false">IF(C321="","",'MRR Conglomerado'!AT321)</f>
        <v/>
      </c>
      <c r="E321" s="15" t="str">
        <f aca="false">IF(C321="","",D321/C321)</f>
        <v/>
      </c>
      <c r="F321" s="14" t="str">
        <f aca="false">IF(C321="","",C321/B321)</f>
        <v/>
      </c>
      <c r="G321" s="12" t="str">
        <f aca="false">IF(F321="","",IF(F321&lt;100,"Menos de 100 USD",IF(F321&lt;500,"100 a 500 USD",IF(F321&lt;2000,"500 a 2.000 USD","Más de 2.000 USD"))))</f>
        <v/>
      </c>
      <c r="H321" s="14" t="str">
        <f aca="false">IF(C321="","",MIN(D321,C321))</f>
        <v/>
      </c>
    </row>
    <row r="322" customFormat="false" ht="15" hidden="false" customHeight="true" outlineLevel="0" collapsed="false">
      <c r="A322" s="12" t="s">
        <v>1019</v>
      </c>
      <c r="B322" s="14" t="n">
        <v>18.885</v>
      </c>
      <c r="C322" s="14" t="str">
        <f aca="false">IF('MRR Conglomerado'!AH322&gt;0,'MRR Conglomerado'!AH322,"")</f>
        <v/>
      </c>
      <c r="D322" s="14" t="str">
        <f aca="false">IF(C322="","",'MRR Conglomerado'!AT322)</f>
        <v/>
      </c>
      <c r="E322" s="15" t="str">
        <f aca="false">IF(C322="","",D322/C322)</f>
        <v/>
      </c>
      <c r="F322" s="14" t="str">
        <f aca="false">IF(C322="","",C322/B322)</f>
        <v/>
      </c>
      <c r="G322" s="12" t="str">
        <f aca="false">IF(F322="","",IF(F322&lt;100,"Menos de 100 USD",IF(F322&lt;500,"100 a 500 USD",IF(F322&lt;2000,"500 a 2.000 USD","Más de 2.000 USD"))))</f>
        <v/>
      </c>
      <c r="H322" s="14" t="str">
        <f aca="false">IF(C322="","",MIN(D322,C322))</f>
        <v/>
      </c>
    </row>
    <row r="323" customFormat="false" ht="15" hidden="false" customHeight="true" outlineLevel="0" collapsed="false">
      <c r="A323" s="12" t="s">
        <v>1022</v>
      </c>
      <c r="B323" s="14" t="n">
        <v>18.885</v>
      </c>
      <c r="C323" s="14" t="str">
        <f aca="false">IF('MRR Conglomerado'!AH323&gt;0,'MRR Conglomerado'!AH323,"")</f>
        <v/>
      </c>
      <c r="D323" s="14" t="str">
        <f aca="false">IF(C323="","",'MRR Conglomerado'!AT323)</f>
        <v/>
      </c>
      <c r="E323" s="15" t="str">
        <f aca="false">IF(C323="","",D323/C323)</f>
        <v/>
      </c>
      <c r="F323" s="14" t="str">
        <f aca="false">IF(C323="","",C323/B323)</f>
        <v/>
      </c>
      <c r="G323" s="12" t="str">
        <f aca="false">IF(F323="","",IF(F323&lt;100,"Menos de 100 USD",IF(F323&lt;500,"100 a 500 USD",IF(F323&lt;2000,"500 a 2.000 USD","Más de 2.000 USD"))))</f>
        <v/>
      </c>
      <c r="H323" s="14" t="str">
        <f aca="false">IF(C323="","",MIN(D323,C323))</f>
        <v/>
      </c>
    </row>
    <row r="324" customFormat="false" ht="15" hidden="false" customHeight="true" outlineLevel="0" collapsed="false">
      <c r="A324" s="12" t="s">
        <v>1025</v>
      </c>
      <c r="B324" s="14" t="n">
        <v>18.885</v>
      </c>
      <c r="C324" s="14" t="n">
        <f aca="false">IF('MRR Conglomerado'!AH324&gt;0,'MRR Conglomerado'!AH324,"")</f>
        <v>5876.6343</v>
      </c>
      <c r="D324" s="14" t="n">
        <f aca="false">IF(C324="","",'MRR Conglomerado'!AT324)</f>
        <v>0</v>
      </c>
      <c r="E324" s="15" t="n">
        <f aca="false">IF(C324="","",D324/C324)</f>
        <v>0</v>
      </c>
      <c r="F324" s="14" t="n">
        <f aca="false">IF(C324="","",C324/B324)</f>
        <v>311.18</v>
      </c>
      <c r="G324" s="12" t="str">
        <f aca="false">IF(F324="","",IF(F324&lt;100,"Menos de 100 USD",IF(F324&lt;500,"100 a 500 USD",IF(F324&lt;2000,"500 a 2.000 USD","Más de 2.000 USD"))))</f>
        <v>100 a 500 USD</v>
      </c>
      <c r="H324" s="14" t="n">
        <f aca="false">IF(C324="","",MIN(D324,C324))</f>
        <v>0</v>
      </c>
    </row>
    <row r="325" customFormat="false" ht="15" hidden="false" customHeight="true" outlineLevel="0" collapsed="false">
      <c r="A325" s="12" t="s">
        <v>1028</v>
      </c>
      <c r="B325" s="14" t="n">
        <v>18.885</v>
      </c>
      <c r="C325" s="14" t="n">
        <f aca="false">IF('MRR Conglomerado'!AH325&gt;0,'MRR Conglomerado'!AH325,"")</f>
        <v>4335.05175</v>
      </c>
      <c r="D325" s="14" t="n">
        <f aca="false">IF(C325="","",'MRR Conglomerado'!AT325)</f>
        <v>4710.030592</v>
      </c>
      <c r="E325" s="15" t="n">
        <f aca="false">IF(C325="","",D325/C325)</f>
        <v>1.08649927696942</v>
      </c>
      <c r="F325" s="14" t="n">
        <f aca="false">IF(C325="","",C325/B325)</f>
        <v>229.55</v>
      </c>
      <c r="G325" s="12" t="str">
        <f aca="false">IF(F325="","",IF(F325&lt;100,"Menos de 100 USD",IF(F325&lt;500,"100 a 500 USD",IF(F325&lt;2000,"500 a 2.000 USD","Más de 2.000 USD"))))</f>
        <v>100 a 500 USD</v>
      </c>
      <c r="H325" s="14" t="n">
        <f aca="false">IF(C325="","",MIN(D325,C325))</f>
        <v>4335.05175</v>
      </c>
    </row>
    <row r="326" customFormat="false" ht="15" hidden="false" customHeight="true" outlineLevel="0" collapsed="false">
      <c r="A326" s="12" t="s">
        <v>1031</v>
      </c>
      <c r="B326" s="14" t="n">
        <v>18.885</v>
      </c>
      <c r="C326" s="14" t="n">
        <f aca="false">IF('MRR Conglomerado'!AH326&gt;0,'MRR Conglomerado'!AH326,"")</f>
        <v>781.65015</v>
      </c>
      <c r="D326" s="14" t="n">
        <f aca="false">IF(C326="","",'MRR Conglomerado'!AT326)</f>
        <v>985.34008</v>
      </c>
      <c r="E326" s="15" t="n">
        <f aca="false">IF(C326="","",D326/C326)</f>
        <v>1.26058963847189</v>
      </c>
      <c r="F326" s="14" t="n">
        <f aca="false">IF(C326="","",C326/B326)</f>
        <v>41.39</v>
      </c>
      <c r="G326" s="12" t="str">
        <f aca="false">IF(F326="","",IF(F326&lt;100,"Menos de 100 USD",IF(F326&lt;500,"100 a 500 USD",IF(F326&lt;2000,"500 a 2.000 USD","Más de 2.000 USD"))))</f>
        <v>Menos de 100 USD</v>
      </c>
      <c r="H326" s="14" t="n">
        <f aca="false">IF(C326="","",MIN(D326,C326))</f>
        <v>781.65015</v>
      </c>
    </row>
    <row r="327" customFormat="false" ht="15" hidden="false" customHeight="true" outlineLevel="0" collapsed="false">
      <c r="A327" s="12" t="s">
        <v>1034</v>
      </c>
      <c r="B327" s="14" t="n">
        <v>18.885</v>
      </c>
      <c r="C327" s="14" t="n">
        <f aca="false">IF('MRR Conglomerado'!AH327&gt;0,'MRR Conglomerado'!AH327,"")</f>
        <v>478.35705</v>
      </c>
      <c r="D327" s="14" t="n">
        <f aca="false">IF(C327="","",'MRR Conglomerado'!AT327)</f>
        <v>495.995344</v>
      </c>
      <c r="E327" s="15" t="n">
        <f aca="false">IF(C327="","",D327/C327)</f>
        <v>1.0368726540144</v>
      </c>
      <c r="F327" s="14" t="n">
        <f aca="false">IF(C327="","",C327/B327)</f>
        <v>25.33</v>
      </c>
      <c r="G327" s="12" t="str">
        <f aca="false">IF(F327="","",IF(F327&lt;100,"Menos de 100 USD",IF(F327&lt;500,"100 a 500 USD",IF(F327&lt;2000,"500 a 2.000 USD","Más de 2.000 USD"))))</f>
        <v>Menos de 100 USD</v>
      </c>
      <c r="H327" s="14" t="n">
        <f aca="false">IF(C327="","",MIN(D327,C327))</f>
        <v>478.35705</v>
      </c>
    </row>
    <row r="328" customFormat="false" ht="15" hidden="false" customHeight="true" outlineLevel="0" collapsed="false">
      <c r="A328" s="12" t="s">
        <v>1037</v>
      </c>
      <c r="B328" s="14" t="n">
        <v>18.885</v>
      </c>
      <c r="C328" s="14" t="n">
        <f aca="false">IF('MRR Conglomerado'!AH328&gt;0,'MRR Conglomerado'!AH328,"")</f>
        <v>7334.934</v>
      </c>
      <c r="D328" s="14" t="n">
        <f aca="false">IF(C328="","",'MRR Conglomerado'!AT328)</f>
        <v>41.478792</v>
      </c>
      <c r="E328" s="15" t="n">
        <f aca="false">IF(C328="","",D328/C328)</f>
        <v>0.00565496458454841</v>
      </c>
      <c r="F328" s="14" t="n">
        <f aca="false">IF(C328="","",C328/B328)</f>
        <v>388.4</v>
      </c>
      <c r="G328" s="12" t="str">
        <f aca="false">IF(F328="","",IF(F328&lt;100,"Menos de 100 USD",IF(F328&lt;500,"100 a 500 USD",IF(F328&lt;2000,"500 a 2.000 USD","Más de 2.000 USD"))))</f>
        <v>100 a 500 USD</v>
      </c>
      <c r="H328" s="14" t="n">
        <f aca="false">IF(C328="","",MIN(D328,C328))</f>
        <v>41.478792</v>
      </c>
    </row>
    <row r="329" customFormat="false" ht="15" hidden="false" customHeight="true" outlineLevel="0" collapsed="false">
      <c r="A329" s="12" t="s">
        <v>1040</v>
      </c>
      <c r="B329" s="14" t="n">
        <v>18.885</v>
      </c>
      <c r="C329" s="14" t="n">
        <f aca="false">IF('MRR Conglomerado'!AH329&gt;0,'MRR Conglomerado'!AH329,"")</f>
        <v>1628.07585</v>
      </c>
      <c r="D329" s="14" t="n">
        <f aca="false">IF(C329="","",'MRR Conglomerado'!AT329)</f>
        <v>0</v>
      </c>
      <c r="E329" s="15" t="n">
        <f aca="false">IF(C329="","",D329/C329)</f>
        <v>0</v>
      </c>
      <c r="F329" s="14" t="n">
        <f aca="false">IF(C329="","",C329/B329)</f>
        <v>86.21</v>
      </c>
      <c r="G329" s="12" t="str">
        <f aca="false">IF(F329="","",IF(F329&lt;100,"Menos de 100 USD",IF(F329&lt;500,"100 a 500 USD",IF(F329&lt;2000,"500 a 2.000 USD","Más de 2.000 USD"))))</f>
        <v>Menos de 100 USD</v>
      </c>
      <c r="H329" s="14" t="n">
        <f aca="false">IF(C329="","",MIN(D329,C329))</f>
        <v>0</v>
      </c>
    </row>
    <row r="330" customFormat="false" ht="15" hidden="false" customHeight="true" outlineLevel="0" collapsed="false">
      <c r="A330" s="12" t="s">
        <v>1043</v>
      </c>
      <c r="B330" s="14" t="n">
        <v>18.885</v>
      </c>
      <c r="C330" s="14" t="n">
        <f aca="false">IF('MRR Conglomerado'!AH330&gt;0,'MRR Conglomerado'!AH330,"")</f>
        <v>260.613</v>
      </c>
      <c r="D330" s="14" t="n">
        <f aca="false">IF(C330="","",'MRR Conglomerado'!AT330)</f>
        <v>0</v>
      </c>
      <c r="E330" s="15" t="n">
        <f aca="false">IF(C330="","",D330/C330)</f>
        <v>0</v>
      </c>
      <c r="F330" s="14" t="n">
        <f aca="false">IF(C330="","",C330/B330)</f>
        <v>13.8</v>
      </c>
      <c r="G330" s="12" t="str">
        <f aca="false">IF(F330="","",IF(F330&lt;100,"Menos de 100 USD",IF(F330&lt;500,"100 a 500 USD",IF(F330&lt;2000,"500 a 2.000 USD","Más de 2.000 USD"))))</f>
        <v>Menos de 100 USD</v>
      </c>
      <c r="H330" s="14" t="n">
        <f aca="false">IF(C330="","",MIN(D330,C330))</f>
        <v>0</v>
      </c>
    </row>
    <row r="331" customFormat="false" ht="15" hidden="false" customHeight="true" outlineLevel="0" collapsed="false">
      <c r="A331" s="12" t="s">
        <v>1046</v>
      </c>
      <c r="B331" s="14" t="n">
        <v>18.885</v>
      </c>
      <c r="C331" s="14" t="n">
        <f aca="false">IF('MRR Conglomerado'!AH331&gt;0,'MRR Conglomerado'!AH331,"")</f>
        <v>799.9686</v>
      </c>
      <c r="D331" s="14" t="n">
        <f aca="false">IF(C331="","",'MRR Conglomerado'!AT331)</f>
        <v>1140.054224</v>
      </c>
      <c r="E331" s="15" t="n">
        <f aca="false">IF(C331="","",D331/C331)</f>
        <v>1.42512371610586</v>
      </c>
      <c r="F331" s="14" t="n">
        <f aca="false">IF(C331="","",C331/B331)</f>
        <v>42.36</v>
      </c>
      <c r="G331" s="12" t="str">
        <f aca="false">IF(F331="","",IF(F331&lt;100,"Menos de 100 USD",IF(F331&lt;500,"100 a 500 USD",IF(F331&lt;2000,"500 a 2.000 USD","Más de 2.000 USD"))))</f>
        <v>Menos de 100 USD</v>
      </c>
      <c r="H331" s="14" t="n">
        <f aca="false">IF(C331="","",MIN(D331,C331))</f>
        <v>799.9686</v>
      </c>
    </row>
    <row r="332" customFormat="false" ht="15" hidden="false" customHeight="true" outlineLevel="0" collapsed="false">
      <c r="A332" s="12" t="s">
        <v>1049</v>
      </c>
      <c r="B332" s="14" t="n">
        <v>18.885</v>
      </c>
      <c r="C332" s="14" t="str">
        <f aca="false">IF('MRR Conglomerado'!AH332&gt;0,'MRR Conglomerado'!AH332,"")</f>
        <v/>
      </c>
      <c r="D332" s="14" t="str">
        <f aca="false">IF(C332="","",'MRR Conglomerado'!AT332)</f>
        <v/>
      </c>
      <c r="E332" s="15" t="str">
        <f aca="false">IF(C332="","",D332/C332)</f>
        <v/>
      </c>
      <c r="F332" s="14" t="str">
        <f aca="false">IF(C332="","",C332/B332)</f>
        <v/>
      </c>
      <c r="G332" s="12" t="str">
        <f aca="false">IF(F332="","",IF(F332&lt;100,"Menos de 100 USD",IF(F332&lt;500,"100 a 500 USD",IF(F332&lt;2000,"500 a 2.000 USD","Más de 2.000 USD"))))</f>
        <v/>
      </c>
      <c r="H332" s="14" t="str">
        <f aca="false">IF(C332="","",MIN(D332,C332))</f>
        <v/>
      </c>
    </row>
    <row r="333" customFormat="false" ht="15" hidden="false" customHeight="true" outlineLevel="0" collapsed="false">
      <c r="A333" s="12" t="s">
        <v>1052</v>
      </c>
      <c r="B333" s="14" t="n">
        <v>18.885</v>
      </c>
      <c r="C333" s="14" t="n">
        <f aca="false">IF('MRR Conglomerado'!AH333&gt;0,'MRR Conglomerado'!AH333,"")</f>
        <v>878.1525</v>
      </c>
      <c r="D333" s="14" t="n">
        <f aca="false">IF(C333="","",'MRR Conglomerado'!AT333)</f>
        <v>910.433232</v>
      </c>
      <c r="E333" s="15" t="n">
        <f aca="false">IF(C333="","",D333/C333)</f>
        <v>1.0367598247457</v>
      </c>
      <c r="F333" s="14" t="n">
        <f aca="false">IF(C333="","",C333/B333)</f>
        <v>46.5</v>
      </c>
      <c r="G333" s="12" t="str">
        <f aca="false">IF(F333="","",IF(F333&lt;100,"Menos de 100 USD",IF(F333&lt;500,"100 a 500 USD",IF(F333&lt;2000,"500 a 2.000 USD","Más de 2.000 USD"))))</f>
        <v>Menos de 100 USD</v>
      </c>
      <c r="H333" s="14" t="n">
        <f aca="false">IF(C333="","",MIN(D333,C333))</f>
        <v>878.1525</v>
      </c>
    </row>
    <row r="334" customFormat="false" ht="15" hidden="false" customHeight="true" outlineLevel="0" collapsed="false">
      <c r="A334" s="12" t="s">
        <v>1055</v>
      </c>
      <c r="B334" s="14" t="n">
        <v>18.885</v>
      </c>
      <c r="C334" s="14" t="str">
        <f aca="false">IF('MRR Conglomerado'!AH334&gt;0,'MRR Conglomerado'!AH334,"")</f>
        <v/>
      </c>
      <c r="D334" s="14" t="str">
        <f aca="false">IF(C334="","",'MRR Conglomerado'!AT334)</f>
        <v/>
      </c>
      <c r="E334" s="15" t="str">
        <f aca="false">IF(C334="","",D334/C334)</f>
        <v/>
      </c>
      <c r="F334" s="14" t="str">
        <f aca="false">IF(C334="","",C334/B334)</f>
        <v/>
      </c>
      <c r="G334" s="12" t="str">
        <f aca="false">IF(F334="","",IF(F334&lt;100,"Menos de 100 USD",IF(F334&lt;500,"100 a 500 USD",IF(F334&lt;2000,"500 a 2.000 USD","Más de 2.000 USD"))))</f>
        <v/>
      </c>
      <c r="H334" s="14" t="str">
        <f aca="false">IF(C334="","",MIN(D334,C334))</f>
        <v/>
      </c>
    </row>
    <row r="335" customFormat="false" ht="15" hidden="false" customHeight="true" outlineLevel="0" collapsed="false">
      <c r="A335" s="12" t="s">
        <v>1058</v>
      </c>
      <c r="B335" s="14" t="n">
        <v>18.885</v>
      </c>
      <c r="C335" s="14" t="str">
        <f aca="false">IF('MRR Conglomerado'!AH335&gt;0,'MRR Conglomerado'!AH335,"")</f>
        <v/>
      </c>
      <c r="D335" s="14" t="str">
        <f aca="false">IF(C335="","",'MRR Conglomerado'!AT335)</f>
        <v/>
      </c>
      <c r="E335" s="15" t="str">
        <f aca="false">IF(C335="","",D335/C335)</f>
        <v/>
      </c>
      <c r="F335" s="14" t="str">
        <f aca="false">IF(C335="","",C335/B335)</f>
        <v/>
      </c>
      <c r="G335" s="12" t="str">
        <f aca="false">IF(F335="","",IF(F335&lt;100,"Menos de 100 USD",IF(F335&lt;500,"100 a 500 USD",IF(F335&lt;2000,"500 a 2.000 USD","Más de 2.000 USD"))))</f>
        <v/>
      </c>
      <c r="H335" s="14" t="str">
        <f aca="false">IF(C335="","",MIN(D335,C335))</f>
        <v/>
      </c>
    </row>
    <row r="336" customFormat="false" ht="15" hidden="false" customHeight="true" outlineLevel="0" collapsed="false">
      <c r="A336" s="12" t="s">
        <v>1061</v>
      </c>
      <c r="B336" s="14" t="n">
        <v>18.885</v>
      </c>
      <c r="C336" s="14" t="n">
        <f aca="false">IF('MRR Conglomerado'!AH336&gt;0,'MRR Conglomerado'!AH336,"")</f>
        <v>295.55025</v>
      </c>
      <c r="D336" s="14" t="n">
        <f aca="false">IF(C336="","",'MRR Conglomerado'!AT336)</f>
        <v>306.278</v>
      </c>
      <c r="E336" s="15" t="n">
        <f aca="false">IF(C336="","",D336/C336)</f>
        <v>1.0362975500782</v>
      </c>
      <c r="F336" s="14" t="n">
        <f aca="false">IF(C336="","",C336/B336)</f>
        <v>15.65</v>
      </c>
      <c r="G336" s="12" t="str">
        <f aca="false">IF(F336="","",IF(F336&lt;100,"Menos de 100 USD",IF(F336&lt;500,"100 a 500 USD",IF(F336&lt;2000,"500 a 2.000 USD","Más de 2.000 USD"))))</f>
        <v>Menos de 100 USD</v>
      </c>
      <c r="H336" s="14" t="n">
        <f aca="false">IF(C336="","",MIN(D336,C336))</f>
        <v>295.55025</v>
      </c>
    </row>
    <row r="337" customFormat="false" ht="15" hidden="false" customHeight="true" outlineLevel="0" collapsed="false">
      <c r="A337" s="12" t="s">
        <v>1064</v>
      </c>
      <c r="B337" s="14" t="n">
        <v>18.885</v>
      </c>
      <c r="C337" s="14" t="n">
        <f aca="false">IF('MRR Conglomerado'!AH337&gt;0,'MRR Conglomerado'!AH337,"")</f>
        <v>4554.11775</v>
      </c>
      <c r="D337" s="14" t="n">
        <f aca="false">IF(C337="","",'MRR Conglomerado'!AT337)</f>
        <v>4555.841496</v>
      </c>
      <c r="E337" s="15" t="n">
        <f aca="false">IF(C337="","",D337/C337)</f>
        <v>1.00037850272975</v>
      </c>
      <c r="F337" s="14" t="n">
        <f aca="false">IF(C337="","",C337/B337)</f>
        <v>241.15</v>
      </c>
      <c r="G337" s="12" t="str">
        <f aca="false">IF(F337="","",IF(F337&lt;100,"Menos de 100 USD",IF(F337&lt;500,"100 a 500 USD",IF(F337&lt;2000,"500 a 2.000 USD","Más de 2.000 USD"))))</f>
        <v>100 a 500 USD</v>
      </c>
      <c r="H337" s="14" t="n">
        <f aca="false">IF(C337="","",MIN(D337,C337))</f>
        <v>4554.11775</v>
      </c>
    </row>
    <row r="338" customFormat="false" ht="15" hidden="false" customHeight="true" outlineLevel="0" collapsed="false">
      <c r="A338" s="12" t="s">
        <v>1067</v>
      </c>
      <c r="B338" s="14" t="n">
        <v>18.885</v>
      </c>
      <c r="C338" s="14" t="str">
        <f aca="false">IF('MRR Conglomerado'!AH338&gt;0,'MRR Conglomerado'!AH338,"")</f>
        <v/>
      </c>
      <c r="D338" s="14" t="str">
        <f aca="false">IF(C338="","",'MRR Conglomerado'!AT338)</f>
        <v/>
      </c>
      <c r="E338" s="15" t="str">
        <f aca="false">IF(C338="","",D338/C338)</f>
        <v/>
      </c>
      <c r="F338" s="14" t="str">
        <f aca="false">IF(C338="","",C338/B338)</f>
        <v/>
      </c>
      <c r="G338" s="12" t="str">
        <f aca="false">IF(F338="","",IF(F338&lt;100,"Menos de 100 USD",IF(F338&lt;500,"100 a 500 USD",IF(F338&lt;2000,"500 a 2.000 USD","Más de 2.000 USD"))))</f>
        <v/>
      </c>
      <c r="H338" s="14" t="str">
        <f aca="false">IF(C338="","",MIN(D338,C338))</f>
        <v/>
      </c>
    </row>
    <row r="339" customFormat="false" ht="15" hidden="false" customHeight="true" outlineLevel="0" collapsed="false">
      <c r="A339" s="12" t="s">
        <v>1070</v>
      </c>
      <c r="B339" s="14" t="n">
        <v>18.885</v>
      </c>
      <c r="C339" s="14" t="n">
        <f aca="false">IF('MRR Conglomerado'!AH339&gt;0,'MRR Conglomerado'!AH339,"")</f>
        <v>2777.41695</v>
      </c>
      <c r="D339" s="14" t="n">
        <f aca="false">IF(C339="","",'MRR Conglomerado'!AT339)</f>
        <v>3230.970376</v>
      </c>
      <c r="E339" s="15" t="n">
        <f aca="false">IF(C339="","",D339/C339)</f>
        <v>1.1633004457613</v>
      </c>
      <c r="F339" s="14" t="n">
        <f aca="false">IF(C339="","",C339/B339)</f>
        <v>147.07</v>
      </c>
      <c r="G339" s="12" t="str">
        <f aca="false">IF(F339="","",IF(F339&lt;100,"Menos de 100 USD",IF(F339&lt;500,"100 a 500 USD",IF(F339&lt;2000,"500 a 2.000 USD","Más de 2.000 USD"))))</f>
        <v>100 a 500 USD</v>
      </c>
      <c r="H339" s="14" t="n">
        <f aca="false">IF(C339="","",MIN(D339,C339))</f>
        <v>2777.41695</v>
      </c>
    </row>
    <row r="340" customFormat="false" ht="15" hidden="false" customHeight="true" outlineLevel="0" collapsed="false">
      <c r="A340" s="12" t="s">
        <v>1073</v>
      </c>
      <c r="B340" s="14" t="n">
        <v>18.885</v>
      </c>
      <c r="C340" s="14" t="str">
        <f aca="false">IF('MRR Conglomerado'!AH340&gt;0,'MRR Conglomerado'!AH340,"")</f>
        <v/>
      </c>
      <c r="D340" s="14" t="str">
        <f aca="false">IF(C340="","",'MRR Conglomerado'!AT340)</f>
        <v/>
      </c>
      <c r="E340" s="15" t="str">
        <f aca="false">IF(C340="","",D340/C340)</f>
        <v/>
      </c>
      <c r="F340" s="14" t="str">
        <f aca="false">IF(C340="","",C340/B340)</f>
        <v/>
      </c>
      <c r="G340" s="12" t="str">
        <f aca="false">IF(F340="","",IF(F340&lt;100,"Menos de 100 USD",IF(F340&lt;500,"100 a 500 USD",IF(F340&lt;2000,"500 a 2.000 USD","Más de 2.000 USD"))))</f>
        <v/>
      </c>
      <c r="H340" s="14" t="str">
        <f aca="false">IF(C340="","",MIN(D340,C340))</f>
        <v/>
      </c>
    </row>
    <row r="341" customFormat="false" ht="15" hidden="false" customHeight="true" outlineLevel="0" collapsed="false">
      <c r="A341" s="12" t="s">
        <v>1076</v>
      </c>
      <c r="B341" s="14" t="n">
        <v>18.885</v>
      </c>
      <c r="C341" s="14" t="n">
        <f aca="false">IF('MRR Conglomerado'!AH341&gt;0,'MRR Conglomerado'!AH341,"")</f>
        <v>5810.9145</v>
      </c>
      <c r="D341" s="14" t="n">
        <f aca="false">IF(C341="","",'MRR Conglomerado'!AT341)</f>
        <v>60144.073384</v>
      </c>
      <c r="E341" s="15" t="n">
        <f aca="false">IF(C341="","",D341/C341)</f>
        <v>10.3501907288431</v>
      </c>
      <c r="F341" s="14" t="n">
        <f aca="false">IF(C341="","",C341/B341)</f>
        <v>307.7</v>
      </c>
      <c r="G341" s="12" t="str">
        <f aca="false">IF(F341="","",IF(F341&lt;100,"Menos de 100 USD",IF(F341&lt;500,"100 a 500 USD",IF(F341&lt;2000,"500 a 2.000 USD","Más de 2.000 USD"))))</f>
        <v>100 a 500 USD</v>
      </c>
      <c r="H341" s="14" t="n">
        <f aca="false">IF(C341="","",MIN(D341,C341))</f>
        <v>5810.9145</v>
      </c>
    </row>
    <row r="342" customFormat="false" ht="15" hidden="false" customHeight="true" outlineLevel="0" collapsed="false">
      <c r="A342" s="12" t="s">
        <v>1079</v>
      </c>
      <c r="B342" s="14" t="n">
        <v>18.885</v>
      </c>
      <c r="C342" s="14" t="str">
        <f aca="false">IF('MRR Conglomerado'!AH342&gt;0,'MRR Conglomerado'!AH342,"")</f>
        <v/>
      </c>
      <c r="D342" s="14" t="str">
        <f aca="false">IF(C342="","",'MRR Conglomerado'!AT342)</f>
        <v/>
      </c>
      <c r="E342" s="15" t="str">
        <f aca="false">IF(C342="","",D342/C342)</f>
        <v/>
      </c>
      <c r="F342" s="14" t="str">
        <f aca="false">IF(C342="","",C342/B342)</f>
        <v/>
      </c>
      <c r="G342" s="12" t="str">
        <f aca="false">IF(F342="","",IF(F342&lt;100,"Menos de 100 USD",IF(F342&lt;500,"100 a 500 USD",IF(F342&lt;2000,"500 a 2.000 USD","Más de 2.000 USD"))))</f>
        <v/>
      </c>
      <c r="H342" s="14" t="str">
        <f aca="false">IF(C342="","",MIN(D342,C342))</f>
        <v/>
      </c>
    </row>
    <row r="343" customFormat="false" ht="15" hidden="false" customHeight="true" outlineLevel="0" collapsed="false">
      <c r="A343" s="12" t="s">
        <v>1082</v>
      </c>
      <c r="B343" s="14" t="n">
        <v>18.885</v>
      </c>
      <c r="C343" s="14" t="str">
        <f aca="false">IF('MRR Conglomerado'!AH343&gt;0,'MRR Conglomerado'!AH343,"")</f>
        <v/>
      </c>
      <c r="D343" s="14" t="str">
        <f aca="false">IF(C343="","",'MRR Conglomerado'!AT343)</f>
        <v/>
      </c>
      <c r="E343" s="15" t="str">
        <f aca="false">IF(C343="","",D343/C343)</f>
        <v/>
      </c>
      <c r="F343" s="14" t="str">
        <f aca="false">IF(C343="","",C343/B343)</f>
        <v/>
      </c>
      <c r="G343" s="12" t="str">
        <f aca="false">IF(F343="","",IF(F343&lt;100,"Menos de 100 USD",IF(F343&lt;500,"100 a 500 USD",IF(F343&lt;2000,"500 a 2.000 USD","Más de 2.000 USD"))))</f>
        <v/>
      </c>
      <c r="H343" s="14" t="str">
        <f aca="false">IF(C343="","",MIN(D343,C343))</f>
        <v/>
      </c>
    </row>
    <row r="344" customFormat="false" ht="15" hidden="false" customHeight="true" outlineLevel="0" collapsed="false">
      <c r="A344" s="12" t="s">
        <v>1085</v>
      </c>
      <c r="B344" s="14" t="n">
        <v>18.885</v>
      </c>
      <c r="C344" s="14" t="n">
        <f aca="false">IF('MRR Conglomerado'!AH344&gt;0,'MRR Conglomerado'!AH344,"")</f>
        <v>637.9353</v>
      </c>
      <c r="D344" s="14" t="n">
        <f aca="false">IF(C344="","",'MRR Conglomerado'!AT344)</f>
        <v>551.125384</v>
      </c>
      <c r="E344" s="15" t="n">
        <f aca="false">IF(C344="","",D344/C344)</f>
        <v>0.863920501028866</v>
      </c>
      <c r="F344" s="14" t="n">
        <f aca="false">IF(C344="","",C344/B344)</f>
        <v>33.78</v>
      </c>
      <c r="G344" s="12" t="str">
        <f aca="false">IF(F344="","",IF(F344&lt;100,"Menos de 100 USD",IF(F344&lt;500,"100 a 500 USD",IF(F344&lt;2000,"500 a 2.000 USD","Más de 2.000 USD"))))</f>
        <v>Menos de 100 USD</v>
      </c>
      <c r="H344" s="14" t="n">
        <f aca="false">IF(C344="","",MIN(D344,C344))</f>
        <v>551.125384</v>
      </c>
    </row>
    <row r="345" customFormat="false" ht="15" hidden="false" customHeight="true" outlineLevel="0" collapsed="false">
      <c r="A345" s="12" t="s">
        <v>1088</v>
      </c>
      <c r="B345" s="14" t="n">
        <v>18.885</v>
      </c>
      <c r="C345" s="14" t="n">
        <f aca="false">IF('MRR Conglomerado'!AH345&gt;0,'MRR Conglomerado'!AH345,"")</f>
        <v>5894.0085</v>
      </c>
      <c r="D345" s="14" t="n">
        <f aca="false">IF(C345="","",'MRR Conglomerado'!AT345)</f>
        <v>5389.967752</v>
      </c>
      <c r="E345" s="15" t="n">
        <f aca="false">IF(C345="","",D345/C345)</f>
        <v>0.914482521021135</v>
      </c>
      <c r="F345" s="14" t="n">
        <f aca="false">IF(C345="","",C345/B345)</f>
        <v>312.1</v>
      </c>
      <c r="G345" s="12" t="str">
        <f aca="false">IF(F345="","",IF(F345&lt;100,"Menos de 100 USD",IF(F345&lt;500,"100 a 500 USD",IF(F345&lt;2000,"500 a 2.000 USD","Más de 2.000 USD"))))</f>
        <v>100 a 500 USD</v>
      </c>
      <c r="H345" s="14" t="n">
        <f aca="false">IF(C345="","",MIN(D345,C345))</f>
        <v>5389.967752</v>
      </c>
    </row>
    <row r="346" customFormat="false" ht="15" hidden="false" customHeight="true" outlineLevel="0" collapsed="false">
      <c r="A346" s="12" t="s">
        <v>1091</v>
      </c>
      <c r="B346" s="14" t="n">
        <v>18.885</v>
      </c>
      <c r="C346" s="14" t="str">
        <f aca="false">IF('MRR Conglomerado'!AH346&gt;0,'MRR Conglomerado'!AH346,"")</f>
        <v/>
      </c>
      <c r="D346" s="14" t="str">
        <f aca="false">IF(C346="","",'MRR Conglomerado'!AT346)</f>
        <v/>
      </c>
      <c r="E346" s="15" t="str">
        <f aca="false">IF(C346="","",D346/C346)</f>
        <v/>
      </c>
      <c r="F346" s="14" t="str">
        <f aca="false">IF(C346="","",C346/B346)</f>
        <v/>
      </c>
      <c r="G346" s="12" t="str">
        <f aca="false">IF(F346="","",IF(F346&lt;100,"Menos de 100 USD",IF(F346&lt;500,"100 a 500 USD",IF(F346&lt;2000,"500 a 2.000 USD","Más de 2.000 USD"))))</f>
        <v/>
      </c>
      <c r="H346" s="14" t="str">
        <f aca="false">IF(C346="","",MIN(D346,C346))</f>
        <v/>
      </c>
    </row>
    <row r="347" customFormat="false" ht="15" hidden="false" customHeight="true" outlineLevel="0" collapsed="false">
      <c r="A347" s="12" t="s">
        <v>1094</v>
      </c>
      <c r="B347" s="14" t="n">
        <v>18.885</v>
      </c>
      <c r="C347" s="14" t="n">
        <f aca="false">IF('MRR Conglomerado'!AH347&gt;0,'MRR Conglomerado'!AH347,"")</f>
        <v>6637.51095</v>
      </c>
      <c r="D347" s="14" t="n">
        <f aca="false">IF(C347="","",'MRR Conglomerado'!AT347)</f>
        <v>7374.824208</v>
      </c>
      <c r="E347" s="15" t="n">
        <f aca="false">IF(C347="","",D347/C347)</f>
        <v>1.11108279346793</v>
      </c>
      <c r="F347" s="14" t="n">
        <f aca="false">IF(C347="","",C347/B347)</f>
        <v>351.47</v>
      </c>
      <c r="G347" s="12" t="str">
        <f aca="false">IF(F347="","",IF(F347&lt;100,"Menos de 100 USD",IF(F347&lt;500,"100 a 500 USD",IF(F347&lt;2000,"500 a 2.000 USD","Más de 2.000 USD"))))</f>
        <v>100 a 500 USD</v>
      </c>
      <c r="H347" s="14" t="n">
        <f aca="false">IF(C347="","",MIN(D347,C347))</f>
        <v>6637.51095</v>
      </c>
    </row>
    <row r="348" customFormat="false" ht="15" hidden="false" customHeight="true" outlineLevel="0" collapsed="false">
      <c r="A348" s="12" t="s">
        <v>1097</v>
      </c>
      <c r="B348" s="14" t="n">
        <v>18.885</v>
      </c>
      <c r="C348" s="14" t="n">
        <f aca="false">IF('MRR Conglomerado'!AH348&gt;0,'MRR Conglomerado'!AH348,"")</f>
        <v>6955.7232</v>
      </c>
      <c r="D348" s="14" t="n">
        <f aca="false">IF(C348="","",'MRR Conglomerado'!AT348)</f>
        <v>4772.336288</v>
      </c>
      <c r="E348" s="15" t="n">
        <f aca="false">IF(C348="","",D348/C348)</f>
        <v>0.686102099059951</v>
      </c>
      <c r="F348" s="14" t="n">
        <f aca="false">IF(C348="","",C348/B348)</f>
        <v>368.32</v>
      </c>
      <c r="G348" s="12" t="str">
        <f aca="false">IF(F348="","",IF(F348&lt;100,"Menos de 100 USD",IF(F348&lt;500,"100 a 500 USD",IF(F348&lt;2000,"500 a 2.000 USD","Más de 2.000 USD"))))</f>
        <v>100 a 500 USD</v>
      </c>
      <c r="H348" s="14" t="n">
        <f aca="false">IF(C348="","",MIN(D348,C348))</f>
        <v>4772.336288</v>
      </c>
    </row>
    <row r="349" customFormat="false" ht="15" hidden="false" customHeight="true" outlineLevel="0" collapsed="false">
      <c r="A349" s="12" t="s">
        <v>1100</v>
      </c>
      <c r="B349" s="14" t="n">
        <v>18.885</v>
      </c>
      <c r="C349" s="14" t="n">
        <f aca="false">IF('MRR Conglomerado'!AH349&gt;0,'MRR Conglomerado'!AH349,"")</f>
        <v>3560.01135</v>
      </c>
      <c r="D349" s="14" t="n">
        <f aca="false">IF(C349="","",'MRR Conglomerado'!AT349)</f>
        <v>0</v>
      </c>
      <c r="E349" s="15" t="n">
        <f aca="false">IF(C349="","",D349/C349)</f>
        <v>0</v>
      </c>
      <c r="F349" s="14" t="n">
        <f aca="false">IF(C349="","",C349/B349)</f>
        <v>188.51</v>
      </c>
      <c r="G349" s="12" t="str">
        <f aca="false">IF(F349="","",IF(F349&lt;100,"Menos de 100 USD",IF(F349&lt;500,"100 a 500 USD",IF(F349&lt;2000,"500 a 2.000 USD","Más de 2.000 USD"))))</f>
        <v>100 a 500 USD</v>
      </c>
      <c r="H349" s="14" t="n">
        <f aca="false">IF(C349="","",MIN(D349,C349))</f>
        <v>0</v>
      </c>
    </row>
    <row r="350" customFormat="false" ht="15" hidden="false" customHeight="true" outlineLevel="0" collapsed="false">
      <c r="A350" s="12" t="s">
        <v>1103</v>
      </c>
      <c r="B350" s="14" t="n">
        <v>18.885</v>
      </c>
      <c r="C350" s="14" t="str">
        <f aca="false">IF('MRR Conglomerado'!AH350&gt;0,'MRR Conglomerado'!AH350,"")</f>
        <v/>
      </c>
      <c r="D350" s="14" t="str">
        <f aca="false">IF(C350="","",'MRR Conglomerado'!AT350)</f>
        <v/>
      </c>
      <c r="E350" s="15" t="str">
        <f aca="false">IF(C350="","",D350/C350)</f>
        <v/>
      </c>
      <c r="F350" s="14" t="str">
        <f aca="false">IF(C350="","",C350/B350)</f>
        <v/>
      </c>
      <c r="G350" s="12" t="str">
        <f aca="false">IF(F350="","",IF(F350&lt;100,"Menos de 100 USD",IF(F350&lt;500,"100 a 500 USD",IF(F350&lt;2000,"500 a 2.000 USD","Más de 2.000 USD"))))</f>
        <v/>
      </c>
      <c r="H350" s="14" t="str">
        <f aca="false">IF(C350="","",MIN(D350,C350))</f>
        <v/>
      </c>
    </row>
    <row r="351" customFormat="false" ht="15" hidden="false" customHeight="true" outlineLevel="0" collapsed="false">
      <c r="A351" s="12" t="s">
        <v>1106</v>
      </c>
      <c r="B351" s="14" t="n">
        <v>18.885</v>
      </c>
      <c r="C351" s="14" t="str">
        <f aca="false">IF('MRR Conglomerado'!AH351&gt;0,'MRR Conglomerado'!AH351,"")</f>
        <v/>
      </c>
      <c r="D351" s="14" t="str">
        <f aca="false">IF(C351="","",'MRR Conglomerado'!AT351)</f>
        <v/>
      </c>
      <c r="E351" s="15" t="str">
        <f aca="false">IF(C351="","",D351/C351)</f>
        <v/>
      </c>
      <c r="F351" s="14" t="str">
        <f aca="false">IF(C351="","",C351/B351)</f>
        <v/>
      </c>
      <c r="G351" s="12" t="str">
        <f aca="false">IF(F351="","",IF(F351&lt;100,"Menos de 100 USD",IF(F351&lt;500,"100 a 500 USD",IF(F351&lt;2000,"500 a 2.000 USD","Más de 2.000 USD"))))</f>
        <v/>
      </c>
      <c r="H351" s="14" t="str">
        <f aca="false">IF(C351="","",MIN(D351,C351))</f>
        <v/>
      </c>
    </row>
    <row r="352" customFormat="false" ht="15" hidden="false" customHeight="true" outlineLevel="0" collapsed="false">
      <c r="A352" s="12" t="s">
        <v>1109</v>
      </c>
      <c r="B352" s="14" t="n">
        <v>18.885</v>
      </c>
      <c r="C352" s="14" t="str">
        <f aca="false">IF('MRR Conglomerado'!AH352&gt;0,'MRR Conglomerado'!AH352,"")</f>
        <v/>
      </c>
      <c r="D352" s="14" t="str">
        <f aca="false">IF(C352="","",'MRR Conglomerado'!AT352)</f>
        <v/>
      </c>
      <c r="E352" s="15" t="str">
        <f aca="false">IF(C352="","",D352/C352)</f>
        <v/>
      </c>
      <c r="F352" s="14" t="str">
        <f aca="false">IF(C352="","",C352/B352)</f>
        <v/>
      </c>
      <c r="G352" s="12" t="str">
        <f aca="false">IF(F352="","",IF(F352&lt;100,"Menos de 100 USD",IF(F352&lt;500,"100 a 500 USD",IF(F352&lt;2000,"500 a 2.000 USD","Más de 2.000 USD"))))</f>
        <v/>
      </c>
      <c r="H352" s="14" t="str">
        <f aca="false">IF(C352="","",MIN(D352,C352))</f>
        <v/>
      </c>
    </row>
    <row r="353" customFormat="false" ht="15" hidden="false" customHeight="true" outlineLevel="0" collapsed="false">
      <c r="A353" s="12" t="s">
        <v>1112</v>
      </c>
      <c r="B353" s="14" t="n">
        <v>18.885</v>
      </c>
      <c r="C353" s="14" t="n">
        <f aca="false">IF('MRR Conglomerado'!AH353&gt;0,'MRR Conglomerado'!AH353,"")</f>
        <v>500.0748</v>
      </c>
      <c r="D353" s="14" t="n">
        <f aca="false">IF(C353="","",'MRR Conglomerado'!AT353)</f>
        <v>486.194448</v>
      </c>
      <c r="E353" s="15" t="n">
        <f aca="false">IF(C353="","",D353/C353)</f>
        <v>0.972243448380122</v>
      </c>
      <c r="F353" s="14" t="n">
        <f aca="false">IF(C353="","",C353/B353)</f>
        <v>26.48</v>
      </c>
      <c r="G353" s="12" t="str">
        <f aca="false">IF(F353="","",IF(F353&lt;100,"Menos de 100 USD",IF(F353&lt;500,"100 a 500 USD",IF(F353&lt;2000,"500 a 2.000 USD","Más de 2.000 USD"))))</f>
        <v>Menos de 100 USD</v>
      </c>
      <c r="H353" s="14" t="n">
        <f aca="false">IF(C353="","",MIN(D353,C353))</f>
        <v>486.194448</v>
      </c>
    </row>
    <row r="354" customFormat="false" ht="15" hidden="false" customHeight="true" outlineLevel="0" collapsed="false">
      <c r="A354" s="12" t="s">
        <v>1115</v>
      </c>
      <c r="B354" s="14" t="n">
        <v>18.885</v>
      </c>
      <c r="C354" s="14" t="n">
        <f aca="false">IF('MRR Conglomerado'!AH354&gt;0,'MRR Conglomerado'!AH354,"")</f>
        <v>2767.21905</v>
      </c>
      <c r="D354" s="14" t="n">
        <f aca="false">IF(C354="","",'MRR Conglomerado'!AT354)</f>
        <v>4771.986256</v>
      </c>
      <c r="E354" s="15" t="n">
        <f aca="false">IF(C354="","",D354/C354)</f>
        <v>1.72447000753338</v>
      </c>
      <c r="F354" s="14" t="n">
        <f aca="false">IF(C354="","",C354/B354)</f>
        <v>146.53</v>
      </c>
      <c r="G354" s="12" t="str">
        <f aca="false">IF(F354="","",IF(F354&lt;100,"Menos de 100 USD",IF(F354&lt;500,"100 a 500 USD",IF(F354&lt;2000,"500 a 2.000 USD","Más de 2.000 USD"))))</f>
        <v>100 a 500 USD</v>
      </c>
      <c r="H354" s="14" t="n">
        <f aca="false">IF(C354="","",MIN(D354,C354))</f>
        <v>2767.21905</v>
      </c>
    </row>
    <row r="355" customFormat="false" ht="15" hidden="false" customHeight="true" outlineLevel="0" collapsed="false">
      <c r="A355" s="12" t="s">
        <v>1118</v>
      </c>
      <c r="B355" s="14" t="n">
        <v>18.885</v>
      </c>
      <c r="C355" s="14" t="str">
        <f aca="false">IF('MRR Conglomerado'!AH355&gt;0,'MRR Conglomerado'!AH355,"")</f>
        <v/>
      </c>
      <c r="D355" s="14" t="str">
        <f aca="false">IF(C355="","",'MRR Conglomerado'!AT355)</f>
        <v/>
      </c>
      <c r="E355" s="15" t="str">
        <f aca="false">IF(C355="","",D355/C355)</f>
        <v/>
      </c>
      <c r="F355" s="14" t="str">
        <f aca="false">IF(C355="","",C355/B355)</f>
        <v/>
      </c>
      <c r="G355" s="12" t="str">
        <f aca="false">IF(F355="","",IF(F355&lt;100,"Menos de 100 USD",IF(F355&lt;500,"100 a 500 USD",IF(F355&lt;2000,"500 a 2.000 USD","Más de 2.000 USD"))))</f>
        <v/>
      </c>
      <c r="H355" s="14" t="str">
        <f aca="false">IF(C355="","",MIN(D355,C355))</f>
        <v/>
      </c>
    </row>
    <row r="356" customFormat="false" ht="15" hidden="false" customHeight="true" outlineLevel="0" collapsed="false">
      <c r="A356" s="12" t="s">
        <v>1121</v>
      </c>
      <c r="B356" s="14" t="n">
        <v>18.885</v>
      </c>
      <c r="C356" s="14" t="str">
        <f aca="false">IF('MRR Conglomerado'!AH356&gt;0,'MRR Conglomerado'!AH356,"")</f>
        <v/>
      </c>
      <c r="D356" s="14" t="str">
        <f aca="false">IF(C356="","",'MRR Conglomerado'!AT356)</f>
        <v/>
      </c>
      <c r="E356" s="15" t="str">
        <f aca="false">IF(C356="","",D356/C356)</f>
        <v/>
      </c>
      <c r="F356" s="14" t="str">
        <f aca="false">IF(C356="","",C356/B356)</f>
        <v/>
      </c>
      <c r="G356" s="12" t="str">
        <f aca="false">IF(F356="","",IF(F356&lt;100,"Menos de 100 USD",IF(F356&lt;500,"100 a 500 USD",IF(F356&lt;2000,"500 a 2.000 USD","Más de 2.000 USD"))))</f>
        <v/>
      </c>
      <c r="H356" s="14" t="str">
        <f aca="false">IF(C356="","",MIN(D356,C356))</f>
        <v/>
      </c>
    </row>
    <row r="357" customFormat="false" ht="15" hidden="false" customHeight="true" outlineLevel="0" collapsed="false">
      <c r="A357" s="12" t="s">
        <v>1124</v>
      </c>
      <c r="B357" s="14" t="n">
        <v>18.885</v>
      </c>
      <c r="C357" s="14" t="str">
        <f aca="false">IF('MRR Conglomerado'!AH357&gt;0,'MRR Conglomerado'!AH357,"")</f>
        <v/>
      </c>
      <c r="D357" s="14" t="str">
        <f aca="false">IF(C357="","",'MRR Conglomerado'!AT357)</f>
        <v/>
      </c>
      <c r="E357" s="15" t="str">
        <f aca="false">IF(C357="","",D357/C357)</f>
        <v/>
      </c>
      <c r="F357" s="14" t="str">
        <f aca="false">IF(C357="","",C357/B357)</f>
        <v/>
      </c>
      <c r="G357" s="12" t="str">
        <f aca="false">IF(F357="","",IF(F357&lt;100,"Menos de 100 USD",IF(F357&lt;500,"100 a 500 USD",IF(F357&lt;2000,"500 a 2.000 USD","Más de 2.000 USD"))))</f>
        <v/>
      </c>
      <c r="H357" s="14" t="str">
        <f aca="false">IF(C357="","",MIN(D357,C357))</f>
        <v/>
      </c>
    </row>
    <row r="358" customFormat="false" ht="15" hidden="false" customHeight="true" outlineLevel="0" collapsed="false">
      <c r="A358" s="12" t="s">
        <v>1127</v>
      </c>
      <c r="B358" s="14" t="n">
        <v>18.885</v>
      </c>
      <c r="C358" s="14" t="n">
        <f aca="false">IF('MRR Conglomerado'!AH358&gt;0,'MRR Conglomerado'!AH358,"")</f>
        <v>8469.9225</v>
      </c>
      <c r="D358" s="14" t="n">
        <f aca="false">IF(C358="","",'MRR Conglomerado'!AT358)</f>
        <v>10123.975536</v>
      </c>
      <c r="E358" s="15" t="n">
        <f aca="false">IF(C358="","",D358/C358)</f>
        <v>1.19528549830297</v>
      </c>
      <c r="F358" s="14" t="n">
        <f aca="false">IF(C358="","",C358/B358)</f>
        <v>448.5</v>
      </c>
      <c r="G358" s="12" t="str">
        <f aca="false">IF(F358="","",IF(F358&lt;100,"Menos de 100 USD",IF(F358&lt;500,"100 a 500 USD",IF(F358&lt;2000,"500 a 2.000 USD","Más de 2.000 USD"))))</f>
        <v>100 a 500 USD</v>
      </c>
      <c r="H358" s="14" t="n">
        <f aca="false">IF(C358="","",MIN(D358,C358))</f>
        <v>8469.9225</v>
      </c>
    </row>
    <row r="359" customFormat="false" ht="15" hidden="false" customHeight="true" outlineLevel="0" collapsed="false">
      <c r="A359" s="12" t="s">
        <v>1130</v>
      </c>
      <c r="B359" s="14" t="n">
        <v>18.885</v>
      </c>
      <c r="C359" s="14" t="n">
        <f aca="false">IF('MRR Conglomerado'!AH359&gt;0,'MRR Conglomerado'!AH359,"")</f>
        <v>17743.02405</v>
      </c>
      <c r="D359" s="14" t="n">
        <f aca="false">IF(C359="","",'MRR Conglomerado'!AT359)</f>
        <v>14608.410504</v>
      </c>
      <c r="E359" s="15" t="n">
        <f aca="false">IF(C359="","",D359/C359)</f>
        <v>0.823332621476101</v>
      </c>
      <c r="F359" s="14" t="n">
        <f aca="false">IF(C359="","",C359/B359)</f>
        <v>939.53</v>
      </c>
      <c r="G359" s="12" t="str">
        <f aca="false">IF(F359="","",IF(F359&lt;100,"Menos de 100 USD",IF(F359&lt;500,"100 a 500 USD",IF(F359&lt;2000,"500 a 2.000 USD","Más de 2.000 USD"))))</f>
        <v>500 a 2.000 USD</v>
      </c>
      <c r="H359" s="14" t="n">
        <f aca="false">IF(C359="","",MIN(D359,C359))</f>
        <v>14608.410504</v>
      </c>
    </row>
    <row r="360" customFormat="false" ht="15" hidden="false" customHeight="true" outlineLevel="0" collapsed="false">
      <c r="A360" s="12" t="s">
        <v>1133</v>
      </c>
      <c r="B360" s="14" t="n">
        <v>18.885</v>
      </c>
      <c r="C360" s="14" t="n">
        <f aca="false">IF('MRR Conglomerado'!AH360&gt;0,'MRR Conglomerado'!AH360,"")</f>
        <v>1381.81545</v>
      </c>
      <c r="D360" s="14" t="n">
        <f aca="false">IF(C360="","",'MRR Conglomerado'!AT360)</f>
        <v>1854.119504</v>
      </c>
      <c r="E360" s="15" t="n">
        <f aca="false">IF(C360="","",D360/C360)</f>
        <v>1.34179966217631</v>
      </c>
      <c r="F360" s="14" t="n">
        <f aca="false">IF(C360="","",C360/B360)</f>
        <v>73.17</v>
      </c>
      <c r="G360" s="12" t="str">
        <f aca="false">IF(F360="","",IF(F360&lt;100,"Menos de 100 USD",IF(F360&lt;500,"100 a 500 USD",IF(F360&lt;2000,"500 a 2.000 USD","Más de 2.000 USD"))))</f>
        <v>Menos de 100 USD</v>
      </c>
      <c r="H360" s="14" t="n">
        <f aca="false">IF(C360="","",MIN(D360,C360))</f>
        <v>1381.81545</v>
      </c>
    </row>
    <row r="361" customFormat="false" ht="15" hidden="false" customHeight="true" outlineLevel="0" collapsed="false">
      <c r="A361" s="12" t="s">
        <v>1136</v>
      </c>
      <c r="B361" s="14" t="n">
        <v>18.885</v>
      </c>
      <c r="C361" s="14" t="str">
        <f aca="false">IF('MRR Conglomerado'!AH361&gt;0,'MRR Conglomerado'!AH361,"")</f>
        <v/>
      </c>
      <c r="D361" s="14" t="str">
        <f aca="false">IF(C361="","",'MRR Conglomerado'!AT361)</f>
        <v/>
      </c>
      <c r="E361" s="15" t="str">
        <f aca="false">IF(C361="","",D361/C361)</f>
        <v/>
      </c>
      <c r="F361" s="14" t="str">
        <f aca="false">IF(C361="","",C361/B361)</f>
        <v/>
      </c>
      <c r="G361" s="12" t="str">
        <f aca="false">IF(F361="","",IF(F361&lt;100,"Menos de 100 USD",IF(F361&lt;500,"100 a 500 USD",IF(F361&lt;2000,"500 a 2.000 USD","Más de 2.000 USD"))))</f>
        <v/>
      </c>
      <c r="H361" s="14" t="str">
        <f aca="false">IF(C361="","",MIN(D361,C361))</f>
        <v/>
      </c>
    </row>
    <row r="362" customFormat="false" ht="15" hidden="false" customHeight="true" outlineLevel="0" collapsed="false">
      <c r="A362" s="12" t="s">
        <v>1139</v>
      </c>
      <c r="B362" s="14" t="n">
        <v>18.885</v>
      </c>
      <c r="C362" s="14" t="str">
        <f aca="false">IF('MRR Conglomerado'!AH362&gt;0,'MRR Conglomerado'!AH362,"")</f>
        <v/>
      </c>
      <c r="D362" s="14" t="str">
        <f aca="false">IF(C362="","",'MRR Conglomerado'!AT362)</f>
        <v/>
      </c>
      <c r="E362" s="15" t="str">
        <f aca="false">IF(C362="","",D362/C362)</f>
        <v/>
      </c>
      <c r="F362" s="14" t="str">
        <f aca="false">IF(C362="","",C362/B362)</f>
        <v/>
      </c>
      <c r="G362" s="12" t="str">
        <f aca="false">IF(F362="","",IF(F362&lt;100,"Menos de 100 USD",IF(F362&lt;500,"100 a 500 USD",IF(F362&lt;2000,"500 a 2.000 USD","Más de 2.000 USD"))))</f>
        <v/>
      </c>
      <c r="H362" s="14" t="str">
        <f aca="false">IF(C362="","",MIN(D362,C362))</f>
        <v/>
      </c>
    </row>
    <row r="363" customFormat="false" ht="15" hidden="false" customHeight="true" outlineLevel="0" collapsed="false">
      <c r="A363" s="12" t="s">
        <v>1142</v>
      </c>
      <c r="B363" s="14" t="n">
        <v>18.885</v>
      </c>
      <c r="C363" s="14" t="str">
        <f aca="false">IF('MRR Conglomerado'!AH363&gt;0,'MRR Conglomerado'!AH363,"")</f>
        <v/>
      </c>
      <c r="D363" s="14" t="str">
        <f aca="false">IF(C363="","",'MRR Conglomerado'!AT363)</f>
        <v/>
      </c>
      <c r="E363" s="15" t="str">
        <f aca="false">IF(C363="","",D363/C363)</f>
        <v/>
      </c>
      <c r="F363" s="14" t="str">
        <f aca="false">IF(C363="","",C363/B363)</f>
        <v/>
      </c>
      <c r="G363" s="12" t="str">
        <f aca="false">IF(F363="","",IF(F363&lt;100,"Menos de 100 USD",IF(F363&lt;500,"100 a 500 USD",IF(F363&lt;2000,"500 a 2.000 USD","Más de 2.000 USD"))))</f>
        <v/>
      </c>
      <c r="H363" s="14" t="str">
        <f aca="false">IF(C363="","",MIN(D363,C363))</f>
        <v/>
      </c>
    </row>
    <row r="364" customFormat="false" ht="15" hidden="false" customHeight="true" outlineLevel="0" collapsed="false">
      <c r="A364" s="12" t="s">
        <v>1145</v>
      </c>
      <c r="B364" s="14" t="n">
        <v>18.885</v>
      </c>
      <c r="C364" s="14" t="str">
        <f aca="false">IF('MRR Conglomerado'!AH364&gt;0,'MRR Conglomerado'!AH364,"")</f>
        <v/>
      </c>
      <c r="D364" s="14" t="str">
        <f aca="false">IF(C364="","",'MRR Conglomerado'!AT364)</f>
        <v/>
      </c>
      <c r="E364" s="15" t="str">
        <f aca="false">IF(C364="","",D364/C364)</f>
        <v/>
      </c>
      <c r="F364" s="14" t="str">
        <f aca="false">IF(C364="","",C364/B364)</f>
        <v/>
      </c>
      <c r="G364" s="12" t="str">
        <f aca="false">IF(F364="","",IF(F364&lt;100,"Menos de 100 USD",IF(F364&lt;500,"100 a 500 USD",IF(F364&lt;2000,"500 a 2.000 USD","Más de 2.000 USD"))))</f>
        <v/>
      </c>
      <c r="H364" s="14" t="str">
        <f aca="false">IF(C364="","",MIN(D364,C364))</f>
        <v/>
      </c>
    </row>
    <row r="365" customFormat="false" ht="15" hidden="false" customHeight="true" outlineLevel="0" collapsed="false">
      <c r="A365" s="12" t="s">
        <v>1148</v>
      </c>
      <c r="B365" s="14" t="n">
        <v>18.885</v>
      </c>
      <c r="C365" s="14" t="str">
        <f aca="false">IF('MRR Conglomerado'!AH365&gt;0,'MRR Conglomerado'!AH365,"")</f>
        <v/>
      </c>
      <c r="D365" s="14" t="str">
        <f aca="false">IF(C365="","",'MRR Conglomerado'!AT365)</f>
        <v/>
      </c>
      <c r="E365" s="15" t="str">
        <f aca="false">IF(C365="","",D365/C365)</f>
        <v/>
      </c>
      <c r="F365" s="14" t="str">
        <f aca="false">IF(C365="","",C365/B365)</f>
        <v/>
      </c>
      <c r="G365" s="12" t="str">
        <f aca="false">IF(F365="","",IF(F365&lt;100,"Menos de 100 USD",IF(F365&lt;500,"100 a 500 USD",IF(F365&lt;2000,"500 a 2.000 USD","Más de 2.000 USD"))))</f>
        <v/>
      </c>
      <c r="H365" s="14" t="str">
        <f aca="false">IF(C365="","",MIN(D365,C365))</f>
        <v/>
      </c>
    </row>
    <row r="366" customFormat="false" ht="15" hidden="false" customHeight="true" outlineLevel="0" collapsed="false">
      <c r="A366" s="12" t="s">
        <v>1151</v>
      </c>
      <c r="B366" s="14" t="n">
        <v>18.885</v>
      </c>
      <c r="C366" s="14" t="str">
        <f aca="false">IF('MRR Conglomerado'!AH366&gt;0,'MRR Conglomerado'!AH366,"")</f>
        <v/>
      </c>
      <c r="D366" s="14" t="str">
        <f aca="false">IF(C366="","",'MRR Conglomerado'!AT366)</f>
        <v/>
      </c>
      <c r="E366" s="15" t="str">
        <f aca="false">IF(C366="","",D366/C366)</f>
        <v/>
      </c>
      <c r="F366" s="14" t="str">
        <f aca="false">IF(C366="","",C366/B366)</f>
        <v/>
      </c>
      <c r="G366" s="12" t="str">
        <f aca="false">IF(F366="","",IF(F366&lt;100,"Menos de 100 USD",IF(F366&lt;500,"100 a 500 USD",IF(F366&lt;2000,"500 a 2.000 USD","Más de 2.000 USD"))))</f>
        <v/>
      </c>
      <c r="H366" s="14" t="str">
        <f aca="false">IF(C366="","",MIN(D366,C366))</f>
        <v/>
      </c>
    </row>
    <row r="367" customFormat="false" ht="15" hidden="false" customHeight="true" outlineLevel="0" collapsed="false">
      <c r="A367" s="12" t="s">
        <v>1154</v>
      </c>
      <c r="B367" s="14" t="n">
        <v>18.885</v>
      </c>
      <c r="C367" s="14" t="str">
        <f aca="false">IF('MRR Conglomerado'!AH367&gt;0,'MRR Conglomerado'!AH367,"")</f>
        <v/>
      </c>
      <c r="D367" s="14" t="str">
        <f aca="false">IF(C367="","",'MRR Conglomerado'!AT367)</f>
        <v/>
      </c>
      <c r="E367" s="15" t="str">
        <f aca="false">IF(C367="","",D367/C367)</f>
        <v/>
      </c>
      <c r="F367" s="14" t="str">
        <f aca="false">IF(C367="","",C367/B367)</f>
        <v/>
      </c>
      <c r="G367" s="12" t="str">
        <f aca="false">IF(F367="","",IF(F367&lt;100,"Menos de 100 USD",IF(F367&lt;500,"100 a 500 USD",IF(F367&lt;2000,"500 a 2.000 USD","Más de 2.000 USD"))))</f>
        <v/>
      </c>
      <c r="H367" s="14" t="str">
        <f aca="false">IF(C367="","",MIN(D367,C367))</f>
        <v/>
      </c>
    </row>
    <row r="368" customFormat="false" ht="15" hidden="false" customHeight="true" outlineLevel="0" collapsed="false">
      <c r="A368" s="12" t="s">
        <v>1157</v>
      </c>
      <c r="B368" s="14" t="n">
        <v>18.885</v>
      </c>
      <c r="C368" s="14" t="str">
        <f aca="false">IF('MRR Conglomerado'!AH368&gt;0,'MRR Conglomerado'!AH368,"")</f>
        <v/>
      </c>
      <c r="D368" s="14" t="str">
        <f aca="false">IF(C368="","",'MRR Conglomerado'!AT368)</f>
        <v/>
      </c>
      <c r="E368" s="15" t="str">
        <f aca="false">IF(C368="","",D368/C368)</f>
        <v/>
      </c>
      <c r="F368" s="14" t="str">
        <f aca="false">IF(C368="","",C368/B368)</f>
        <v/>
      </c>
      <c r="G368" s="12" t="str">
        <f aca="false">IF(F368="","",IF(F368&lt;100,"Menos de 100 USD",IF(F368&lt;500,"100 a 500 USD",IF(F368&lt;2000,"500 a 2.000 USD","Más de 2.000 USD"))))</f>
        <v/>
      </c>
      <c r="H368" s="14" t="str">
        <f aca="false">IF(C368="","",MIN(D368,C368))</f>
        <v/>
      </c>
    </row>
    <row r="369" customFormat="false" ht="15" hidden="false" customHeight="true" outlineLevel="0" collapsed="false">
      <c r="A369" s="12" t="s">
        <v>1160</v>
      </c>
      <c r="B369" s="14" t="n">
        <v>18.885</v>
      </c>
      <c r="C369" s="14" t="n">
        <f aca="false">IF('MRR Conglomerado'!AH369&gt;0,'MRR Conglomerado'!AH369,"")</f>
        <v>437.56545</v>
      </c>
      <c r="D369" s="14" t="n">
        <f aca="false">IF(C369="","",'MRR Conglomerado'!AT369)</f>
        <v>0</v>
      </c>
      <c r="E369" s="15" t="n">
        <f aca="false">IF(C369="","",D369/C369)</f>
        <v>0</v>
      </c>
      <c r="F369" s="14" t="n">
        <f aca="false">IF(C369="","",C369/B369)</f>
        <v>23.17</v>
      </c>
      <c r="G369" s="12" t="str">
        <f aca="false">IF(F369="","",IF(F369&lt;100,"Menos de 100 USD",IF(F369&lt;500,"100 a 500 USD",IF(F369&lt;2000,"500 a 2.000 USD","Más de 2.000 USD"))))</f>
        <v>Menos de 100 USD</v>
      </c>
      <c r="H369" s="14" t="n">
        <f aca="false">IF(C369="","",MIN(D369,C369))</f>
        <v>0</v>
      </c>
    </row>
    <row r="370" customFormat="false" ht="15" hidden="false" customHeight="true" outlineLevel="0" collapsed="false">
      <c r="A370" s="12" t="s">
        <v>1163</v>
      </c>
      <c r="B370" s="14" t="n">
        <v>18.885</v>
      </c>
      <c r="C370" s="14" t="str">
        <f aca="false">IF('MRR Conglomerado'!AH370&gt;0,'MRR Conglomerado'!AH370,"")</f>
        <v/>
      </c>
      <c r="D370" s="14" t="str">
        <f aca="false">IF(C370="","",'MRR Conglomerado'!AT370)</f>
        <v/>
      </c>
      <c r="E370" s="15" t="str">
        <f aca="false">IF(C370="","",D370/C370)</f>
        <v/>
      </c>
      <c r="F370" s="14" t="str">
        <f aca="false">IF(C370="","",C370/B370)</f>
        <v/>
      </c>
      <c r="G370" s="12" t="str">
        <f aca="false">IF(F370="","",IF(F370&lt;100,"Menos de 100 USD",IF(F370&lt;500,"100 a 500 USD",IF(F370&lt;2000,"500 a 2.000 USD","Más de 2.000 USD"))))</f>
        <v/>
      </c>
      <c r="H370" s="14" t="str">
        <f aca="false">IF(C370="","",MIN(D370,C370))</f>
        <v/>
      </c>
    </row>
    <row r="371" customFormat="false" ht="15" hidden="false" customHeight="true" outlineLevel="0" collapsed="false">
      <c r="A371" s="12" t="s">
        <v>1166</v>
      </c>
      <c r="B371" s="14" t="n">
        <v>18.885</v>
      </c>
      <c r="C371" s="14" t="n">
        <f aca="false">IF('MRR Conglomerado'!AH371&gt;0,'MRR Conglomerado'!AH371,"")</f>
        <v>781.65015</v>
      </c>
      <c r="D371" s="14" t="n">
        <f aca="false">IF(C371="","",'MRR Conglomerado'!AT371)</f>
        <v>0</v>
      </c>
      <c r="E371" s="15" t="n">
        <f aca="false">IF(C371="","",D371/C371)</f>
        <v>0</v>
      </c>
      <c r="F371" s="14" t="n">
        <f aca="false">IF(C371="","",C371/B371)</f>
        <v>41.39</v>
      </c>
      <c r="G371" s="12" t="str">
        <f aca="false">IF(F371="","",IF(F371&lt;100,"Menos de 100 USD",IF(F371&lt;500,"100 a 500 USD",IF(F371&lt;2000,"500 a 2.000 USD","Más de 2.000 USD"))))</f>
        <v>Menos de 100 USD</v>
      </c>
      <c r="H371" s="14" t="n">
        <f aca="false">IF(C371="","",MIN(D371,C371))</f>
        <v>0</v>
      </c>
    </row>
    <row r="372" customFormat="false" ht="15" hidden="false" customHeight="true" outlineLevel="0" collapsed="false">
      <c r="A372" s="12" t="s">
        <v>1169</v>
      </c>
      <c r="B372" s="14" t="n">
        <v>18.885</v>
      </c>
      <c r="C372" s="14" t="str">
        <f aca="false">IF('MRR Conglomerado'!AH372&gt;0,'MRR Conglomerado'!AH372,"")</f>
        <v/>
      </c>
      <c r="D372" s="14" t="str">
        <f aca="false">IF(C372="","",'MRR Conglomerado'!AT372)</f>
        <v/>
      </c>
      <c r="E372" s="15" t="str">
        <f aca="false">IF(C372="","",D372/C372)</f>
        <v/>
      </c>
      <c r="F372" s="14" t="str">
        <f aca="false">IF(C372="","",C372/B372)</f>
        <v/>
      </c>
      <c r="G372" s="12" t="str">
        <f aca="false">IF(F372="","",IF(F372&lt;100,"Menos de 100 USD",IF(F372&lt;500,"100 a 500 USD",IF(F372&lt;2000,"500 a 2.000 USD","Más de 2.000 USD"))))</f>
        <v/>
      </c>
      <c r="H372" s="14" t="str">
        <f aca="false">IF(C372="","",MIN(D372,C372))</f>
        <v/>
      </c>
    </row>
    <row r="373" customFormat="false" ht="15" hidden="false" customHeight="true" outlineLevel="0" collapsed="false">
      <c r="A373" s="12" t="s">
        <v>1172</v>
      </c>
      <c r="B373" s="14" t="n">
        <v>18.885</v>
      </c>
      <c r="C373" s="14" t="str">
        <f aca="false">IF('MRR Conglomerado'!AH373&gt;0,'MRR Conglomerado'!AH373,"")</f>
        <v/>
      </c>
      <c r="D373" s="14" t="str">
        <f aca="false">IF(C373="","",'MRR Conglomerado'!AT373)</f>
        <v/>
      </c>
      <c r="E373" s="15" t="str">
        <f aca="false">IF(C373="","",D373/C373)</f>
        <v/>
      </c>
      <c r="F373" s="14" t="str">
        <f aca="false">IF(C373="","",C373/B373)</f>
        <v/>
      </c>
      <c r="G373" s="12" t="str">
        <f aca="false">IF(F373="","",IF(F373&lt;100,"Menos de 100 USD",IF(F373&lt;500,"100 a 500 USD",IF(F373&lt;2000,"500 a 2.000 USD","Más de 2.000 USD"))))</f>
        <v/>
      </c>
      <c r="H373" s="14" t="str">
        <f aca="false">IF(C373="","",MIN(D373,C373))</f>
        <v/>
      </c>
    </row>
    <row r="374" customFormat="false" ht="15" hidden="false" customHeight="true" outlineLevel="0" collapsed="false">
      <c r="A374" s="12" t="s">
        <v>1175</v>
      </c>
      <c r="B374" s="14" t="n">
        <v>18.885</v>
      </c>
      <c r="C374" s="14" t="n">
        <f aca="false">IF('MRR Conglomerado'!AH374&gt;0,'MRR Conglomerado'!AH374,"")</f>
        <v>8148.4998</v>
      </c>
      <c r="D374" s="14" t="n">
        <f aca="false">IF(C374="","",'MRR Conglomerado'!AT374)</f>
        <v>9011.398824</v>
      </c>
      <c r="E374" s="15" t="n">
        <f aca="false">IF(C374="","",D374/C374)</f>
        <v>1.10589667364292</v>
      </c>
      <c r="F374" s="14" t="n">
        <f aca="false">IF(C374="","",C374/B374)</f>
        <v>431.48</v>
      </c>
      <c r="G374" s="12" t="str">
        <f aca="false">IF(F374="","",IF(F374&lt;100,"Menos de 100 USD",IF(F374&lt;500,"100 a 500 USD",IF(F374&lt;2000,"500 a 2.000 USD","Más de 2.000 USD"))))</f>
        <v>100 a 500 USD</v>
      </c>
      <c r="H374" s="14" t="n">
        <f aca="false">IF(C374="","",MIN(D374,C374))</f>
        <v>8148.4998</v>
      </c>
    </row>
    <row r="375" customFormat="false" ht="15" hidden="false" customHeight="true" outlineLevel="0" collapsed="false">
      <c r="A375" s="12" t="s">
        <v>1178</v>
      </c>
      <c r="B375" s="14" t="n">
        <v>18.885</v>
      </c>
      <c r="C375" s="14" t="str">
        <f aca="false">IF('MRR Conglomerado'!AH375&gt;0,'MRR Conglomerado'!AH375,"")</f>
        <v/>
      </c>
      <c r="D375" s="14" t="str">
        <f aca="false">IF(C375="","",'MRR Conglomerado'!AT375)</f>
        <v/>
      </c>
      <c r="E375" s="15" t="str">
        <f aca="false">IF(C375="","",D375/C375)</f>
        <v/>
      </c>
      <c r="F375" s="14" t="str">
        <f aca="false">IF(C375="","",C375/B375)</f>
        <v/>
      </c>
      <c r="G375" s="12" t="str">
        <f aca="false">IF(F375="","",IF(F375&lt;100,"Menos de 100 USD",IF(F375&lt;500,"100 a 500 USD",IF(F375&lt;2000,"500 a 2.000 USD","Más de 2.000 USD"))))</f>
        <v/>
      </c>
      <c r="H375" s="14" t="str">
        <f aca="false">IF(C375="","",MIN(D375,C375))</f>
        <v/>
      </c>
    </row>
    <row r="376" customFormat="false" ht="15" hidden="false" customHeight="true" outlineLevel="0" collapsed="false">
      <c r="A376" s="12" t="s">
        <v>1181</v>
      </c>
      <c r="B376" s="14" t="n">
        <v>18.885</v>
      </c>
      <c r="C376" s="14" t="str">
        <f aca="false">IF('MRR Conglomerado'!AH376&gt;0,'MRR Conglomerado'!AH376,"")</f>
        <v/>
      </c>
      <c r="D376" s="14" t="str">
        <f aca="false">IF(C376="","",'MRR Conglomerado'!AT376)</f>
        <v/>
      </c>
      <c r="E376" s="15" t="str">
        <f aca="false">IF(C376="","",D376/C376)</f>
        <v/>
      </c>
      <c r="F376" s="14" t="str">
        <f aca="false">IF(C376="","",C376/B376)</f>
        <v/>
      </c>
      <c r="G376" s="12" t="str">
        <f aca="false">IF(F376="","",IF(F376&lt;100,"Menos de 100 USD",IF(F376&lt;500,"100 a 500 USD",IF(F376&lt;2000,"500 a 2.000 USD","Más de 2.000 USD"))))</f>
        <v/>
      </c>
      <c r="H376" s="14" t="str">
        <f aca="false">IF(C376="","",MIN(D376,C376))</f>
        <v/>
      </c>
    </row>
    <row r="377" customFormat="false" ht="15" hidden="false" customHeight="true" outlineLevel="0" collapsed="false">
      <c r="A377" s="12" t="s">
        <v>1184</v>
      </c>
      <c r="B377" s="14" t="n">
        <v>18.885</v>
      </c>
      <c r="C377" s="14" t="n">
        <f aca="false">IF('MRR Conglomerado'!AH377&gt;0,'MRR Conglomerado'!AH377,"")</f>
        <v>2100.012</v>
      </c>
      <c r="D377" s="14" t="n">
        <f aca="false">IF(C377="","",'MRR Conglomerado'!AT377)</f>
        <v>1969.980096</v>
      </c>
      <c r="E377" s="15" t="n">
        <f aca="false">IF(C377="","",D377/C377)</f>
        <v>0.938080399540574</v>
      </c>
      <c r="F377" s="14" t="n">
        <f aca="false">IF(C377="","",C377/B377)</f>
        <v>111.2</v>
      </c>
      <c r="G377" s="12" t="str">
        <f aca="false">IF(F377="","",IF(F377&lt;100,"Menos de 100 USD",IF(F377&lt;500,"100 a 500 USD",IF(F377&lt;2000,"500 a 2.000 USD","Más de 2.000 USD"))))</f>
        <v>100 a 500 USD</v>
      </c>
      <c r="H377" s="14" t="n">
        <f aca="false">IF(C377="","",MIN(D377,C377))</f>
        <v>1969.980096</v>
      </c>
    </row>
    <row r="378" customFormat="false" ht="15" hidden="false" customHeight="true" outlineLevel="0" collapsed="false">
      <c r="A378" s="12" t="s">
        <v>1187</v>
      </c>
      <c r="B378" s="14" t="n">
        <v>18.885</v>
      </c>
      <c r="C378" s="14" t="n">
        <f aca="false">IF('MRR Conglomerado'!AH378&gt;0,'MRR Conglomerado'!AH378,"")</f>
        <v>992.40675</v>
      </c>
      <c r="D378" s="14" t="n">
        <f aca="false">IF(C378="","",'MRR Conglomerado'!AT378)</f>
        <v>918.483968</v>
      </c>
      <c r="E378" s="15" t="n">
        <f aca="false">IF(C378="","",D378/C378)</f>
        <v>0.925511609025231</v>
      </c>
      <c r="F378" s="14" t="n">
        <f aca="false">IF(C378="","",C378/B378)</f>
        <v>52.55</v>
      </c>
      <c r="G378" s="12" t="str">
        <f aca="false">IF(F378="","",IF(F378&lt;100,"Menos de 100 USD",IF(F378&lt;500,"100 a 500 USD",IF(F378&lt;2000,"500 a 2.000 USD","Más de 2.000 USD"))))</f>
        <v>Menos de 100 USD</v>
      </c>
      <c r="H378" s="14" t="n">
        <f aca="false">IF(C378="","",MIN(D378,C378))</f>
        <v>918.483968</v>
      </c>
    </row>
    <row r="379" customFormat="false" ht="15" hidden="false" customHeight="true" outlineLevel="0" collapsed="false">
      <c r="A379" s="12" t="s">
        <v>1190</v>
      </c>
      <c r="B379" s="14" t="n">
        <v>18.885</v>
      </c>
      <c r="C379" s="14" t="str">
        <f aca="false">IF('MRR Conglomerado'!AH379&gt;0,'MRR Conglomerado'!AH379,"")</f>
        <v/>
      </c>
      <c r="D379" s="14" t="str">
        <f aca="false">IF(C379="","",'MRR Conglomerado'!AT379)</f>
        <v/>
      </c>
      <c r="E379" s="15" t="str">
        <f aca="false">IF(C379="","",D379/C379)</f>
        <v/>
      </c>
      <c r="F379" s="14" t="str">
        <f aca="false">IF(C379="","",C379/B379)</f>
        <v/>
      </c>
      <c r="G379" s="12" t="str">
        <f aca="false">IF(F379="","",IF(F379&lt;100,"Menos de 100 USD",IF(F379&lt;500,"100 a 500 USD",IF(F379&lt;2000,"500 a 2.000 USD","Más de 2.000 USD"))))</f>
        <v/>
      </c>
      <c r="H379" s="14" t="str">
        <f aca="false">IF(C379="","",MIN(D379,C379))</f>
        <v/>
      </c>
    </row>
    <row r="380" customFormat="false" ht="15" hidden="false" customHeight="true" outlineLevel="0" collapsed="false">
      <c r="A380" s="12" t="s">
        <v>1193</v>
      </c>
      <c r="B380" s="14" t="n">
        <v>18.885</v>
      </c>
      <c r="C380" s="14" t="n">
        <f aca="false">IF('MRR Conglomerado'!AH380&gt;0,'MRR Conglomerado'!AH380,"")</f>
        <v>769.94145</v>
      </c>
      <c r="D380" s="14" t="n">
        <f aca="false">IF(C380="","",'MRR Conglomerado'!AT380)</f>
        <v>0</v>
      </c>
      <c r="E380" s="15" t="n">
        <f aca="false">IF(C380="","",D380/C380)</f>
        <v>0</v>
      </c>
      <c r="F380" s="14" t="n">
        <f aca="false">IF(C380="","",C380/B380)</f>
        <v>40.77</v>
      </c>
      <c r="G380" s="12" t="str">
        <f aca="false">IF(F380="","",IF(F380&lt;100,"Menos de 100 USD",IF(F380&lt;500,"100 a 500 USD",IF(F380&lt;2000,"500 a 2.000 USD","Más de 2.000 USD"))))</f>
        <v>Menos de 100 USD</v>
      </c>
      <c r="H380" s="14" t="n">
        <f aca="false">IF(C380="","",MIN(D380,C380))</f>
        <v>0</v>
      </c>
    </row>
    <row r="381" customFormat="false" ht="15" hidden="false" customHeight="true" outlineLevel="0" collapsed="false">
      <c r="A381" s="12" t="s">
        <v>1196</v>
      </c>
      <c r="B381" s="14" t="n">
        <v>18.885</v>
      </c>
      <c r="C381" s="14" t="n">
        <f aca="false">IF('MRR Conglomerado'!AH381&gt;0,'MRR Conglomerado'!AH381,"")</f>
        <v>599.97645</v>
      </c>
      <c r="D381" s="14" t="n">
        <f aca="false">IF(C381="","",'MRR Conglomerado'!AT381)</f>
        <v>933.185312</v>
      </c>
      <c r="E381" s="15" t="n">
        <f aca="false">IF(C381="","",D381/C381)</f>
        <v>1.55536990160197</v>
      </c>
      <c r="F381" s="14" t="n">
        <f aca="false">IF(C381="","",C381/B381)</f>
        <v>31.77</v>
      </c>
      <c r="G381" s="12" t="str">
        <f aca="false">IF(F381="","",IF(F381&lt;100,"Menos de 100 USD",IF(F381&lt;500,"100 a 500 USD",IF(F381&lt;2000,"500 a 2.000 USD","Más de 2.000 USD"))))</f>
        <v>Menos de 100 USD</v>
      </c>
      <c r="H381" s="14" t="n">
        <f aca="false">IF(C381="","",MIN(D381,C381))</f>
        <v>599.97645</v>
      </c>
    </row>
    <row r="382" customFormat="false" ht="15" hidden="false" customHeight="true" outlineLevel="0" collapsed="false">
      <c r="A382" s="12" t="s">
        <v>1199</v>
      </c>
      <c r="B382" s="14" t="n">
        <v>18.885</v>
      </c>
      <c r="C382" s="14" t="n">
        <f aca="false">IF('MRR Conglomerado'!AH382&gt;0,'MRR Conglomerado'!AH382,"")</f>
        <v>5361.64035</v>
      </c>
      <c r="D382" s="14" t="n">
        <f aca="false">IF(C382="","",'MRR Conglomerado'!AT382)</f>
        <v>0</v>
      </c>
      <c r="E382" s="15" t="n">
        <f aca="false">IF(C382="","",D382/C382)</f>
        <v>0</v>
      </c>
      <c r="F382" s="14" t="n">
        <f aca="false">IF(C382="","",C382/B382)</f>
        <v>283.91</v>
      </c>
      <c r="G382" s="12" t="str">
        <f aca="false">IF(F382="","",IF(F382&lt;100,"Menos de 100 USD",IF(F382&lt;500,"100 a 500 USD",IF(F382&lt;2000,"500 a 2.000 USD","Más de 2.000 USD"))))</f>
        <v>100 a 500 USD</v>
      </c>
      <c r="H382" s="14" t="n">
        <f aca="false">IF(C382="","",MIN(D382,C382))</f>
        <v>0</v>
      </c>
    </row>
    <row r="383" customFormat="false" ht="15" hidden="false" customHeight="true" outlineLevel="0" collapsed="false">
      <c r="A383" s="12" t="s">
        <v>1202</v>
      </c>
      <c r="B383" s="14" t="n">
        <v>18.885</v>
      </c>
      <c r="C383" s="14" t="str">
        <f aca="false">IF('MRR Conglomerado'!AH383&gt;0,'MRR Conglomerado'!AH383,"")</f>
        <v/>
      </c>
      <c r="D383" s="14" t="str">
        <f aca="false">IF(C383="","",'MRR Conglomerado'!AT383)</f>
        <v/>
      </c>
      <c r="E383" s="15" t="str">
        <f aca="false">IF(C383="","",D383/C383)</f>
        <v/>
      </c>
      <c r="F383" s="14" t="str">
        <f aca="false">IF(C383="","",C383/B383)</f>
        <v/>
      </c>
      <c r="G383" s="12" t="str">
        <f aca="false">IF(F383="","",IF(F383&lt;100,"Menos de 100 USD",IF(F383&lt;500,"100 a 500 USD",IF(F383&lt;2000,"500 a 2.000 USD","Más de 2.000 USD"))))</f>
        <v/>
      </c>
      <c r="H383" s="14" t="str">
        <f aca="false">IF(C383="","",MIN(D383,C383))</f>
        <v/>
      </c>
    </row>
    <row r="384" customFormat="false" ht="15" hidden="false" customHeight="true" outlineLevel="0" collapsed="false">
      <c r="A384" s="12" t="s">
        <v>1205</v>
      </c>
      <c r="B384" s="14" t="n">
        <v>18.885</v>
      </c>
      <c r="C384" s="14" t="str">
        <f aca="false">IF('MRR Conglomerado'!AH384&gt;0,'MRR Conglomerado'!AH384,"")</f>
        <v/>
      </c>
      <c r="D384" s="14" t="str">
        <f aca="false">IF(C384="","",'MRR Conglomerado'!AT384)</f>
        <v/>
      </c>
      <c r="E384" s="15" t="str">
        <f aca="false">IF(C384="","",D384/C384)</f>
        <v/>
      </c>
      <c r="F384" s="14" t="str">
        <f aca="false">IF(C384="","",C384/B384)</f>
        <v/>
      </c>
      <c r="G384" s="12" t="str">
        <f aca="false">IF(F384="","",IF(F384&lt;100,"Menos de 100 USD",IF(F384&lt;500,"100 a 500 USD",IF(F384&lt;2000,"500 a 2.000 USD","Más de 2.000 USD"))))</f>
        <v/>
      </c>
      <c r="H384" s="14" t="str">
        <f aca="false">IF(C384="","",MIN(D384,C384))</f>
        <v/>
      </c>
    </row>
    <row r="385" customFormat="false" ht="15" hidden="false" customHeight="true" outlineLevel="0" collapsed="false">
      <c r="A385" s="12" t="s">
        <v>1208</v>
      </c>
      <c r="B385" s="14" t="n">
        <v>18.885</v>
      </c>
      <c r="C385" s="14" t="str">
        <f aca="false">IF('MRR Conglomerado'!AH385&gt;0,'MRR Conglomerado'!AH385,"")</f>
        <v/>
      </c>
      <c r="D385" s="14" t="str">
        <f aca="false">IF(C385="","",'MRR Conglomerado'!AT385)</f>
        <v/>
      </c>
      <c r="E385" s="15" t="str">
        <f aca="false">IF(C385="","",D385/C385)</f>
        <v/>
      </c>
      <c r="F385" s="14" t="str">
        <f aca="false">IF(C385="","",C385/B385)</f>
        <v/>
      </c>
      <c r="G385" s="12" t="str">
        <f aca="false">IF(F385="","",IF(F385&lt;100,"Menos de 100 USD",IF(F385&lt;500,"100 a 500 USD",IF(F385&lt;2000,"500 a 2.000 USD","Más de 2.000 USD"))))</f>
        <v/>
      </c>
      <c r="H385" s="14" t="str">
        <f aca="false">IF(C385="","",MIN(D385,C385))</f>
        <v/>
      </c>
    </row>
    <row r="386" customFormat="false" ht="15" hidden="false" customHeight="true" outlineLevel="0" collapsed="false">
      <c r="A386" s="12" t="s">
        <v>1211</v>
      </c>
      <c r="B386" s="14" t="n">
        <v>18.885</v>
      </c>
      <c r="C386" s="14" t="str">
        <f aca="false">IF('MRR Conglomerado'!AH386&gt;0,'MRR Conglomerado'!AH386,"")</f>
        <v/>
      </c>
      <c r="D386" s="14" t="str">
        <f aca="false">IF(C386="","",'MRR Conglomerado'!AT386)</f>
        <v/>
      </c>
      <c r="E386" s="15" t="str">
        <f aca="false">IF(C386="","",D386/C386)</f>
        <v/>
      </c>
      <c r="F386" s="14" t="str">
        <f aca="false">IF(C386="","",C386/B386)</f>
        <v/>
      </c>
      <c r="G386" s="12" t="str">
        <f aca="false">IF(F386="","",IF(F386&lt;100,"Menos de 100 USD",IF(F386&lt;500,"100 a 500 USD",IF(F386&lt;2000,"500 a 2.000 USD","Más de 2.000 USD"))))</f>
        <v/>
      </c>
      <c r="H386" s="14" t="str">
        <f aca="false">IF(C386="","",MIN(D386,C386))</f>
        <v/>
      </c>
    </row>
    <row r="387" customFormat="false" ht="15" hidden="false" customHeight="true" outlineLevel="0" collapsed="false">
      <c r="A387" s="12" t="s">
        <v>1214</v>
      </c>
      <c r="B387" s="14" t="n">
        <v>18.885</v>
      </c>
      <c r="C387" s="14" t="str">
        <f aca="false">IF('MRR Conglomerado'!AH387&gt;0,'MRR Conglomerado'!AH387,"")</f>
        <v/>
      </c>
      <c r="D387" s="14" t="str">
        <f aca="false">IF(C387="","",'MRR Conglomerado'!AT387)</f>
        <v/>
      </c>
      <c r="E387" s="15" t="str">
        <f aca="false">IF(C387="","",D387/C387)</f>
        <v/>
      </c>
      <c r="F387" s="14" t="str">
        <f aca="false">IF(C387="","",C387/B387)</f>
        <v/>
      </c>
      <c r="G387" s="12" t="str">
        <f aca="false">IF(F387="","",IF(F387&lt;100,"Menos de 100 USD",IF(F387&lt;500,"100 a 500 USD",IF(F387&lt;2000,"500 a 2.000 USD","Más de 2.000 USD"))))</f>
        <v/>
      </c>
      <c r="H387" s="14" t="str">
        <f aca="false">IF(C387="","",MIN(D387,C387))</f>
        <v/>
      </c>
    </row>
    <row r="388" customFormat="false" ht="15" hidden="false" customHeight="true" outlineLevel="0" collapsed="false">
      <c r="A388" s="12" t="s">
        <v>1217</v>
      </c>
      <c r="B388" s="14" t="n">
        <v>18.885</v>
      </c>
      <c r="C388" s="14" t="str">
        <f aca="false">IF('MRR Conglomerado'!AH388&gt;0,'MRR Conglomerado'!AH388,"")</f>
        <v/>
      </c>
      <c r="D388" s="14" t="str">
        <f aca="false">IF(C388="","",'MRR Conglomerado'!AT388)</f>
        <v/>
      </c>
      <c r="E388" s="15" t="str">
        <f aca="false">IF(C388="","",D388/C388)</f>
        <v/>
      </c>
      <c r="F388" s="14" t="str">
        <f aca="false">IF(C388="","",C388/B388)</f>
        <v/>
      </c>
      <c r="G388" s="12" t="str">
        <f aca="false">IF(F388="","",IF(F388&lt;100,"Menos de 100 USD",IF(F388&lt;500,"100 a 500 USD",IF(F388&lt;2000,"500 a 2.000 USD","Más de 2.000 USD"))))</f>
        <v/>
      </c>
      <c r="H388" s="14" t="str">
        <f aca="false">IF(C388="","",MIN(D388,C388))</f>
        <v/>
      </c>
    </row>
    <row r="389" customFormat="false" ht="15" hidden="false" customHeight="true" outlineLevel="0" collapsed="false">
      <c r="A389" s="12" t="s">
        <v>1220</v>
      </c>
      <c r="B389" s="14" t="n">
        <v>18.885</v>
      </c>
      <c r="C389" s="14" t="str">
        <f aca="false">IF('MRR Conglomerado'!AH389&gt;0,'MRR Conglomerado'!AH389,"")</f>
        <v/>
      </c>
      <c r="D389" s="14" t="str">
        <f aca="false">IF(C389="","",'MRR Conglomerado'!AT389)</f>
        <v/>
      </c>
      <c r="E389" s="15" t="str">
        <f aca="false">IF(C389="","",D389/C389)</f>
        <v/>
      </c>
      <c r="F389" s="14" t="str">
        <f aca="false">IF(C389="","",C389/B389)</f>
        <v/>
      </c>
      <c r="G389" s="12" t="str">
        <f aca="false">IF(F389="","",IF(F389&lt;100,"Menos de 100 USD",IF(F389&lt;500,"100 a 500 USD",IF(F389&lt;2000,"500 a 2.000 USD","Más de 2.000 USD"))))</f>
        <v/>
      </c>
      <c r="H389" s="14" t="str">
        <f aca="false">IF(C389="","",MIN(D389,C389))</f>
        <v/>
      </c>
    </row>
    <row r="390" customFormat="false" ht="15" hidden="false" customHeight="true" outlineLevel="0" collapsed="false">
      <c r="A390" s="12" t="s">
        <v>1223</v>
      </c>
      <c r="B390" s="14" t="n">
        <v>18.885</v>
      </c>
      <c r="C390" s="14" t="str">
        <f aca="false">IF('MRR Conglomerado'!AH390&gt;0,'MRR Conglomerado'!AH390,"")</f>
        <v/>
      </c>
      <c r="D390" s="14" t="str">
        <f aca="false">IF(C390="","",'MRR Conglomerado'!AT390)</f>
        <v/>
      </c>
      <c r="E390" s="15" t="str">
        <f aca="false">IF(C390="","",D390/C390)</f>
        <v/>
      </c>
      <c r="F390" s="14" t="str">
        <f aca="false">IF(C390="","",C390/B390)</f>
        <v/>
      </c>
      <c r="G390" s="12" t="str">
        <f aca="false">IF(F390="","",IF(F390&lt;100,"Menos de 100 USD",IF(F390&lt;500,"100 a 500 USD",IF(F390&lt;2000,"500 a 2.000 USD","Más de 2.000 USD"))))</f>
        <v/>
      </c>
      <c r="H390" s="14" t="str">
        <f aca="false">IF(C390="","",MIN(D390,C390))</f>
        <v/>
      </c>
    </row>
    <row r="391" customFormat="false" ht="15" hidden="false" customHeight="true" outlineLevel="0" collapsed="false">
      <c r="A391" s="12" t="s">
        <v>1226</v>
      </c>
      <c r="B391" s="14" t="n">
        <v>18.885</v>
      </c>
      <c r="C391" s="14" t="str">
        <f aca="false">IF('MRR Conglomerado'!AH391&gt;0,'MRR Conglomerado'!AH391,"")</f>
        <v/>
      </c>
      <c r="D391" s="14" t="str">
        <f aca="false">IF(C391="","",'MRR Conglomerado'!AT391)</f>
        <v/>
      </c>
      <c r="E391" s="15" t="str">
        <f aca="false">IF(C391="","",D391/C391)</f>
        <v/>
      </c>
      <c r="F391" s="14" t="str">
        <f aca="false">IF(C391="","",C391/B391)</f>
        <v/>
      </c>
      <c r="G391" s="12" t="str">
        <f aca="false">IF(F391="","",IF(F391&lt;100,"Menos de 100 USD",IF(F391&lt;500,"100 a 500 USD",IF(F391&lt;2000,"500 a 2.000 USD","Más de 2.000 USD"))))</f>
        <v/>
      </c>
      <c r="H391" s="14" t="str">
        <f aca="false">IF(C391="","",MIN(D391,C391))</f>
        <v/>
      </c>
    </row>
    <row r="392" customFormat="false" ht="15" hidden="false" customHeight="true" outlineLevel="0" collapsed="false">
      <c r="A392" s="12" t="s">
        <v>1229</v>
      </c>
      <c r="B392" s="14" t="n">
        <v>18.885</v>
      </c>
      <c r="C392" s="14" t="n">
        <f aca="false">IF('MRR Conglomerado'!AH392&gt;0,'MRR Conglomerado'!AH392,"")</f>
        <v>1260.0072</v>
      </c>
      <c r="D392" s="14" t="n">
        <f aca="false">IF(C392="","",'MRR Conglomerado'!AT392)</f>
        <v>0</v>
      </c>
      <c r="E392" s="15" t="n">
        <f aca="false">IF(C392="","",D392/C392)</f>
        <v>0</v>
      </c>
      <c r="F392" s="14" t="n">
        <f aca="false">IF(C392="","",C392/B392)</f>
        <v>66.72</v>
      </c>
      <c r="G392" s="12" t="str">
        <f aca="false">IF(F392="","",IF(F392&lt;100,"Menos de 100 USD",IF(F392&lt;500,"100 a 500 USD",IF(F392&lt;2000,"500 a 2.000 USD","Más de 2.000 USD"))))</f>
        <v>Menos de 100 USD</v>
      </c>
      <c r="H392" s="14" t="n">
        <f aca="false">IF(C392="","",MIN(D392,C392))</f>
        <v>0</v>
      </c>
    </row>
    <row r="393" customFormat="false" ht="15" hidden="false" customHeight="true" outlineLevel="0" collapsed="false">
      <c r="A393" s="12" t="s">
        <v>1232</v>
      </c>
      <c r="B393" s="14" t="n">
        <v>18.885</v>
      </c>
      <c r="C393" s="14" t="str">
        <f aca="false">IF('MRR Conglomerado'!AH393&gt;0,'MRR Conglomerado'!AH393,"")</f>
        <v/>
      </c>
      <c r="D393" s="14" t="str">
        <f aca="false">IF(C393="","",'MRR Conglomerado'!AT393)</f>
        <v/>
      </c>
      <c r="E393" s="15" t="str">
        <f aca="false">IF(C393="","",D393/C393)</f>
        <v/>
      </c>
      <c r="F393" s="14" t="str">
        <f aca="false">IF(C393="","",C393/B393)</f>
        <v/>
      </c>
      <c r="G393" s="12" t="str">
        <f aca="false">IF(F393="","",IF(F393&lt;100,"Menos de 100 USD",IF(F393&lt;500,"100 a 500 USD",IF(F393&lt;2000,"500 a 2.000 USD","Más de 2.000 USD"))))</f>
        <v/>
      </c>
      <c r="H393" s="14" t="str">
        <f aca="false">IF(C393="","",MIN(D393,C393))</f>
        <v/>
      </c>
    </row>
    <row r="394" customFormat="false" ht="15" hidden="false" customHeight="true" outlineLevel="0" collapsed="false">
      <c r="A394" s="12" t="s">
        <v>1235</v>
      </c>
      <c r="B394" s="14" t="n">
        <v>18.885</v>
      </c>
      <c r="C394" s="14" t="str">
        <f aca="false">IF('MRR Conglomerado'!AH394&gt;0,'MRR Conglomerado'!AH394,"")</f>
        <v/>
      </c>
      <c r="D394" s="14" t="str">
        <f aca="false">IF(C394="","",'MRR Conglomerado'!AT394)</f>
        <v/>
      </c>
      <c r="E394" s="15" t="str">
        <f aca="false">IF(C394="","",D394/C394)</f>
        <v/>
      </c>
      <c r="F394" s="14" t="str">
        <f aca="false">IF(C394="","",C394/B394)</f>
        <v/>
      </c>
      <c r="G394" s="12" t="str">
        <f aca="false">IF(F394="","",IF(F394&lt;100,"Menos de 100 USD",IF(F394&lt;500,"100 a 500 USD",IF(F394&lt;2000,"500 a 2.000 USD","Más de 2.000 USD"))))</f>
        <v/>
      </c>
      <c r="H394" s="14" t="str">
        <f aca="false">IF(C394="","",MIN(D394,C394))</f>
        <v/>
      </c>
    </row>
    <row r="395" customFormat="false" ht="15" hidden="false" customHeight="true" outlineLevel="0" collapsed="false">
      <c r="A395" s="12" t="s">
        <v>1238</v>
      </c>
      <c r="B395" s="14" t="n">
        <v>18.885</v>
      </c>
      <c r="C395" s="14" t="n">
        <f aca="false">IF('MRR Conglomerado'!AH395&gt;0,'MRR Conglomerado'!AH395,"")</f>
        <v>3922.7922</v>
      </c>
      <c r="D395" s="14" t="n">
        <f aca="false">IF(C395="","",'MRR Conglomerado'!AT395)</f>
        <v>3824.799664</v>
      </c>
      <c r="E395" s="15" t="n">
        <f aca="false">IF(C395="","",D395/C395)</f>
        <v>0.975019697449179</v>
      </c>
      <c r="F395" s="14" t="n">
        <f aca="false">IF(C395="","",C395/B395)</f>
        <v>207.72</v>
      </c>
      <c r="G395" s="12" t="str">
        <f aca="false">IF(F395="","",IF(F395&lt;100,"Menos de 100 USD",IF(F395&lt;500,"100 a 500 USD",IF(F395&lt;2000,"500 a 2.000 USD","Más de 2.000 USD"))))</f>
        <v>100 a 500 USD</v>
      </c>
      <c r="H395" s="14" t="n">
        <f aca="false">IF(C395="","",MIN(D395,C395))</f>
        <v>3824.799664</v>
      </c>
    </row>
    <row r="396" customFormat="false" ht="15" hidden="false" customHeight="true" outlineLevel="0" collapsed="false">
      <c r="A396" s="12" t="s">
        <v>1241</v>
      </c>
      <c r="B396" s="14" t="n">
        <v>18.885</v>
      </c>
      <c r="C396" s="14" t="str">
        <f aca="false">IF('MRR Conglomerado'!AH396&gt;0,'MRR Conglomerado'!AH396,"")</f>
        <v/>
      </c>
      <c r="D396" s="14" t="str">
        <f aca="false">IF(C396="","",'MRR Conglomerado'!AT396)</f>
        <v/>
      </c>
      <c r="E396" s="15" t="str">
        <f aca="false">IF(C396="","",D396/C396)</f>
        <v/>
      </c>
      <c r="F396" s="14" t="str">
        <f aca="false">IF(C396="","",C396/B396)</f>
        <v/>
      </c>
      <c r="G396" s="12" t="str">
        <f aca="false">IF(F396="","",IF(F396&lt;100,"Menos de 100 USD",IF(F396&lt;500,"100 a 500 USD",IF(F396&lt;2000,"500 a 2.000 USD","Más de 2.000 USD"))))</f>
        <v/>
      </c>
      <c r="H396" s="14" t="str">
        <f aca="false">IF(C396="","",MIN(D396,C396))</f>
        <v/>
      </c>
    </row>
    <row r="397" customFormat="false" ht="15" hidden="false" customHeight="true" outlineLevel="0" collapsed="false">
      <c r="A397" s="12" t="s">
        <v>1244</v>
      </c>
      <c r="B397" s="14" t="n">
        <v>18.885</v>
      </c>
      <c r="C397" s="14" t="n">
        <f aca="false">IF('MRR Conglomerado'!AH397&gt;0,'MRR Conglomerado'!AH397,"")</f>
        <v>3639.5172</v>
      </c>
      <c r="D397" s="14" t="n">
        <f aca="false">IF(C397="","",'MRR Conglomerado'!AT397)</f>
        <v>7394.951048</v>
      </c>
      <c r="E397" s="15" t="n">
        <f aca="false">IF(C397="","",D397/C397)</f>
        <v>2.03184945739506</v>
      </c>
      <c r="F397" s="14" t="n">
        <f aca="false">IF(C397="","",C397/B397)</f>
        <v>192.72</v>
      </c>
      <c r="G397" s="12" t="str">
        <f aca="false">IF(F397="","",IF(F397&lt;100,"Menos de 100 USD",IF(F397&lt;500,"100 a 500 USD",IF(F397&lt;2000,"500 a 2.000 USD","Más de 2.000 USD"))))</f>
        <v>100 a 500 USD</v>
      </c>
      <c r="H397" s="14" t="n">
        <f aca="false">IF(C397="","",MIN(D397,C397))</f>
        <v>3639.5172</v>
      </c>
    </row>
    <row r="398" customFormat="false" ht="15" hidden="false" customHeight="true" outlineLevel="0" collapsed="false">
      <c r="A398" s="12" t="s">
        <v>1247</v>
      </c>
      <c r="B398" s="14" t="n">
        <v>18.885</v>
      </c>
      <c r="C398" s="14" t="str">
        <f aca="false">IF('MRR Conglomerado'!AH398&gt;0,'MRR Conglomerado'!AH398,"")</f>
        <v/>
      </c>
      <c r="D398" s="14" t="str">
        <f aca="false">IF(C398="","",'MRR Conglomerado'!AT398)</f>
        <v/>
      </c>
      <c r="E398" s="15" t="str">
        <f aca="false">IF(C398="","",D398/C398)</f>
        <v/>
      </c>
      <c r="F398" s="14" t="str">
        <f aca="false">IF(C398="","",C398/B398)</f>
        <v/>
      </c>
      <c r="G398" s="12" t="str">
        <f aca="false">IF(F398="","",IF(F398&lt;100,"Menos de 100 USD",IF(F398&lt;500,"100 a 500 USD",IF(F398&lt;2000,"500 a 2.000 USD","Más de 2.000 USD"))))</f>
        <v/>
      </c>
      <c r="H398" s="14" t="str">
        <f aca="false">IF(C398="","",MIN(D398,C398))</f>
        <v/>
      </c>
    </row>
    <row r="399" customFormat="false" ht="15" hidden="false" customHeight="true" outlineLevel="0" collapsed="false">
      <c r="A399" s="12" t="s">
        <v>1250</v>
      </c>
      <c r="B399" s="14" t="n">
        <v>18.885</v>
      </c>
      <c r="C399" s="14" t="str">
        <f aca="false">IF('MRR Conglomerado'!AH399&gt;0,'MRR Conglomerado'!AH399,"")</f>
        <v/>
      </c>
      <c r="D399" s="14" t="str">
        <f aca="false">IF(C399="","",'MRR Conglomerado'!AT399)</f>
        <v/>
      </c>
      <c r="E399" s="15" t="str">
        <f aca="false">IF(C399="","",D399/C399)</f>
        <v/>
      </c>
      <c r="F399" s="14" t="str">
        <f aca="false">IF(C399="","",C399/B399)</f>
        <v/>
      </c>
      <c r="G399" s="12" t="str">
        <f aca="false">IF(F399="","",IF(F399&lt;100,"Menos de 100 USD",IF(F399&lt;500,"100 a 500 USD",IF(F399&lt;2000,"500 a 2.000 USD","Más de 2.000 USD"))))</f>
        <v/>
      </c>
      <c r="H399" s="14" t="str">
        <f aca="false">IF(C399="","",MIN(D399,C399))</f>
        <v/>
      </c>
    </row>
    <row r="400" customFormat="false" ht="15" hidden="false" customHeight="true" outlineLevel="0" collapsed="false">
      <c r="A400" s="12" t="s">
        <v>1253</v>
      </c>
      <c r="B400" s="14" t="n">
        <v>18.885</v>
      </c>
      <c r="C400" s="14" t="str">
        <f aca="false">IF('MRR Conglomerado'!AH400&gt;0,'MRR Conglomerado'!AH400,"")</f>
        <v/>
      </c>
      <c r="D400" s="14" t="str">
        <f aca="false">IF(C400="","",'MRR Conglomerado'!AT400)</f>
        <v/>
      </c>
      <c r="E400" s="15" t="str">
        <f aca="false">IF(C400="","",D400/C400)</f>
        <v/>
      </c>
      <c r="F400" s="14" t="str">
        <f aca="false">IF(C400="","",C400/B400)</f>
        <v/>
      </c>
      <c r="G400" s="12" t="str">
        <f aca="false">IF(F400="","",IF(F400&lt;100,"Menos de 100 USD",IF(F400&lt;500,"100 a 500 USD",IF(F400&lt;2000,"500 a 2.000 USD","Más de 2.000 USD"))))</f>
        <v/>
      </c>
      <c r="H400" s="14" t="str">
        <f aca="false">IF(C400="","",MIN(D400,C400))</f>
        <v/>
      </c>
    </row>
    <row r="401" customFormat="false" ht="15" hidden="false" customHeight="true" outlineLevel="0" collapsed="false">
      <c r="A401" s="12" t="s">
        <v>1256</v>
      </c>
      <c r="B401" s="14" t="n">
        <v>18.885</v>
      </c>
      <c r="C401" s="14" t="n">
        <f aca="false">IF('MRR Conglomerado'!AH401&gt;0,'MRR Conglomerado'!AH401,"")</f>
        <v>1667.5455</v>
      </c>
      <c r="D401" s="14" t="n">
        <f aca="false">IF(C401="","",'MRR Conglomerado'!AT401)</f>
        <v>1832.767552</v>
      </c>
      <c r="E401" s="15" t="n">
        <f aca="false">IF(C401="","",D401/C401)</f>
        <v>1.09908098579619</v>
      </c>
      <c r="F401" s="14" t="n">
        <f aca="false">IF(C401="","",C401/B401)</f>
        <v>88.3</v>
      </c>
      <c r="G401" s="12" t="str">
        <f aca="false">IF(F401="","",IF(F401&lt;100,"Menos de 100 USD",IF(F401&lt;500,"100 a 500 USD",IF(F401&lt;2000,"500 a 2.000 USD","Más de 2.000 USD"))))</f>
        <v>Menos de 100 USD</v>
      </c>
      <c r="H401" s="14" t="n">
        <f aca="false">IF(C401="","",MIN(D401,C401))</f>
        <v>1667.5455</v>
      </c>
    </row>
    <row r="402" customFormat="false" ht="15" hidden="false" customHeight="true" outlineLevel="0" collapsed="false">
      <c r="A402" s="12" t="s">
        <v>1259</v>
      </c>
      <c r="B402" s="14" t="n">
        <v>18.885</v>
      </c>
      <c r="C402" s="14" t="str">
        <f aca="false">IF('MRR Conglomerado'!AH402&gt;0,'MRR Conglomerado'!AH402,"")</f>
        <v/>
      </c>
      <c r="D402" s="14" t="str">
        <f aca="false">IF(C402="","",'MRR Conglomerado'!AT402)</f>
        <v/>
      </c>
      <c r="E402" s="15" t="str">
        <f aca="false">IF(C402="","",D402/C402)</f>
        <v/>
      </c>
      <c r="F402" s="14" t="str">
        <f aca="false">IF(C402="","",C402/B402)</f>
        <v/>
      </c>
      <c r="G402" s="12" t="str">
        <f aca="false">IF(F402="","",IF(F402&lt;100,"Menos de 100 USD",IF(F402&lt;500,"100 a 500 USD",IF(F402&lt;2000,"500 a 2.000 USD","Más de 2.000 USD"))))</f>
        <v/>
      </c>
      <c r="H402" s="14" t="str">
        <f aca="false">IF(C402="","",MIN(D402,C402))</f>
        <v/>
      </c>
    </row>
    <row r="403" customFormat="false" ht="15" hidden="false" customHeight="true" outlineLevel="0" collapsed="false">
      <c r="A403" s="12" t="s">
        <v>1262</v>
      </c>
      <c r="B403" s="14" t="n">
        <v>18.885</v>
      </c>
      <c r="C403" s="14" t="str">
        <f aca="false">IF('MRR Conglomerado'!AH403&gt;0,'MRR Conglomerado'!AH403,"")</f>
        <v/>
      </c>
      <c r="D403" s="14" t="str">
        <f aca="false">IF(C403="","",'MRR Conglomerado'!AT403)</f>
        <v/>
      </c>
      <c r="E403" s="15" t="str">
        <f aca="false">IF(C403="","",D403/C403)</f>
        <v/>
      </c>
      <c r="F403" s="14" t="str">
        <f aca="false">IF(C403="","",C403/B403)</f>
        <v/>
      </c>
      <c r="G403" s="12" t="str">
        <f aca="false">IF(F403="","",IF(F403&lt;100,"Menos de 100 USD",IF(F403&lt;500,"100 a 500 USD",IF(F403&lt;2000,"500 a 2.000 USD","Más de 2.000 USD"))))</f>
        <v/>
      </c>
      <c r="H403" s="14" t="str">
        <f aca="false">IF(C403="","",MIN(D403,C403))</f>
        <v/>
      </c>
    </row>
    <row r="404" customFormat="false" ht="15" hidden="false" customHeight="true" outlineLevel="0" collapsed="false">
      <c r="A404" s="12" t="s">
        <v>1265</v>
      </c>
      <c r="B404" s="14" t="n">
        <v>18.885</v>
      </c>
      <c r="C404" s="14" t="str">
        <f aca="false">IF('MRR Conglomerado'!AH404&gt;0,'MRR Conglomerado'!AH404,"")</f>
        <v/>
      </c>
      <c r="D404" s="14" t="str">
        <f aca="false">IF(C404="","",'MRR Conglomerado'!AT404)</f>
        <v/>
      </c>
      <c r="E404" s="15" t="str">
        <f aca="false">IF(C404="","",D404/C404)</f>
        <v/>
      </c>
      <c r="F404" s="14" t="str">
        <f aca="false">IF(C404="","",C404/B404)</f>
        <v/>
      </c>
      <c r="G404" s="12" t="str">
        <f aca="false">IF(F404="","",IF(F404&lt;100,"Menos de 100 USD",IF(F404&lt;500,"100 a 500 USD",IF(F404&lt;2000,"500 a 2.000 USD","Más de 2.000 USD"))))</f>
        <v/>
      </c>
      <c r="H404" s="14" t="str">
        <f aca="false">IF(C404="","",MIN(D404,C404))</f>
        <v/>
      </c>
    </row>
    <row r="405" customFormat="false" ht="15" hidden="false" customHeight="true" outlineLevel="0" collapsed="false">
      <c r="A405" s="12" t="s">
        <v>1268</v>
      </c>
      <c r="B405" s="14" t="n">
        <v>18.885</v>
      </c>
      <c r="C405" s="14" t="n">
        <f aca="false">IF('MRR Conglomerado'!AH405&gt;0,'MRR Conglomerado'!AH405,"")</f>
        <v>3538.48245</v>
      </c>
      <c r="D405" s="14" t="n">
        <f aca="false">IF(C405="","",'MRR Conglomerado'!AT405)</f>
        <v>5849.384752</v>
      </c>
      <c r="E405" s="15" t="n">
        <f aca="false">IF(C405="","",D405/C405)</f>
        <v>1.6530772258034</v>
      </c>
      <c r="F405" s="14" t="n">
        <f aca="false">IF(C405="","",C405/B405)</f>
        <v>187.37</v>
      </c>
      <c r="G405" s="12" t="str">
        <f aca="false">IF(F405="","",IF(F405&lt;100,"Menos de 100 USD",IF(F405&lt;500,"100 a 500 USD",IF(F405&lt;2000,"500 a 2.000 USD","Más de 2.000 USD"))))</f>
        <v>100 a 500 USD</v>
      </c>
      <c r="H405" s="14" t="n">
        <f aca="false">IF(C405="","",MIN(D405,C405))</f>
        <v>3538.48245</v>
      </c>
    </row>
    <row r="406" customFormat="false" ht="15" hidden="false" customHeight="true" outlineLevel="0" collapsed="false">
      <c r="A406" s="12" t="s">
        <v>1271</v>
      </c>
      <c r="B406" s="14" t="n">
        <v>18.885</v>
      </c>
      <c r="C406" s="14" t="str">
        <f aca="false">IF('MRR Conglomerado'!AH406&gt;0,'MRR Conglomerado'!AH406,"")</f>
        <v/>
      </c>
      <c r="D406" s="14" t="str">
        <f aca="false">IF(C406="","",'MRR Conglomerado'!AT406)</f>
        <v/>
      </c>
      <c r="E406" s="15" t="str">
        <f aca="false">IF(C406="","",D406/C406)</f>
        <v/>
      </c>
      <c r="F406" s="14" t="str">
        <f aca="false">IF(C406="","",C406/B406)</f>
        <v/>
      </c>
      <c r="G406" s="12" t="str">
        <f aca="false">IF(F406="","",IF(F406&lt;100,"Menos de 100 USD",IF(F406&lt;500,"100 a 500 USD",IF(F406&lt;2000,"500 a 2.000 USD","Más de 2.000 USD"))))</f>
        <v/>
      </c>
      <c r="H406" s="14" t="str">
        <f aca="false">IF(C406="","",MIN(D406,C406))</f>
        <v/>
      </c>
    </row>
    <row r="407" customFormat="false" ht="15" hidden="false" customHeight="true" outlineLevel="0" collapsed="false">
      <c r="A407" s="12" t="s">
        <v>1274</v>
      </c>
      <c r="B407" s="14" t="n">
        <v>18.885</v>
      </c>
      <c r="C407" s="14" t="str">
        <f aca="false">IF('MRR Conglomerado'!AH407&gt;0,'MRR Conglomerado'!AH407,"")</f>
        <v/>
      </c>
      <c r="D407" s="14" t="str">
        <f aca="false">IF(C407="","",'MRR Conglomerado'!AT407)</f>
        <v/>
      </c>
      <c r="E407" s="15" t="str">
        <f aca="false">IF(C407="","",D407/C407)</f>
        <v/>
      </c>
      <c r="F407" s="14" t="str">
        <f aca="false">IF(C407="","",C407/B407)</f>
        <v/>
      </c>
      <c r="G407" s="12" t="str">
        <f aca="false">IF(F407="","",IF(F407&lt;100,"Menos de 100 USD",IF(F407&lt;500,"100 a 500 USD",IF(F407&lt;2000,"500 a 2.000 USD","Más de 2.000 USD"))))</f>
        <v/>
      </c>
      <c r="H407" s="14" t="str">
        <f aca="false">IF(C407="","",MIN(D407,C407))</f>
        <v/>
      </c>
    </row>
    <row r="408" customFormat="false" ht="15" hidden="false" customHeight="true" outlineLevel="0" collapsed="false">
      <c r="A408" s="12" t="s">
        <v>1277</v>
      </c>
      <c r="B408" s="14" t="n">
        <v>18.885</v>
      </c>
      <c r="C408" s="14" t="str">
        <f aca="false">IF('MRR Conglomerado'!AH408&gt;0,'MRR Conglomerado'!AH408,"")</f>
        <v/>
      </c>
      <c r="D408" s="14" t="str">
        <f aca="false">IF(C408="","",'MRR Conglomerado'!AT408)</f>
        <v/>
      </c>
      <c r="E408" s="15" t="str">
        <f aca="false">IF(C408="","",D408/C408)</f>
        <v/>
      </c>
      <c r="F408" s="14" t="str">
        <f aca="false">IF(C408="","",C408/B408)</f>
        <v/>
      </c>
      <c r="G408" s="12" t="str">
        <f aca="false">IF(F408="","",IF(F408&lt;100,"Menos de 100 USD",IF(F408&lt;500,"100 a 500 USD",IF(F408&lt;2000,"500 a 2.000 USD","Más de 2.000 USD"))))</f>
        <v/>
      </c>
      <c r="H408" s="14" t="str">
        <f aca="false">IF(C408="","",MIN(D408,C408))</f>
        <v/>
      </c>
    </row>
    <row r="409" customFormat="false" ht="15" hidden="false" customHeight="true" outlineLevel="0" collapsed="false">
      <c r="A409" s="12" t="s">
        <v>1280</v>
      </c>
      <c r="B409" s="14" t="n">
        <v>18.885</v>
      </c>
      <c r="C409" s="14" t="str">
        <f aca="false">IF('MRR Conglomerado'!AH409&gt;0,'MRR Conglomerado'!AH409,"")</f>
        <v/>
      </c>
      <c r="D409" s="14" t="str">
        <f aca="false">IF(C409="","",'MRR Conglomerado'!AT409)</f>
        <v/>
      </c>
      <c r="E409" s="15" t="str">
        <f aca="false">IF(C409="","",D409/C409)</f>
        <v/>
      </c>
      <c r="F409" s="14" t="str">
        <f aca="false">IF(C409="","",C409/B409)</f>
        <v/>
      </c>
      <c r="G409" s="12" t="str">
        <f aca="false">IF(F409="","",IF(F409&lt;100,"Menos de 100 USD",IF(F409&lt;500,"100 a 500 USD",IF(F409&lt;2000,"500 a 2.000 USD","Más de 2.000 USD"))))</f>
        <v/>
      </c>
      <c r="H409" s="14" t="str">
        <f aca="false">IF(C409="","",MIN(D409,C409))</f>
        <v/>
      </c>
    </row>
    <row r="410" customFormat="false" ht="15" hidden="false" customHeight="true" outlineLevel="0" collapsed="false">
      <c r="A410" s="12" t="s">
        <v>1283</v>
      </c>
      <c r="B410" s="14" t="n">
        <v>18.885</v>
      </c>
      <c r="C410" s="14" t="n">
        <f aca="false">IF('MRR Conglomerado'!AH410&gt;0,'MRR Conglomerado'!AH410,"")</f>
        <v>39703.824</v>
      </c>
      <c r="D410" s="14" t="n">
        <f aca="false">IF(C410="","",'MRR Conglomerado'!AT410)</f>
        <v>65645.87636</v>
      </c>
      <c r="E410" s="15" t="n">
        <f aca="false">IF(C410="","",D410/C410)</f>
        <v>1.65338926446984</v>
      </c>
      <c r="F410" s="14" t="n">
        <f aca="false">IF(C410="","",C410/B410)</f>
        <v>2102.4</v>
      </c>
      <c r="G410" s="12" t="str">
        <f aca="false">IF(F410="","",IF(F410&lt;100,"Menos de 100 USD",IF(F410&lt;500,"100 a 500 USD",IF(F410&lt;2000,"500 a 2.000 USD","Más de 2.000 USD"))))</f>
        <v>Más de 2.000 USD</v>
      </c>
      <c r="H410" s="14" t="n">
        <f aca="false">IF(C410="","",MIN(D410,C410))</f>
        <v>39703.824</v>
      </c>
    </row>
    <row r="411" customFormat="false" ht="15" hidden="false" customHeight="true" outlineLevel="0" collapsed="false">
      <c r="A411" s="12" t="s">
        <v>1286</v>
      </c>
      <c r="B411" s="14" t="n">
        <v>18.885</v>
      </c>
      <c r="C411" s="14" t="str">
        <f aca="false">IF('MRR Conglomerado'!AH411&gt;0,'MRR Conglomerado'!AH411,"")</f>
        <v/>
      </c>
      <c r="D411" s="14" t="str">
        <f aca="false">IF(C411="","",'MRR Conglomerado'!AT411)</f>
        <v/>
      </c>
      <c r="E411" s="15" t="str">
        <f aca="false">IF(C411="","",D411/C411)</f>
        <v/>
      </c>
      <c r="F411" s="14" t="str">
        <f aca="false">IF(C411="","",C411/B411)</f>
        <v/>
      </c>
      <c r="G411" s="12" t="str">
        <f aca="false">IF(F411="","",IF(F411&lt;100,"Menos de 100 USD",IF(F411&lt;500,"100 a 500 USD",IF(F411&lt;2000,"500 a 2.000 USD","Más de 2.000 USD"))))</f>
        <v/>
      </c>
      <c r="H411" s="14" t="str">
        <f aca="false">IF(C411="","",MIN(D411,C411))</f>
        <v/>
      </c>
    </row>
    <row r="412" customFormat="false" ht="15" hidden="false" customHeight="true" outlineLevel="0" collapsed="false">
      <c r="A412" s="12" t="s">
        <v>1289</v>
      </c>
      <c r="B412" s="14" t="n">
        <v>18.885</v>
      </c>
      <c r="C412" s="14" t="n">
        <f aca="false">IF('MRR Conglomerado'!AH412&gt;0,'MRR Conglomerado'!AH412,"")</f>
        <v>2574.0255</v>
      </c>
      <c r="D412" s="14" t="n">
        <f aca="false">IF(C412="","",'MRR Conglomerado'!AT412)</f>
        <v>4721.756664</v>
      </c>
      <c r="E412" s="15" t="n">
        <f aca="false">IF(C412="","",D412/C412)</f>
        <v>1.83438612554538</v>
      </c>
      <c r="F412" s="14" t="n">
        <f aca="false">IF(C412="","",C412/B412)</f>
        <v>136.3</v>
      </c>
      <c r="G412" s="12" t="str">
        <f aca="false">IF(F412="","",IF(F412&lt;100,"Menos de 100 USD",IF(F412&lt;500,"100 a 500 USD",IF(F412&lt;2000,"500 a 2.000 USD","Más de 2.000 USD"))))</f>
        <v>100 a 500 USD</v>
      </c>
      <c r="H412" s="14" t="n">
        <f aca="false">IF(C412="","",MIN(D412,C412))</f>
        <v>2574.0255</v>
      </c>
    </row>
    <row r="413" customFormat="false" ht="15" hidden="false" customHeight="true" outlineLevel="0" collapsed="false">
      <c r="A413" s="12" t="s">
        <v>1292</v>
      </c>
      <c r="B413" s="14" t="n">
        <v>18.885</v>
      </c>
      <c r="C413" s="14" t="str">
        <f aca="false">IF('MRR Conglomerado'!AH413&gt;0,'MRR Conglomerado'!AH413,"")</f>
        <v/>
      </c>
      <c r="D413" s="14" t="str">
        <f aca="false">IF(C413="","",'MRR Conglomerado'!AT413)</f>
        <v/>
      </c>
      <c r="E413" s="15" t="str">
        <f aca="false">IF(C413="","",D413/C413)</f>
        <v/>
      </c>
      <c r="F413" s="14" t="str">
        <f aca="false">IF(C413="","",C413/B413)</f>
        <v/>
      </c>
      <c r="G413" s="12" t="str">
        <f aca="false">IF(F413="","",IF(F413&lt;100,"Menos de 100 USD",IF(F413&lt;500,"100 a 500 USD",IF(F413&lt;2000,"500 a 2.000 USD","Más de 2.000 USD"))))</f>
        <v/>
      </c>
      <c r="H413" s="14" t="str">
        <f aca="false">IF(C413="","",MIN(D413,C413))</f>
        <v/>
      </c>
    </row>
    <row r="414" customFormat="false" ht="15" hidden="false" customHeight="true" outlineLevel="0" collapsed="false">
      <c r="A414" s="12" t="s">
        <v>1295</v>
      </c>
      <c r="B414" s="14" t="n">
        <v>18.885</v>
      </c>
      <c r="C414" s="14" t="str">
        <f aca="false">IF('MRR Conglomerado'!AH414&gt;0,'MRR Conglomerado'!AH414,"")</f>
        <v/>
      </c>
      <c r="D414" s="14" t="str">
        <f aca="false">IF(C414="","",'MRR Conglomerado'!AT414)</f>
        <v/>
      </c>
      <c r="E414" s="15" t="str">
        <f aca="false">IF(C414="","",D414/C414)</f>
        <v/>
      </c>
      <c r="F414" s="14" t="str">
        <f aca="false">IF(C414="","",C414/B414)</f>
        <v/>
      </c>
      <c r="G414" s="12" t="str">
        <f aca="false">IF(F414="","",IF(F414&lt;100,"Menos de 100 USD",IF(F414&lt;500,"100 a 500 USD",IF(F414&lt;2000,"500 a 2.000 USD","Más de 2.000 USD"))))</f>
        <v/>
      </c>
      <c r="H414" s="14" t="str">
        <f aca="false">IF(C414="","",MIN(D414,C414))</f>
        <v/>
      </c>
    </row>
    <row r="415" customFormat="false" ht="15" hidden="false" customHeight="true" outlineLevel="0" collapsed="false">
      <c r="A415" s="12" t="s">
        <v>1298</v>
      </c>
      <c r="B415" s="14" t="n">
        <v>18.885</v>
      </c>
      <c r="C415" s="14" t="n">
        <f aca="false">IF('MRR Conglomerado'!AH415&gt;0,'MRR Conglomerado'!AH415,"")</f>
        <v>11280.0105</v>
      </c>
      <c r="D415" s="14" t="n">
        <f aca="false">IF(C415="","",'MRR Conglomerado'!AT415)</f>
        <v>0</v>
      </c>
      <c r="E415" s="15" t="n">
        <f aca="false">IF(C415="","",D415/C415)</f>
        <v>0</v>
      </c>
      <c r="F415" s="14" t="n">
        <f aca="false">IF(C415="","",C415/B415)</f>
        <v>597.3</v>
      </c>
      <c r="G415" s="12" t="str">
        <f aca="false">IF(F415="","",IF(F415&lt;100,"Menos de 100 USD",IF(F415&lt;500,"100 a 500 USD",IF(F415&lt;2000,"500 a 2.000 USD","Más de 2.000 USD"))))</f>
        <v>500 a 2.000 USD</v>
      </c>
      <c r="H415" s="14" t="n">
        <f aca="false">IF(C415="","",MIN(D415,C415))</f>
        <v>0</v>
      </c>
    </row>
    <row r="416" customFormat="false" ht="15" hidden="false" customHeight="true" outlineLevel="0" collapsed="false">
      <c r="A416" s="12" t="s">
        <v>1301</v>
      </c>
      <c r="B416" s="14" t="n">
        <v>18.885</v>
      </c>
      <c r="C416" s="14" t="n">
        <f aca="false">IF('MRR Conglomerado'!AH416&gt;0,'MRR Conglomerado'!AH416,"")</f>
        <v>3735.26415</v>
      </c>
      <c r="D416" s="14" t="n">
        <f aca="false">IF(C416="","",'MRR Conglomerado'!AT416)</f>
        <v>3735.366488</v>
      </c>
      <c r="E416" s="15" t="n">
        <f aca="false">IF(C416="","",D416/C416)</f>
        <v>1.00002739779461</v>
      </c>
      <c r="F416" s="14" t="n">
        <f aca="false">IF(C416="","",C416/B416)</f>
        <v>197.79</v>
      </c>
      <c r="G416" s="12" t="str">
        <f aca="false">IF(F416="","",IF(F416&lt;100,"Menos de 100 USD",IF(F416&lt;500,"100 a 500 USD",IF(F416&lt;2000,"500 a 2.000 USD","Más de 2.000 USD"))))</f>
        <v>100 a 500 USD</v>
      </c>
      <c r="H416" s="14" t="n">
        <f aca="false">IF(C416="","",MIN(D416,C416))</f>
        <v>3735.26415</v>
      </c>
    </row>
    <row r="417" customFormat="false" ht="15" hidden="false" customHeight="true" outlineLevel="0" collapsed="false">
      <c r="A417" s="12" t="s">
        <v>1304</v>
      </c>
      <c r="B417" s="14" t="n">
        <v>18.885</v>
      </c>
      <c r="C417" s="14" t="str">
        <f aca="false">IF('MRR Conglomerado'!AH417&gt;0,'MRR Conglomerado'!AH417,"")</f>
        <v/>
      </c>
      <c r="D417" s="14" t="str">
        <f aca="false">IF(C417="","",'MRR Conglomerado'!AT417)</f>
        <v/>
      </c>
      <c r="E417" s="15" t="str">
        <f aca="false">IF(C417="","",D417/C417)</f>
        <v/>
      </c>
      <c r="F417" s="14" t="str">
        <f aca="false">IF(C417="","",C417/B417)</f>
        <v/>
      </c>
      <c r="G417" s="12" t="str">
        <f aca="false">IF(F417="","",IF(F417&lt;100,"Menos de 100 USD",IF(F417&lt;500,"100 a 500 USD",IF(F417&lt;2000,"500 a 2.000 USD","Más de 2.000 USD"))))</f>
        <v/>
      </c>
      <c r="H417" s="14" t="str">
        <f aca="false">IF(C417="","",MIN(D417,C417))</f>
        <v/>
      </c>
    </row>
    <row r="418" customFormat="false" ht="15" hidden="false" customHeight="true" outlineLevel="0" collapsed="false">
      <c r="A418" s="12" t="s">
        <v>1307</v>
      </c>
      <c r="B418" s="14" t="n">
        <v>18.885</v>
      </c>
      <c r="C418" s="14" t="str">
        <f aca="false">IF('MRR Conglomerado'!AH418&gt;0,'MRR Conglomerado'!AH418,"")</f>
        <v/>
      </c>
      <c r="D418" s="14" t="str">
        <f aca="false">IF(C418="","",'MRR Conglomerado'!AT418)</f>
        <v/>
      </c>
      <c r="E418" s="15" t="str">
        <f aca="false">IF(C418="","",D418/C418)</f>
        <v/>
      </c>
      <c r="F418" s="14" t="str">
        <f aca="false">IF(C418="","",C418/B418)</f>
        <v/>
      </c>
      <c r="G418" s="12" t="str">
        <f aca="false">IF(F418="","",IF(F418&lt;100,"Menos de 100 USD",IF(F418&lt;500,"100 a 500 USD",IF(F418&lt;2000,"500 a 2.000 USD","Más de 2.000 USD"))))</f>
        <v/>
      </c>
      <c r="H418" s="14" t="str">
        <f aca="false">IF(C418="","",MIN(D418,C418))</f>
        <v/>
      </c>
    </row>
    <row r="419" customFormat="false" ht="15" hidden="false" customHeight="true" outlineLevel="0" collapsed="false">
      <c r="A419" s="12" t="s">
        <v>1310</v>
      </c>
      <c r="B419" s="14" t="n">
        <v>18.885</v>
      </c>
      <c r="C419" s="14" t="str">
        <f aca="false">IF('MRR Conglomerado'!AH419&gt;0,'MRR Conglomerado'!AH419,"")</f>
        <v/>
      </c>
      <c r="D419" s="14" t="str">
        <f aca="false">IF(C419="","",'MRR Conglomerado'!AT419)</f>
        <v/>
      </c>
      <c r="E419" s="15" t="str">
        <f aca="false">IF(C419="","",D419/C419)</f>
        <v/>
      </c>
      <c r="F419" s="14" t="str">
        <f aca="false">IF(C419="","",C419/B419)</f>
        <v/>
      </c>
      <c r="G419" s="12" t="str">
        <f aca="false">IF(F419="","",IF(F419&lt;100,"Menos de 100 USD",IF(F419&lt;500,"100 a 500 USD",IF(F419&lt;2000,"500 a 2.000 USD","Más de 2.000 USD"))))</f>
        <v/>
      </c>
      <c r="H419" s="14" t="str">
        <f aca="false">IF(C419="","",MIN(D419,C419))</f>
        <v/>
      </c>
    </row>
    <row r="420" customFormat="false" ht="15" hidden="false" customHeight="true" outlineLevel="0" collapsed="false">
      <c r="A420" s="12" t="s">
        <v>1313</v>
      </c>
      <c r="B420" s="14" t="n">
        <v>18.885</v>
      </c>
      <c r="C420" s="14" t="n">
        <f aca="false">IF('MRR Conglomerado'!AH420&gt;0,'MRR Conglomerado'!AH420,"")</f>
        <v>782.40555</v>
      </c>
      <c r="D420" s="14" t="n">
        <f aca="false">IF(C420="","",'MRR Conglomerado'!AT420)</f>
        <v>935.985568</v>
      </c>
      <c r="E420" s="15" t="n">
        <f aca="false">IF(C420="","",D420/C420)</f>
        <v>1.1962920866295</v>
      </c>
      <c r="F420" s="14" t="n">
        <f aca="false">IF(C420="","",C420/B420)</f>
        <v>41.43</v>
      </c>
      <c r="G420" s="12" t="str">
        <f aca="false">IF(F420="","",IF(F420&lt;100,"Menos de 100 USD",IF(F420&lt;500,"100 a 500 USD",IF(F420&lt;2000,"500 a 2.000 USD","Más de 2.000 USD"))))</f>
        <v>Menos de 100 USD</v>
      </c>
      <c r="H420" s="14" t="n">
        <f aca="false">IF(C420="","",MIN(D420,C420))</f>
        <v>782.40555</v>
      </c>
    </row>
    <row r="421" customFormat="false" ht="15" hidden="false" customHeight="true" outlineLevel="0" collapsed="false">
      <c r="A421" s="12" t="s">
        <v>1316</v>
      </c>
      <c r="B421" s="14" t="n">
        <v>18.885</v>
      </c>
      <c r="C421" s="14" t="n">
        <f aca="false">IF('MRR Conglomerado'!AH421&gt;0,'MRR Conglomerado'!AH421,"")</f>
        <v>749.92335</v>
      </c>
      <c r="D421" s="14" t="n">
        <f aca="false">IF(C421="","",'MRR Conglomerado'!AT421)</f>
        <v>0</v>
      </c>
      <c r="E421" s="15" t="n">
        <f aca="false">IF(C421="","",D421/C421)</f>
        <v>0</v>
      </c>
      <c r="F421" s="14" t="n">
        <f aca="false">IF(C421="","",C421/B421)</f>
        <v>39.71</v>
      </c>
      <c r="G421" s="12" t="str">
        <f aca="false">IF(F421="","",IF(F421&lt;100,"Menos de 100 USD",IF(F421&lt;500,"100 a 500 USD",IF(F421&lt;2000,"500 a 2.000 USD","Más de 2.000 USD"))))</f>
        <v>Menos de 100 USD</v>
      </c>
      <c r="H421" s="14" t="n">
        <f aca="false">IF(C421="","",MIN(D421,C421))</f>
        <v>0</v>
      </c>
    </row>
    <row r="422" customFormat="false" ht="15" hidden="false" customHeight="true" outlineLevel="0" collapsed="false">
      <c r="A422" s="12" t="s">
        <v>1319</v>
      </c>
      <c r="B422" s="14" t="n">
        <v>18.885</v>
      </c>
      <c r="C422" s="14" t="str">
        <f aca="false">IF('MRR Conglomerado'!AH422&gt;0,'MRR Conglomerado'!AH422,"")</f>
        <v/>
      </c>
      <c r="D422" s="14" t="str">
        <f aca="false">IF(C422="","",'MRR Conglomerado'!AT422)</f>
        <v/>
      </c>
      <c r="E422" s="15" t="str">
        <f aca="false">IF(C422="","",D422/C422)</f>
        <v/>
      </c>
      <c r="F422" s="14" t="str">
        <f aca="false">IF(C422="","",C422/B422)</f>
        <v/>
      </c>
      <c r="G422" s="12" t="str">
        <f aca="false">IF(F422="","",IF(F422&lt;100,"Menos de 100 USD",IF(F422&lt;500,"100 a 500 USD",IF(F422&lt;2000,"500 a 2.000 USD","Más de 2.000 USD"))))</f>
        <v/>
      </c>
      <c r="H422" s="14" t="str">
        <f aca="false">IF(C422="","",MIN(D422,C422))</f>
        <v/>
      </c>
    </row>
    <row r="423" customFormat="false" ht="15" hidden="false" customHeight="true" outlineLevel="0" collapsed="false">
      <c r="A423" s="12" t="s">
        <v>1322</v>
      </c>
      <c r="B423" s="14" t="n">
        <v>18.885</v>
      </c>
      <c r="C423" s="14" t="n">
        <f aca="false">IF('MRR Conglomerado'!AH423&gt;0,'MRR Conglomerado'!AH423,"")</f>
        <v>781.65015</v>
      </c>
      <c r="D423" s="14" t="n">
        <f aca="false">IF(C423="","",'MRR Conglomerado'!AT423)</f>
        <v>810.499096</v>
      </c>
      <c r="E423" s="15" t="n">
        <f aca="false">IF(C423="","",D423/C423)</f>
        <v>1.03690774702723</v>
      </c>
      <c r="F423" s="14" t="n">
        <f aca="false">IF(C423="","",C423/B423)</f>
        <v>41.39</v>
      </c>
      <c r="G423" s="12" t="str">
        <f aca="false">IF(F423="","",IF(F423&lt;100,"Menos de 100 USD",IF(F423&lt;500,"100 a 500 USD",IF(F423&lt;2000,"500 a 2.000 USD","Más de 2.000 USD"))))</f>
        <v>Menos de 100 USD</v>
      </c>
      <c r="H423" s="14" t="n">
        <f aca="false">IF(C423="","",MIN(D423,C423))</f>
        <v>781.65015</v>
      </c>
    </row>
    <row r="424" customFormat="false" ht="15" hidden="false" customHeight="true" outlineLevel="0" collapsed="false">
      <c r="A424" s="12" t="s">
        <v>1325</v>
      </c>
      <c r="B424" s="14" t="n">
        <v>18.885</v>
      </c>
      <c r="C424" s="14" t="str">
        <f aca="false">IF('MRR Conglomerado'!AH424&gt;0,'MRR Conglomerado'!AH424,"")</f>
        <v/>
      </c>
      <c r="D424" s="14" t="str">
        <f aca="false">IF(C424="","",'MRR Conglomerado'!AT424)</f>
        <v/>
      </c>
      <c r="E424" s="15" t="str">
        <f aca="false">IF(C424="","",D424/C424)</f>
        <v/>
      </c>
      <c r="F424" s="14" t="str">
        <f aca="false">IF(C424="","",C424/B424)</f>
        <v/>
      </c>
      <c r="G424" s="12" t="str">
        <f aca="false">IF(F424="","",IF(F424&lt;100,"Menos de 100 USD",IF(F424&lt;500,"100 a 500 USD",IF(F424&lt;2000,"500 a 2.000 USD","Más de 2.000 USD"))))</f>
        <v/>
      </c>
      <c r="H424" s="14" t="str">
        <f aca="false">IF(C424="","",MIN(D424,C424))</f>
        <v/>
      </c>
    </row>
    <row r="425" customFormat="false" ht="15" hidden="false" customHeight="true" outlineLevel="0" collapsed="false">
      <c r="A425" s="12" t="s">
        <v>1328</v>
      </c>
      <c r="B425" s="14" t="n">
        <v>18.885</v>
      </c>
      <c r="C425" s="14" t="n">
        <f aca="false">IF('MRR Conglomerado'!AH425&gt;0,'MRR Conglomerado'!AH425,"")</f>
        <v>480.0567</v>
      </c>
      <c r="D425" s="14" t="n">
        <f aca="false">IF(C425="","",'MRR Conglomerado'!AT425)</f>
        <v>497.745504</v>
      </c>
      <c r="E425" s="15" t="n">
        <f aca="false">IF(C425="","",D425/C425)</f>
        <v>1.03684732241004</v>
      </c>
      <c r="F425" s="14" t="n">
        <f aca="false">IF(C425="","",C425/B425)</f>
        <v>25.42</v>
      </c>
      <c r="G425" s="12" t="str">
        <f aca="false">IF(F425="","",IF(F425&lt;100,"Menos de 100 USD",IF(F425&lt;500,"100 a 500 USD",IF(F425&lt;2000,"500 a 2.000 USD","Más de 2.000 USD"))))</f>
        <v>Menos de 100 USD</v>
      </c>
      <c r="H425" s="14" t="n">
        <f aca="false">IF(C425="","",MIN(D425,C425))</f>
        <v>480.0567</v>
      </c>
    </row>
    <row r="426" customFormat="false" ht="15" hidden="false" customHeight="true" outlineLevel="0" collapsed="false">
      <c r="A426" s="12" t="s">
        <v>1331</v>
      </c>
      <c r="B426" s="14" t="n">
        <v>18.885</v>
      </c>
      <c r="C426" s="14" t="n">
        <f aca="false">IF('MRR Conglomerado'!AH426&gt;0,'MRR Conglomerado'!AH426,"")</f>
        <v>992.40675</v>
      </c>
      <c r="D426" s="14" t="n">
        <f aca="false">IF(C426="","",'MRR Conglomerado'!AT426)</f>
        <v>1304.219232</v>
      </c>
      <c r="E426" s="15" t="n">
        <f aca="false">IF(C426="","",D426/C426)</f>
        <v>1.31419826799848</v>
      </c>
      <c r="F426" s="14" t="n">
        <f aca="false">IF(C426="","",C426/B426)</f>
        <v>52.55</v>
      </c>
      <c r="G426" s="12" t="str">
        <f aca="false">IF(F426="","",IF(F426&lt;100,"Menos de 100 USD",IF(F426&lt;500,"100 a 500 USD",IF(F426&lt;2000,"500 a 2.000 USD","Más de 2.000 USD"))))</f>
        <v>Menos de 100 USD</v>
      </c>
      <c r="H426" s="14" t="n">
        <f aca="false">IF(C426="","",MIN(D426,C426))</f>
        <v>992.40675</v>
      </c>
    </row>
    <row r="427" customFormat="false" ht="15" hidden="false" customHeight="true" outlineLevel="0" collapsed="false">
      <c r="A427" s="12" t="s">
        <v>1334</v>
      </c>
      <c r="B427" s="14" t="n">
        <v>18.885</v>
      </c>
      <c r="C427" s="14" t="str">
        <f aca="false">IF('MRR Conglomerado'!AH427&gt;0,'MRR Conglomerado'!AH427,"")</f>
        <v/>
      </c>
      <c r="D427" s="14" t="str">
        <f aca="false">IF(C427="","",'MRR Conglomerado'!AT427)</f>
        <v/>
      </c>
      <c r="E427" s="15" t="str">
        <f aca="false">IF(C427="","",D427/C427)</f>
        <v/>
      </c>
      <c r="F427" s="14" t="str">
        <f aca="false">IF(C427="","",C427/B427)</f>
        <v/>
      </c>
      <c r="G427" s="12" t="str">
        <f aca="false">IF(F427="","",IF(F427&lt;100,"Menos de 100 USD",IF(F427&lt;500,"100 a 500 USD",IF(F427&lt;2000,"500 a 2.000 USD","Más de 2.000 USD"))))</f>
        <v/>
      </c>
      <c r="H427" s="14" t="str">
        <f aca="false">IF(C427="","",MIN(D427,C427))</f>
        <v/>
      </c>
    </row>
    <row r="428" customFormat="false" ht="15" hidden="false" customHeight="true" outlineLevel="0" collapsed="false">
      <c r="A428" s="12" t="s">
        <v>1337</v>
      </c>
      <c r="B428" s="14" t="n">
        <v>18.885</v>
      </c>
      <c r="C428" s="14" t="n">
        <f aca="false">IF('MRR Conglomerado'!AH428&gt;0,'MRR Conglomerado'!AH428,"")</f>
        <v>9051.5805</v>
      </c>
      <c r="D428" s="14" t="n">
        <f aca="false">IF(C428="","",'MRR Conglomerado'!AT428)</f>
        <v>10149.17784</v>
      </c>
      <c r="E428" s="15" t="n">
        <f aca="false">IF(C428="","",D428/C428)</f>
        <v>1.12126029702768</v>
      </c>
      <c r="F428" s="14" t="n">
        <f aca="false">IF(C428="","",C428/B428)</f>
        <v>479.3</v>
      </c>
      <c r="G428" s="12" t="str">
        <f aca="false">IF(F428="","",IF(F428&lt;100,"Menos de 100 USD",IF(F428&lt;500,"100 a 500 USD",IF(F428&lt;2000,"500 a 2.000 USD","Más de 2.000 USD"))))</f>
        <v>100 a 500 USD</v>
      </c>
      <c r="H428" s="14" t="n">
        <f aca="false">IF(C428="","",MIN(D428,C428))</f>
        <v>9051.5805</v>
      </c>
    </row>
    <row r="429" customFormat="false" ht="15" hidden="false" customHeight="true" outlineLevel="0" collapsed="false">
      <c r="A429" s="12" t="s">
        <v>1340</v>
      </c>
      <c r="B429" s="14" t="n">
        <v>18.885</v>
      </c>
      <c r="C429" s="14" t="str">
        <f aca="false">IF('MRR Conglomerado'!AH429&gt;0,'MRR Conglomerado'!AH429,"")</f>
        <v/>
      </c>
      <c r="D429" s="14" t="str">
        <f aca="false">IF(C429="","",'MRR Conglomerado'!AT429)</f>
        <v/>
      </c>
      <c r="E429" s="15" t="str">
        <f aca="false">IF(C429="","",D429/C429)</f>
        <v/>
      </c>
      <c r="F429" s="14" t="str">
        <f aca="false">IF(C429="","",C429/B429)</f>
        <v/>
      </c>
      <c r="G429" s="12" t="str">
        <f aca="false">IF(F429="","",IF(F429&lt;100,"Menos de 100 USD",IF(F429&lt;500,"100 a 500 USD",IF(F429&lt;2000,"500 a 2.000 USD","Más de 2.000 USD"))))</f>
        <v/>
      </c>
      <c r="H429" s="14" t="str">
        <f aca="false">IF(C429="","",MIN(D429,C429))</f>
        <v/>
      </c>
    </row>
    <row r="430" customFormat="false" ht="15" hidden="false" customHeight="true" outlineLevel="0" collapsed="false">
      <c r="A430" s="12" t="s">
        <v>1343</v>
      </c>
      <c r="B430" s="14" t="n">
        <v>18.885</v>
      </c>
      <c r="C430" s="14" t="str">
        <f aca="false">IF('MRR Conglomerado'!AH430&gt;0,'MRR Conglomerado'!AH430,"")</f>
        <v/>
      </c>
      <c r="D430" s="14" t="str">
        <f aca="false">IF(C430="","",'MRR Conglomerado'!AT430)</f>
        <v/>
      </c>
      <c r="E430" s="15" t="str">
        <f aca="false">IF(C430="","",D430/C430)</f>
        <v/>
      </c>
      <c r="F430" s="14" t="str">
        <f aca="false">IF(C430="","",C430/B430)</f>
        <v/>
      </c>
      <c r="G430" s="12" t="str">
        <f aca="false">IF(F430="","",IF(F430&lt;100,"Menos de 100 USD",IF(F430&lt;500,"100 a 500 USD",IF(F430&lt;2000,"500 a 2.000 USD","Más de 2.000 USD"))))</f>
        <v/>
      </c>
      <c r="H430" s="14" t="str">
        <f aca="false">IF(C430="","",MIN(D430,C430))</f>
        <v/>
      </c>
    </row>
    <row r="431" customFormat="false" ht="15" hidden="false" customHeight="true" outlineLevel="0" collapsed="false">
      <c r="A431" s="12" t="s">
        <v>1346</v>
      </c>
      <c r="B431" s="14" t="n">
        <v>18.885</v>
      </c>
      <c r="C431" s="14" t="str">
        <f aca="false">IF('MRR Conglomerado'!AH431&gt;0,'MRR Conglomerado'!AH431,"")</f>
        <v/>
      </c>
      <c r="D431" s="14" t="str">
        <f aca="false">IF(C431="","",'MRR Conglomerado'!AT431)</f>
        <v/>
      </c>
      <c r="E431" s="15" t="str">
        <f aca="false">IF(C431="","",D431/C431)</f>
        <v/>
      </c>
      <c r="F431" s="14" t="str">
        <f aca="false">IF(C431="","",C431/B431)</f>
        <v/>
      </c>
      <c r="G431" s="12" t="str">
        <f aca="false">IF(F431="","",IF(F431&lt;100,"Menos de 100 USD",IF(F431&lt;500,"100 a 500 USD",IF(F431&lt;2000,"500 a 2.000 USD","Más de 2.000 USD"))))</f>
        <v/>
      </c>
      <c r="H431" s="14" t="str">
        <f aca="false">IF(C431="","",MIN(D431,C431))</f>
        <v/>
      </c>
    </row>
    <row r="432" customFormat="false" ht="15" hidden="false" customHeight="true" outlineLevel="0" collapsed="false">
      <c r="A432" s="12" t="s">
        <v>1349</v>
      </c>
      <c r="B432" s="14" t="n">
        <v>18.885</v>
      </c>
      <c r="C432" s="14" t="n">
        <f aca="false">IF('MRR Conglomerado'!AH432&gt;0,'MRR Conglomerado'!AH432,"")</f>
        <v>34650.00915</v>
      </c>
      <c r="D432" s="14" t="n">
        <f aca="false">IF(C432="","",'MRR Conglomerado'!AT432)</f>
        <v>34650.017712</v>
      </c>
      <c r="E432" s="15" t="n">
        <f aca="false">IF(C432="","",D432/C432)</f>
        <v>1.0000002470995</v>
      </c>
      <c r="F432" s="14" t="n">
        <f aca="false">IF(C432="","",C432/B432)</f>
        <v>1834.79</v>
      </c>
      <c r="G432" s="12" t="str">
        <f aca="false">IF(F432="","",IF(F432&lt;100,"Menos de 100 USD",IF(F432&lt;500,"100 a 500 USD",IF(F432&lt;2000,"500 a 2.000 USD","Más de 2.000 USD"))))</f>
        <v>500 a 2.000 USD</v>
      </c>
      <c r="H432" s="14" t="n">
        <f aca="false">IF(C432="","",MIN(D432,C432))</f>
        <v>34650.00915</v>
      </c>
    </row>
    <row r="433" customFormat="false" ht="15" hidden="false" customHeight="true" outlineLevel="0" collapsed="false">
      <c r="A433" s="12" t="s">
        <v>1352</v>
      </c>
      <c r="B433" s="14" t="n">
        <v>18.885</v>
      </c>
      <c r="C433" s="14" t="str">
        <f aca="false">IF('MRR Conglomerado'!AH433&gt;0,'MRR Conglomerado'!AH433,"")</f>
        <v/>
      </c>
      <c r="D433" s="14" t="str">
        <f aca="false">IF(C433="","",'MRR Conglomerado'!AT433)</f>
        <v/>
      </c>
      <c r="E433" s="15" t="str">
        <f aca="false">IF(C433="","",D433/C433)</f>
        <v/>
      </c>
      <c r="F433" s="14" t="str">
        <f aca="false">IF(C433="","",C433/B433)</f>
        <v/>
      </c>
      <c r="G433" s="12" t="str">
        <f aca="false">IF(F433="","",IF(F433&lt;100,"Menos de 100 USD",IF(F433&lt;500,"100 a 500 USD",IF(F433&lt;2000,"500 a 2.000 USD","Más de 2.000 USD"))))</f>
        <v/>
      </c>
      <c r="H433" s="14" t="str">
        <f aca="false">IF(C433="","",MIN(D433,C433))</f>
        <v/>
      </c>
    </row>
    <row r="434" customFormat="false" ht="15" hidden="false" customHeight="true" outlineLevel="0" collapsed="false">
      <c r="A434" s="12" t="s">
        <v>1355</v>
      </c>
      <c r="B434" s="14" t="n">
        <v>18.885</v>
      </c>
      <c r="C434" s="14" t="n">
        <f aca="false">IF('MRR Conglomerado'!AH434&gt;0,'MRR Conglomerado'!AH434,"")</f>
        <v>1050.006</v>
      </c>
      <c r="D434" s="14" t="n">
        <f aca="false">IF(C434="","",'MRR Conglomerado'!AT434)</f>
        <v>0</v>
      </c>
      <c r="E434" s="15" t="n">
        <f aca="false">IF(C434="","",D434/C434)</f>
        <v>0</v>
      </c>
      <c r="F434" s="14" t="n">
        <f aca="false">IF(C434="","",C434/B434)</f>
        <v>55.6</v>
      </c>
      <c r="G434" s="12" t="str">
        <f aca="false">IF(F434="","",IF(F434&lt;100,"Menos de 100 USD",IF(F434&lt;500,"100 a 500 USD",IF(F434&lt;2000,"500 a 2.000 USD","Más de 2.000 USD"))))</f>
        <v>Menos de 100 USD</v>
      </c>
      <c r="H434" s="14" t="n">
        <f aca="false">IF(C434="","",MIN(D434,C434))</f>
        <v>0</v>
      </c>
    </row>
    <row r="435" customFormat="false" ht="15" hidden="false" customHeight="true" outlineLevel="0" collapsed="false">
      <c r="A435" s="12" t="s">
        <v>1358</v>
      </c>
      <c r="B435" s="14" t="n">
        <v>18.885</v>
      </c>
      <c r="C435" s="14" t="str">
        <f aca="false">IF('MRR Conglomerado'!AH435&gt;0,'MRR Conglomerado'!AH435,"")</f>
        <v/>
      </c>
      <c r="D435" s="14" t="str">
        <f aca="false">IF(C435="","",'MRR Conglomerado'!AT435)</f>
        <v/>
      </c>
      <c r="E435" s="15" t="str">
        <f aca="false">IF(C435="","",D435/C435)</f>
        <v/>
      </c>
      <c r="F435" s="14" t="str">
        <f aca="false">IF(C435="","",C435/B435)</f>
        <v/>
      </c>
      <c r="G435" s="12" t="str">
        <f aca="false">IF(F435="","",IF(F435&lt;100,"Menos de 100 USD",IF(F435&lt;500,"100 a 500 USD",IF(F435&lt;2000,"500 a 2.000 USD","Más de 2.000 USD"))))</f>
        <v/>
      </c>
      <c r="H435" s="14" t="str">
        <f aca="false">IF(C435="","",MIN(D435,C435))</f>
        <v/>
      </c>
    </row>
    <row r="436" customFormat="false" ht="15" hidden="false" customHeight="true" outlineLevel="0" collapsed="false">
      <c r="A436" s="12" t="s">
        <v>1361</v>
      </c>
      <c r="B436" s="14" t="n">
        <v>18.885</v>
      </c>
      <c r="C436" s="14" t="str">
        <f aca="false">IF('MRR Conglomerado'!AH436&gt;0,'MRR Conglomerado'!AH436,"")</f>
        <v/>
      </c>
      <c r="D436" s="14" t="str">
        <f aca="false">IF(C436="","",'MRR Conglomerado'!AT436)</f>
        <v/>
      </c>
      <c r="E436" s="15" t="str">
        <f aca="false">IF(C436="","",D436/C436)</f>
        <v/>
      </c>
      <c r="F436" s="14" t="str">
        <f aca="false">IF(C436="","",C436/B436)</f>
        <v/>
      </c>
      <c r="G436" s="12" t="str">
        <f aca="false">IF(F436="","",IF(F436&lt;100,"Menos de 100 USD",IF(F436&lt;500,"100 a 500 USD",IF(F436&lt;2000,"500 a 2.000 USD","Más de 2.000 USD"))))</f>
        <v/>
      </c>
      <c r="H436" s="14" t="str">
        <f aca="false">IF(C436="","",MIN(D436,C436))</f>
        <v/>
      </c>
    </row>
    <row r="437" customFormat="false" ht="15" hidden="false" customHeight="true" outlineLevel="0" collapsed="false">
      <c r="A437" s="12" t="s">
        <v>1364</v>
      </c>
      <c r="B437" s="14" t="n">
        <v>18.885</v>
      </c>
      <c r="C437" s="14" t="str">
        <f aca="false">IF('MRR Conglomerado'!AH437&gt;0,'MRR Conglomerado'!AH437,"")</f>
        <v/>
      </c>
      <c r="D437" s="14" t="str">
        <f aca="false">IF(C437="","",'MRR Conglomerado'!AT437)</f>
        <v/>
      </c>
      <c r="E437" s="15" t="str">
        <f aca="false">IF(C437="","",D437/C437)</f>
        <v/>
      </c>
      <c r="F437" s="14" t="str">
        <f aca="false">IF(C437="","",C437/B437)</f>
        <v/>
      </c>
      <c r="G437" s="12" t="str">
        <f aca="false">IF(F437="","",IF(F437&lt;100,"Menos de 100 USD",IF(F437&lt;500,"100 a 500 USD",IF(F437&lt;2000,"500 a 2.000 USD","Más de 2.000 USD"))))</f>
        <v/>
      </c>
      <c r="H437" s="14" t="str">
        <f aca="false">IF(C437="","",MIN(D437,C437))</f>
        <v/>
      </c>
    </row>
    <row r="438" customFormat="false" ht="15" hidden="false" customHeight="true" outlineLevel="0" collapsed="false">
      <c r="A438" s="12" t="s">
        <v>1367</v>
      </c>
      <c r="B438" s="14" t="n">
        <v>18.885</v>
      </c>
      <c r="C438" s="14" t="str">
        <f aca="false">IF('MRR Conglomerado'!AH438&gt;0,'MRR Conglomerado'!AH438,"")</f>
        <v/>
      </c>
      <c r="D438" s="14" t="str">
        <f aca="false">IF(C438="","",'MRR Conglomerado'!AT438)</f>
        <v/>
      </c>
      <c r="E438" s="15" t="str">
        <f aca="false">IF(C438="","",D438/C438)</f>
        <v/>
      </c>
      <c r="F438" s="14" t="str">
        <f aca="false">IF(C438="","",C438/B438)</f>
        <v/>
      </c>
      <c r="G438" s="12" t="str">
        <f aca="false">IF(F438="","",IF(F438&lt;100,"Menos de 100 USD",IF(F438&lt;500,"100 a 500 USD",IF(F438&lt;2000,"500 a 2.000 USD","Más de 2.000 USD"))))</f>
        <v/>
      </c>
      <c r="H438" s="14" t="str">
        <f aca="false">IF(C438="","",MIN(D438,C438))</f>
        <v/>
      </c>
    </row>
    <row r="439" customFormat="false" ht="15" hidden="false" customHeight="true" outlineLevel="0" collapsed="false">
      <c r="A439" s="12" t="s">
        <v>1370</v>
      </c>
      <c r="B439" s="14" t="n">
        <v>18.885</v>
      </c>
      <c r="C439" s="14" t="n">
        <f aca="false">IF('MRR Conglomerado'!AH439&gt;0,'MRR Conglomerado'!AH439,"")</f>
        <v>5252.48505</v>
      </c>
      <c r="D439" s="14" t="n">
        <f aca="false">IF(C439="","",'MRR Conglomerado'!AT439)</f>
        <v>2813.907248</v>
      </c>
      <c r="E439" s="15" t="n">
        <f aca="false">IF(C439="","",D439/C439)</f>
        <v>0.535728749575403</v>
      </c>
      <c r="F439" s="14" t="n">
        <f aca="false">IF(C439="","",C439/B439)</f>
        <v>278.13</v>
      </c>
      <c r="G439" s="12" t="str">
        <f aca="false">IF(F439="","",IF(F439&lt;100,"Menos de 100 USD",IF(F439&lt;500,"100 a 500 USD",IF(F439&lt;2000,"500 a 2.000 USD","Más de 2.000 USD"))))</f>
        <v>100 a 500 USD</v>
      </c>
      <c r="H439" s="14" t="n">
        <f aca="false">IF(C439="","",MIN(D439,C439))</f>
        <v>2813.907248</v>
      </c>
    </row>
    <row r="440" customFormat="false" ht="15" hidden="false" customHeight="true" outlineLevel="0" collapsed="false">
      <c r="A440" s="12" t="s">
        <v>1373</v>
      </c>
      <c r="B440" s="14" t="n">
        <v>18.885</v>
      </c>
      <c r="C440" s="14" t="str">
        <f aca="false">IF('MRR Conglomerado'!AH440&gt;0,'MRR Conglomerado'!AH440,"")</f>
        <v/>
      </c>
      <c r="D440" s="14" t="str">
        <f aca="false">IF(C440="","",'MRR Conglomerado'!AT440)</f>
        <v/>
      </c>
      <c r="E440" s="15" t="str">
        <f aca="false">IF(C440="","",D440/C440)</f>
        <v/>
      </c>
      <c r="F440" s="14" t="str">
        <f aca="false">IF(C440="","",C440/B440)</f>
        <v/>
      </c>
      <c r="G440" s="12" t="str">
        <f aca="false">IF(F440="","",IF(F440&lt;100,"Menos de 100 USD",IF(F440&lt;500,"100 a 500 USD",IF(F440&lt;2000,"500 a 2.000 USD","Más de 2.000 USD"))))</f>
        <v/>
      </c>
      <c r="H440" s="14" t="str">
        <f aca="false">IF(C440="","",MIN(D440,C440))</f>
        <v/>
      </c>
    </row>
    <row r="441" customFormat="false" ht="15" hidden="false" customHeight="true" outlineLevel="0" collapsed="false">
      <c r="A441" s="12" t="s">
        <v>1376</v>
      </c>
      <c r="B441" s="14" t="n">
        <v>18.885</v>
      </c>
      <c r="C441" s="14" t="str">
        <f aca="false">IF('MRR Conglomerado'!AH441&gt;0,'MRR Conglomerado'!AH441,"")</f>
        <v/>
      </c>
      <c r="D441" s="14" t="str">
        <f aca="false">IF(C441="","",'MRR Conglomerado'!AT441)</f>
        <v/>
      </c>
      <c r="E441" s="15" t="str">
        <f aca="false">IF(C441="","",D441/C441)</f>
        <v/>
      </c>
      <c r="F441" s="14" t="str">
        <f aca="false">IF(C441="","",C441/B441)</f>
        <v/>
      </c>
      <c r="G441" s="12" t="str">
        <f aca="false">IF(F441="","",IF(F441&lt;100,"Menos de 100 USD",IF(F441&lt;500,"100 a 500 USD",IF(F441&lt;2000,"500 a 2.000 USD","Más de 2.000 USD"))))</f>
        <v/>
      </c>
      <c r="H441" s="14" t="str">
        <f aca="false">IF(C441="","",MIN(D441,C441))</f>
        <v/>
      </c>
    </row>
    <row r="442" customFormat="false" ht="15" hidden="false" customHeight="true" outlineLevel="0" collapsed="false">
      <c r="A442" s="12" t="s">
        <v>1379</v>
      </c>
      <c r="B442" s="14" t="n">
        <v>18.885</v>
      </c>
      <c r="C442" s="14" t="str">
        <f aca="false">IF('MRR Conglomerado'!AH442&gt;0,'MRR Conglomerado'!AH442,"")</f>
        <v/>
      </c>
      <c r="D442" s="14" t="str">
        <f aca="false">IF(C442="","",'MRR Conglomerado'!AT442)</f>
        <v/>
      </c>
      <c r="E442" s="15" t="str">
        <f aca="false">IF(C442="","",D442/C442)</f>
        <v/>
      </c>
      <c r="F442" s="14" t="str">
        <f aca="false">IF(C442="","",C442/B442)</f>
        <v/>
      </c>
      <c r="G442" s="12" t="str">
        <f aca="false">IF(F442="","",IF(F442&lt;100,"Menos de 100 USD",IF(F442&lt;500,"100 a 500 USD",IF(F442&lt;2000,"500 a 2.000 USD","Más de 2.000 USD"))))</f>
        <v/>
      </c>
      <c r="H442" s="14" t="str">
        <f aca="false">IF(C442="","",MIN(D442,C442))</f>
        <v/>
      </c>
    </row>
    <row r="443" customFormat="false" ht="15" hidden="false" customHeight="true" outlineLevel="0" collapsed="false">
      <c r="A443" s="12" t="s">
        <v>1382</v>
      </c>
      <c r="B443" s="14" t="n">
        <v>18.885</v>
      </c>
      <c r="C443" s="14" t="str">
        <f aca="false">IF('MRR Conglomerado'!AH443&gt;0,'MRR Conglomerado'!AH443,"")</f>
        <v/>
      </c>
      <c r="D443" s="14" t="str">
        <f aca="false">IF(C443="","",'MRR Conglomerado'!AT443)</f>
        <v/>
      </c>
      <c r="E443" s="15" t="str">
        <f aca="false">IF(C443="","",D443/C443)</f>
        <v/>
      </c>
      <c r="F443" s="14" t="str">
        <f aca="false">IF(C443="","",C443/B443)</f>
        <v/>
      </c>
      <c r="G443" s="12" t="str">
        <f aca="false">IF(F443="","",IF(F443&lt;100,"Menos de 100 USD",IF(F443&lt;500,"100 a 500 USD",IF(F443&lt;2000,"500 a 2.000 USD","Más de 2.000 USD"))))</f>
        <v/>
      </c>
      <c r="H443" s="14" t="str">
        <f aca="false">IF(C443="","",MIN(D443,C443))</f>
        <v/>
      </c>
    </row>
    <row r="444" customFormat="false" ht="15" hidden="false" customHeight="true" outlineLevel="0" collapsed="false">
      <c r="A444" s="12" t="s">
        <v>1385</v>
      </c>
      <c r="B444" s="14" t="n">
        <v>18.885</v>
      </c>
      <c r="C444" s="14" t="str">
        <f aca="false">IF('MRR Conglomerado'!AH444&gt;0,'MRR Conglomerado'!AH444,"")</f>
        <v/>
      </c>
      <c r="D444" s="14" t="str">
        <f aca="false">IF(C444="","",'MRR Conglomerado'!AT444)</f>
        <v/>
      </c>
      <c r="E444" s="15" t="str">
        <f aca="false">IF(C444="","",D444/C444)</f>
        <v/>
      </c>
      <c r="F444" s="14" t="str">
        <f aca="false">IF(C444="","",C444/B444)</f>
        <v/>
      </c>
      <c r="G444" s="12" t="str">
        <f aca="false">IF(F444="","",IF(F444&lt;100,"Menos de 100 USD",IF(F444&lt;500,"100 a 500 USD",IF(F444&lt;2000,"500 a 2.000 USD","Más de 2.000 USD"))))</f>
        <v/>
      </c>
      <c r="H444" s="14" t="str">
        <f aca="false">IF(C444="","",MIN(D444,C444))</f>
        <v/>
      </c>
    </row>
    <row r="445" customFormat="false" ht="15" hidden="false" customHeight="true" outlineLevel="0" collapsed="false">
      <c r="A445" s="12" t="s">
        <v>1388</v>
      </c>
      <c r="B445" s="14" t="n">
        <v>18.885</v>
      </c>
      <c r="C445" s="14" t="str">
        <f aca="false">IF('MRR Conglomerado'!AH445&gt;0,'MRR Conglomerado'!AH445,"")</f>
        <v/>
      </c>
      <c r="D445" s="14" t="str">
        <f aca="false">IF(C445="","",'MRR Conglomerado'!AT445)</f>
        <v/>
      </c>
      <c r="E445" s="15" t="str">
        <f aca="false">IF(C445="","",D445/C445)</f>
        <v/>
      </c>
      <c r="F445" s="14" t="str">
        <f aca="false">IF(C445="","",C445/B445)</f>
        <v/>
      </c>
      <c r="G445" s="12" t="str">
        <f aca="false">IF(F445="","",IF(F445&lt;100,"Menos de 100 USD",IF(F445&lt;500,"100 a 500 USD",IF(F445&lt;2000,"500 a 2.000 USD","Más de 2.000 USD"))))</f>
        <v/>
      </c>
      <c r="H445" s="14" t="str">
        <f aca="false">IF(C445="","",MIN(D445,C445))</f>
        <v/>
      </c>
    </row>
    <row r="446" customFormat="false" ht="15" hidden="false" customHeight="true" outlineLevel="0" collapsed="false">
      <c r="A446" s="12" t="s">
        <v>1391</v>
      </c>
      <c r="B446" s="14" t="n">
        <v>18.885</v>
      </c>
      <c r="C446" s="14" t="str">
        <f aca="false">IF('MRR Conglomerado'!AH446&gt;0,'MRR Conglomerado'!AH446,"")</f>
        <v/>
      </c>
      <c r="D446" s="14" t="str">
        <f aca="false">IF(C446="","",'MRR Conglomerado'!AT446)</f>
        <v/>
      </c>
      <c r="E446" s="15" t="str">
        <f aca="false">IF(C446="","",D446/C446)</f>
        <v/>
      </c>
      <c r="F446" s="14" t="str">
        <f aca="false">IF(C446="","",C446/B446)</f>
        <v/>
      </c>
      <c r="G446" s="12" t="str">
        <f aca="false">IF(F446="","",IF(F446&lt;100,"Menos de 100 USD",IF(F446&lt;500,"100 a 500 USD",IF(F446&lt;2000,"500 a 2.000 USD","Más de 2.000 USD"))))</f>
        <v/>
      </c>
      <c r="H446" s="14" t="str">
        <f aca="false">IF(C446="","",MIN(D446,C446))</f>
        <v/>
      </c>
    </row>
    <row r="447" customFormat="false" ht="15" hidden="false" customHeight="true" outlineLevel="0" collapsed="false">
      <c r="A447" s="12" t="s">
        <v>1394</v>
      </c>
      <c r="B447" s="14" t="n">
        <v>18.885</v>
      </c>
      <c r="C447" s="14" t="str">
        <f aca="false">IF('MRR Conglomerado'!AH447&gt;0,'MRR Conglomerado'!AH447,"")</f>
        <v/>
      </c>
      <c r="D447" s="14" t="str">
        <f aca="false">IF(C447="","",'MRR Conglomerado'!AT447)</f>
        <v/>
      </c>
      <c r="E447" s="15" t="str">
        <f aca="false">IF(C447="","",D447/C447)</f>
        <v/>
      </c>
      <c r="F447" s="14" t="str">
        <f aca="false">IF(C447="","",C447/B447)</f>
        <v/>
      </c>
      <c r="G447" s="12" t="str">
        <f aca="false">IF(F447="","",IF(F447&lt;100,"Menos de 100 USD",IF(F447&lt;500,"100 a 500 USD",IF(F447&lt;2000,"500 a 2.000 USD","Más de 2.000 USD"))))</f>
        <v/>
      </c>
      <c r="H447" s="14" t="str">
        <f aca="false">IF(C447="","",MIN(D447,C447))</f>
        <v/>
      </c>
    </row>
    <row r="448" customFormat="false" ht="15" hidden="false" customHeight="true" outlineLevel="0" collapsed="false">
      <c r="A448" s="12" t="s">
        <v>1397</v>
      </c>
      <c r="B448" s="14" t="n">
        <v>18.885</v>
      </c>
      <c r="C448" s="14" t="n">
        <f aca="false">IF('MRR Conglomerado'!AH448&gt;0,'MRR Conglomerado'!AH448,"")</f>
        <v>4584.71145</v>
      </c>
      <c r="D448" s="14" t="n">
        <f aca="false">IF(C448="","",'MRR Conglomerado'!AT448)</f>
        <v>4322.02012</v>
      </c>
      <c r="E448" s="15" t="n">
        <f aca="false">IF(C448="","",D448/C448)</f>
        <v>0.942702756135285</v>
      </c>
      <c r="F448" s="14" t="n">
        <f aca="false">IF(C448="","",C448/B448)</f>
        <v>242.77</v>
      </c>
      <c r="G448" s="12" t="str">
        <f aca="false">IF(F448="","",IF(F448&lt;100,"Menos de 100 USD",IF(F448&lt;500,"100 a 500 USD",IF(F448&lt;2000,"500 a 2.000 USD","Más de 2.000 USD"))))</f>
        <v>100 a 500 USD</v>
      </c>
      <c r="H448" s="14" t="n">
        <f aca="false">IF(C448="","",MIN(D448,C448))</f>
        <v>4322.02012</v>
      </c>
    </row>
    <row r="449" customFormat="false" ht="15" hidden="false" customHeight="true" outlineLevel="0" collapsed="false">
      <c r="A449" s="12" t="s">
        <v>1400</v>
      </c>
      <c r="B449" s="14" t="n">
        <v>18.885</v>
      </c>
      <c r="C449" s="14" t="n">
        <f aca="false">IF('MRR Conglomerado'!AH449&gt;0,'MRR Conglomerado'!AH449,"")</f>
        <v>2783.08245</v>
      </c>
      <c r="D449" s="14" t="n">
        <f aca="false">IF(C449="","",'MRR Conglomerado'!AT449)</f>
        <v>2737.600272</v>
      </c>
      <c r="E449" s="15" t="n">
        <f aca="false">IF(C449="","",D449/C449)</f>
        <v>0.983657624660024</v>
      </c>
      <c r="F449" s="14" t="n">
        <f aca="false">IF(C449="","",C449/B449)</f>
        <v>147.37</v>
      </c>
      <c r="G449" s="12" t="str">
        <f aca="false">IF(F449="","",IF(F449&lt;100,"Menos de 100 USD",IF(F449&lt;500,"100 a 500 USD",IF(F449&lt;2000,"500 a 2.000 USD","Más de 2.000 USD"))))</f>
        <v>100 a 500 USD</v>
      </c>
      <c r="H449" s="14" t="n">
        <f aca="false">IF(C449="","",MIN(D449,C449))</f>
        <v>2737.600272</v>
      </c>
    </row>
    <row r="450" customFormat="false" ht="15" hidden="false" customHeight="true" outlineLevel="0" collapsed="false">
      <c r="A450" s="12" t="s">
        <v>1403</v>
      </c>
      <c r="B450" s="14" t="n">
        <v>18.885</v>
      </c>
      <c r="C450" s="14" t="n">
        <f aca="false">IF('MRR Conglomerado'!AH450&gt;0,'MRR Conglomerado'!AH450,"")</f>
        <v>3554.9124</v>
      </c>
      <c r="D450" s="14" t="n">
        <f aca="false">IF(C450="","",'MRR Conglomerado'!AT450)</f>
        <v>0</v>
      </c>
      <c r="E450" s="15" t="n">
        <f aca="false">IF(C450="","",D450/C450)</f>
        <v>0</v>
      </c>
      <c r="F450" s="14" t="n">
        <f aca="false">IF(C450="","",C450/B450)</f>
        <v>188.24</v>
      </c>
      <c r="G450" s="12" t="str">
        <f aca="false">IF(F450="","",IF(F450&lt;100,"Menos de 100 USD",IF(F450&lt;500,"100 a 500 USD",IF(F450&lt;2000,"500 a 2.000 USD","Más de 2.000 USD"))))</f>
        <v>100 a 500 USD</v>
      </c>
      <c r="H450" s="14" t="n">
        <f aca="false">IF(C450="","",MIN(D450,C450))</f>
        <v>0</v>
      </c>
    </row>
    <row r="451" customFormat="false" ht="15" hidden="false" customHeight="true" outlineLevel="0" collapsed="false">
      <c r="A451" s="12" t="s">
        <v>1406</v>
      </c>
      <c r="B451" s="14" t="n">
        <v>18.885</v>
      </c>
      <c r="C451" s="14" t="str">
        <f aca="false">IF('MRR Conglomerado'!AH451&gt;0,'MRR Conglomerado'!AH451,"")</f>
        <v/>
      </c>
      <c r="D451" s="14" t="str">
        <f aca="false">IF(C451="","",'MRR Conglomerado'!AT451)</f>
        <v/>
      </c>
      <c r="E451" s="15" t="str">
        <f aca="false">IF(C451="","",D451/C451)</f>
        <v/>
      </c>
      <c r="F451" s="14" t="str">
        <f aca="false">IF(C451="","",C451/B451)</f>
        <v/>
      </c>
      <c r="G451" s="12" t="str">
        <f aca="false">IF(F451="","",IF(F451&lt;100,"Menos de 100 USD",IF(F451&lt;500,"100 a 500 USD",IF(F451&lt;2000,"500 a 2.000 USD","Más de 2.000 USD"))))</f>
        <v/>
      </c>
      <c r="H451" s="14" t="str">
        <f aca="false">IF(C451="","",MIN(D451,C451))</f>
        <v/>
      </c>
    </row>
    <row r="452" customFormat="false" ht="15" hidden="false" customHeight="true" outlineLevel="0" collapsed="false">
      <c r="A452" s="12" t="s">
        <v>1409</v>
      </c>
      <c r="B452" s="14" t="n">
        <v>18.885</v>
      </c>
      <c r="C452" s="14" t="str">
        <f aca="false">IF('MRR Conglomerado'!AH452&gt;0,'MRR Conglomerado'!AH452,"")</f>
        <v/>
      </c>
      <c r="D452" s="14" t="str">
        <f aca="false">IF(C452="","",'MRR Conglomerado'!AT452)</f>
        <v/>
      </c>
      <c r="E452" s="15" t="str">
        <f aca="false">IF(C452="","",D452/C452)</f>
        <v/>
      </c>
      <c r="F452" s="14" t="str">
        <f aca="false">IF(C452="","",C452/B452)</f>
        <v/>
      </c>
      <c r="G452" s="12" t="str">
        <f aca="false">IF(F452="","",IF(F452&lt;100,"Menos de 100 USD",IF(F452&lt;500,"100 a 500 USD",IF(F452&lt;2000,"500 a 2.000 USD","Más de 2.000 USD"))))</f>
        <v/>
      </c>
      <c r="H452" s="14" t="str">
        <f aca="false">IF(C452="","",MIN(D452,C452))</f>
        <v/>
      </c>
    </row>
    <row r="453" customFormat="false" ht="15" hidden="false" customHeight="true" outlineLevel="0" collapsed="false">
      <c r="A453" s="12" t="s">
        <v>1412</v>
      </c>
      <c r="B453" s="14" t="n">
        <v>18.885</v>
      </c>
      <c r="C453" s="14" t="str">
        <f aca="false">IF('MRR Conglomerado'!AH453&gt;0,'MRR Conglomerado'!AH453,"")</f>
        <v/>
      </c>
      <c r="D453" s="14" t="str">
        <f aca="false">IF(C453="","",'MRR Conglomerado'!AT453)</f>
        <v/>
      </c>
      <c r="E453" s="15" t="str">
        <f aca="false">IF(C453="","",D453/C453)</f>
        <v/>
      </c>
      <c r="F453" s="14" t="str">
        <f aca="false">IF(C453="","",C453/B453)</f>
        <v/>
      </c>
      <c r="G453" s="12" t="str">
        <f aca="false">IF(F453="","",IF(F453&lt;100,"Menos de 100 USD",IF(F453&lt;500,"100 a 500 USD",IF(F453&lt;2000,"500 a 2.000 USD","Más de 2.000 USD"))))</f>
        <v/>
      </c>
      <c r="H453" s="14" t="str">
        <f aca="false">IF(C453="","",MIN(D453,C453))</f>
        <v/>
      </c>
    </row>
    <row r="454" customFormat="false" ht="15" hidden="false" customHeight="true" outlineLevel="0" collapsed="false">
      <c r="A454" s="12" t="s">
        <v>1415</v>
      </c>
      <c r="B454" s="14" t="n">
        <v>18.885</v>
      </c>
      <c r="C454" s="14" t="str">
        <f aca="false">IF('MRR Conglomerado'!AH454&gt;0,'MRR Conglomerado'!AH454,"")</f>
        <v/>
      </c>
      <c r="D454" s="14" t="str">
        <f aca="false">IF(C454="","",'MRR Conglomerado'!AT454)</f>
        <v/>
      </c>
      <c r="E454" s="15" t="str">
        <f aca="false">IF(C454="","",D454/C454)</f>
        <v/>
      </c>
      <c r="F454" s="14" t="str">
        <f aca="false">IF(C454="","",C454/B454)</f>
        <v/>
      </c>
      <c r="G454" s="12" t="str">
        <f aca="false">IF(F454="","",IF(F454&lt;100,"Menos de 100 USD",IF(F454&lt;500,"100 a 500 USD",IF(F454&lt;2000,"500 a 2.000 USD","Más de 2.000 USD"))))</f>
        <v/>
      </c>
      <c r="H454" s="14" t="str">
        <f aca="false">IF(C454="","",MIN(D454,C454))</f>
        <v/>
      </c>
    </row>
    <row r="455" customFormat="false" ht="15" hidden="false" customHeight="true" outlineLevel="0" collapsed="false">
      <c r="A455" s="12" t="s">
        <v>1418</v>
      </c>
      <c r="B455" s="14" t="n">
        <v>18.885</v>
      </c>
      <c r="C455" s="14" t="n">
        <f aca="false">IF('MRR Conglomerado'!AH455&gt;0,'MRR Conglomerado'!AH455,"")</f>
        <v>220.01025</v>
      </c>
      <c r="D455" s="14" t="n">
        <f aca="false">IF(C455="","",'MRR Conglomerado'!AT455)</f>
        <v>0</v>
      </c>
      <c r="E455" s="15" t="n">
        <f aca="false">IF(C455="","",D455/C455)</f>
        <v>0</v>
      </c>
      <c r="F455" s="14" t="n">
        <f aca="false">IF(C455="","",C455/B455)</f>
        <v>11.65</v>
      </c>
      <c r="G455" s="12" t="str">
        <f aca="false">IF(F455="","",IF(F455&lt;100,"Menos de 100 USD",IF(F455&lt;500,"100 a 500 USD",IF(F455&lt;2000,"500 a 2.000 USD","Más de 2.000 USD"))))</f>
        <v>Menos de 100 USD</v>
      </c>
      <c r="H455" s="14" t="n">
        <f aca="false">IF(C455="","",MIN(D455,C455))</f>
        <v>0</v>
      </c>
    </row>
    <row r="456" customFormat="false" ht="15" hidden="false" customHeight="true" outlineLevel="0" collapsed="false">
      <c r="A456" s="12" t="s">
        <v>1421</v>
      </c>
      <c r="B456" s="14" t="n">
        <v>18.885</v>
      </c>
      <c r="C456" s="14" t="str">
        <f aca="false">IF('MRR Conglomerado'!AH456&gt;0,'MRR Conglomerado'!AH456,"")</f>
        <v/>
      </c>
      <c r="D456" s="14" t="str">
        <f aca="false">IF(C456="","",'MRR Conglomerado'!AT456)</f>
        <v/>
      </c>
      <c r="E456" s="15" t="str">
        <f aca="false">IF(C456="","",D456/C456)</f>
        <v/>
      </c>
      <c r="F456" s="14" t="str">
        <f aca="false">IF(C456="","",C456/B456)</f>
        <v/>
      </c>
      <c r="G456" s="12" t="str">
        <f aca="false">IF(F456="","",IF(F456&lt;100,"Menos de 100 USD",IF(F456&lt;500,"100 a 500 USD",IF(F456&lt;2000,"500 a 2.000 USD","Más de 2.000 USD"))))</f>
        <v/>
      </c>
      <c r="H456" s="14" t="str">
        <f aca="false">IF(C456="","",MIN(D456,C456))</f>
        <v/>
      </c>
    </row>
    <row r="457" customFormat="false" ht="15" hidden="false" customHeight="true" outlineLevel="0" collapsed="false">
      <c r="A457" s="12" t="s">
        <v>1424</v>
      </c>
      <c r="B457" s="14" t="n">
        <v>18.885</v>
      </c>
      <c r="C457" s="14" t="str">
        <f aca="false">IF('MRR Conglomerado'!AH457&gt;0,'MRR Conglomerado'!AH457,"")</f>
        <v/>
      </c>
      <c r="D457" s="14" t="str">
        <f aca="false">IF(C457="","",'MRR Conglomerado'!AT457)</f>
        <v/>
      </c>
      <c r="E457" s="15" t="str">
        <f aca="false">IF(C457="","",D457/C457)</f>
        <v/>
      </c>
      <c r="F457" s="14" t="str">
        <f aca="false">IF(C457="","",C457/B457)</f>
        <v/>
      </c>
      <c r="G457" s="12" t="str">
        <f aca="false">IF(F457="","",IF(F457&lt;100,"Menos de 100 USD",IF(F457&lt;500,"100 a 500 USD",IF(F457&lt;2000,"500 a 2.000 USD","Más de 2.000 USD"))))</f>
        <v/>
      </c>
      <c r="H457" s="14" t="str">
        <f aca="false">IF(C457="","",MIN(D457,C457))</f>
        <v/>
      </c>
    </row>
    <row r="458" customFormat="false" ht="15" hidden="false" customHeight="true" outlineLevel="0" collapsed="false">
      <c r="A458" s="12" t="s">
        <v>1427</v>
      </c>
      <c r="B458" s="14" t="n">
        <v>18.885</v>
      </c>
      <c r="C458" s="14" t="str">
        <f aca="false">IF('MRR Conglomerado'!AH458&gt;0,'MRR Conglomerado'!AH458,"")</f>
        <v/>
      </c>
      <c r="D458" s="14" t="str">
        <f aca="false">IF(C458="","",'MRR Conglomerado'!AT458)</f>
        <v/>
      </c>
      <c r="E458" s="15" t="str">
        <f aca="false">IF(C458="","",D458/C458)</f>
        <v/>
      </c>
      <c r="F458" s="14" t="str">
        <f aca="false">IF(C458="","",C458/B458)</f>
        <v/>
      </c>
      <c r="G458" s="12" t="str">
        <f aca="false">IF(F458="","",IF(F458&lt;100,"Menos de 100 USD",IF(F458&lt;500,"100 a 500 USD",IF(F458&lt;2000,"500 a 2.000 USD","Más de 2.000 USD"))))</f>
        <v/>
      </c>
      <c r="H458" s="14" t="str">
        <f aca="false">IF(C458="","",MIN(D458,C458))</f>
        <v/>
      </c>
    </row>
    <row r="459" customFormat="false" ht="15" hidden="false" customHeight="true" outlineLevel="0" collapsed="false">
      <c r="A459" s="12" t="s">
        <v>1430</v>
      </c>
      <c r="B459" s="14" t="n">
        <v>18.885</v>
      </c>
      <c r="C459" s="14" t="str">
        <f aca="false">IF('MRR Conglomerado'!AH459&gt;0,'MRR Conglomerado'!AH459,"")</f>
        <v/>
      </c>
      <c r="D459" s="14" t="str">
        <f aca="false">IF(C459="","",'MRR Conglomerado'!AT459)</f>
        <v/>
      </c>
      <c r="E459" s="15" t="str">
        <f aca="false">IF(C459="","",D459/C459)</f>
        <v/>
      </c>
      <c r="F459" s="14" t="str">
        <f aca="false">IF(C459="","",C459/B459)</f>
        <v/>
      </c>
      <c r="G459" s="12" t="str">
        <f aca="false">IF(F459="","",IF(F459&lt;100,"Menos de 100 USD",IF(F459&lt;500,"100 a 500 USD",IF(F459&lt;2000,"500 a 2.000 USD","Más de 2.000 USD"))))</f>
        <v/>
      </c>
      <c r="H459" s="14" t="str">
        <f aca="false">IF(C459="","",MIN(D459,C459))</f>
        <v/>
      </c>
    </row>
    <row r="460" customFormat="false" ht="15" hidden="false" customHeight="true" outlineLevel="0" collapsed="false">
      <c r="A460" s="12" t="s">
        <v>1433</v>
      </c>
      <c r="B460" s="14" t="n">
        <v>18.885</v>
      </c>
      <c r="C460" s="14" t="n">
        <f aca="false">IF('MRR Conglomerado'!AH460&gt;0,'MRR Conglomerado'!AH460,"")</f>
        <v>1278.32565</v>
      </c>
      <c r="D460" s="14" t="n">
        <f aca="false">IF(C460="","",'MRR Conglomerado'!AT460)</f>
        <v>0</v>
      </c>
      <c r="E460" s="15" t="n">
        <f aca="false">IF(C460="","",D460/C460)</f>
        <v>0</v>
      </c>
      <c r="F460" s="14" t="n">
        <f aca="false">IF(C460="","",C460/B460)</f>
        <v>67.69</v>
      </c>
      <c r="G460" s="12" t="str">
        <f aca="false">IF(F460="","",IF(F460&lt;100,"Menos de 100 USD",IF(F460&lt;500,"100 a 500 USD",IF(F460&lt;2000,"500 a 2.000 USD","Más de 2.000 USD"))))</f>
        <v>Menos de 100 USD</v>
      </c>
      <c r="H460" s="14" t="n">
        <f aca="false">IF(C460="","",MIN(D460,C460))</f>
        <v>0</v>
      </c>
    </row>
    <row r="461" customFormat="false" ht="15" hidden="false" customHeight="true" outlineLevel="0" collapsed="false">
      <c r="A461" s="12" t="s">
        <v>1436</v>
      </c>
      <c r="B461" s="14" t="n">
        <v>18.885</v>
      </c>
      <c r="C461" s="14" t="n">
        <f aca="false">IF('MRR Conglomerado'!AH461&gt;0,'MRR Conglomerado'!AH461,"")</f>
        <v>4905.5676</v>
      </c>
      <c r="D461" s="14" t="n">
        <f aca="false">IF(C461="","",'MRR Conglomerado'!AT461)</f>
        <v>6857.651928</v>
      </c>
      <c r="E461" s="15" t="n">
        <f aca="false">IF(C461="","",D461/C461)</f>
        <v>1.3979324080663</v>
      </c>
      <c r="F461" s="14" t="n">
        <f aca="false">IF(C461="","",C461/B461)</f>
        <v>259.76</v>
      </c>
      <c r="G461" s="12" t="str">
        <f aca="false">IF(F461="","",IF(F461&lt;100,"Menos de 100 USD",IF(F461&lt;500,"100 a 500 USD",IF(F461&lt;2000,"500 a 2.000 USD","Más de 2.000 USD"))))</f>
        <v>100 a 500 USD</v>
      </c>
      <c r="H461" s="14" t="n">
        <f aca="false">IF(C461="","",MIN(D461,C461))</f>
        <v>4905.5676</v>
      </c>
    </row>
    <row r="462" customFormat="false" ht="15" hidden="false" customHeight="true" outlineLevel="0" collapsed="false">
      <c r="A462" s="12" t="s">
        <v>1439</v>
      </c>
      <c r="B462" s="14" t="n">
        <v>18.885</v>
      </c>
      <c r="C462" s="14" t="str">
        <f aca="false">IF('MRR Conglomerado'!AH462&gt;0,'MRR Conglomerado'!AH462,"")</f>
        <v/>
      </c>
      <c r="D462" s="14" t="str">
        <f aca="false">IF(C462="","",'MRR Conglomerado'!AT462)</f>
        <v/>
      </c>
      <c r="E462" s="15" t="str">
        <f aca="false">IF(C462="","",D462/C462)</f>
        <v/>
      </c>
      <c r="F462" s="14" t="str">
        <f aca="false">IF(C462="","",C462/B462)</f>
        <v/>
      </c>
      <c r="G462" s="12" t="str">
        <f aca="false">IF(F462="","",IF(F462&lt;100,"Menos de 100 USD",IF(F462&lt;500,"100 a 500 USD",IF(F462&lt;2000,"500 a 2.000 USD","Más de 2.000 USD"))))</f>
        <v/>
      </c>
      <c r="H462" s="14" t="str">
        <f aca="false">IF(C462="","",MIN(D462,C462))</f>
        <v/>
      </c>
    </row>
    <row r="463" customFormat="false" ht="15" hidden="false" customHeight="true" outlineLevel="0" collapsed="false">
      <c r="A463" s="12" t="s">
        <v>1442</v>
      </c>
      <c r="B463" s="14" t="n">
        <v>18.885</v>
      </c>
      <c r="C463" s="14" t="str">
        <f aca="false">IF('MRR Conglomerado'!AH463&gt;0,'MRR Conglomerado'!AH463,"")</f>
        <v/>
      </c>
      <c r="D463" s="14" t="str">
        <f aca="false">IF(C463="","",'MRR Conglomerado'!AT463)</f>
        <v/>
      </c>
      <c r="E463" s="15" t="str">
        <f aca="false">IF(C463="","",D463/C463)</f>
        <v/>
      </c>
      <c r="F463" s="14" t="str">
        <f aca="false">IF(C463="","",C463/B463)</f>
        <v/>
      </c>
      <c r="G463" s="12" t="str">
        <f aca="false">IF(F463="","",IF(F463&lt;100,"Menos de 100 USD",IF(F463&lt;500,"100 a 500 USD",IF(F463&lt;2000,"500 a 2.000 USD","Más de 2.000 USD"))))</f>
        <v/>
      </c>
      <c r="H463" s="14" t="str">
        <f aca="false">IF(C463="","",MIN(D463,C463))</f>
        <v/>
      </c>
    </row>
    <row r="464" customFormat="false" ht="15" hidden="false" customHeight="true" outlineLevel="0" collapsed="false">
      <c r="A464" s="12" t="s">
        <v>1445</v>
      </c>
      <c r="B464" s="14" t="n">
        <v>18.885</v>
      </c>
      <c r="C464" s="14" t="n">
        <f aca="false">IF('MRR Conglomerado'!AH464&gt;0,'MRR Conglomerado'!AH464,"")</f>
        <v>4332.9744</v>
      </c>
      <c r="D464" s="14" t="n">
        <f aca="false">IF(C464="","",'MRR Conglomerado'!AT464)</f>
        <v>4492.835736</v>
      </c>
      <c r="E464" s="15" t="n">
        <f aca="false">IF(C464="","",D464/C464)</f>
        <v>1.03689413350792</v>
      </c>
      <c r="F464" s="14" t="n">
        <f aca="false">IF(C464="","",C464/B464)</f>
        <v>229.44</v>
      </c>
      <c r="G464" s="12" t="str">
        <f aca="false">IF(F464="","",IF(F464&lt;100,"Menos de 100 USD",IF(F464&lt;500,"100 a 500 USD",IF(F464&lt;2000,"500 a 2.000 USD","Más de 2.000 USD"))))</f>
        <v>100 a 500 USD</v>
      </c>
      <c r="H464" s="14" t="n">
        <f aca="false">IF(C464="","",MIN(D464,C464))</f>
        <v>4332.9744</v>
      </c>
    </row>
    <row r="465" customFormat="false" ht="15" hidden="false" customHeight="true" outlineLevel="0" collapsed="false">
      <c r="A465" s="12" t="s">
        <v>1448</v>
      </c>
      <c r="B465" s="14" t="n">
        <v>18.885</v>
      </c>
      <c r="C465" s="14" t="n">
        <f aca="false">IF('MRR Conglomerado'!AH465&gt;0,'MRR Conglomerado'!AH465,"")</f>
        <v>375.24495</v>
      </c>
      <c r="D465" s="14" t="n">
        <f aca="false">IF(C465="","",'MRR Conglomerado'!AT465)</f>
        <v>324.129632</v>
      </c>
      <c r="E465" s="15" t="n">
        <f aca="false">IF(C465="","",D465/C465)</f>
        <v>0.863781463281518</v>
      </c>
      <c r="F465" s="14" t="n">
        <f aca="false">IF(C465="","",C465/B465)</f>
        <v>19.87</v>
      </c>
      <c r="G465" s="12" t="str">
        <f aca="false">IF(F465="","",IF(F465&lt;100,"Menos de 100 USD",IF(F465&lt;500,"100 a 500 USD",IF(F465&lt;2000,"500 a 2.000 USD","Más de 2.000 USD"))))</f>
        <v>Menos de 100 USD</v>
      </c>
      <c r="H465" s="14" t="n">
        <f aca="false">IF(C465="","",MIN(D465,C465))</f>
        <v>324.129632</v>
      </c>
    </row>
    <row r="466" customFormat="false" ht="15" hidden="false" customHeight="true" outlineLevel="0" collapsed="false">
      <c r="A466" s="12" t="s">
        <v>1451</v>
      </c>
      <c r="B466" s="14" t="n">
        <v>18.885</v>
      </c>
      <c r="C466" s="14" t="n">
        <f aca="false">IF('MRR Conglomerado'!AH466&gt;0,'MRR Conglomerado'!AH466,"")</f>
        <v>1750.07295</v>
      </c>
      <c r="D466" s="14" t="n">
        <f aca="false">IF(C466="","",'MRR Conglomerado'!AT466)</f>
        <v>1741.934248</v>
      </c>
      <c r="E466" s="15" t="n">
        <f aca="false">IF(C466="","",D466/C466)</f>
        <v>0.99534950700198</v>
      </c>
      <c r="F466" s="14" t="n">
        <f aca="false">IF(C466="","",C466/B466)</f>
        <v>92.67</v>
      </c>
      <c r="G466" s="12" t="str">
        <f aca="false">IF(F466="","",IF(F466&lt;100,"Menos de 100 USD",IF(F466&lt;500,"100 a 500 USD",IF(F466&lt;2000,"500 a 2.000 USD","Más de 2.000 USD"))))</f>
        <v>Menos de 100 USD</v>
      </c>
      <c r="H466" s="14" t="n">
        <f aca="false">IF(C466="","",MIN(D466,C466))</f>
        <v>1741.934248</v>
      </c>
    </row>
    <row r="467" customFormat="false" ht="15" hidden="false" customHeight="true" outlineLevel="0" collapsed="false">
      <c r="A467" s="12" t="s">
        <v>1454</v>
      </c>
      <c r="B467" s="14" t="n">
        <v>18.885</v>
      </c>
      <c r="C467" s="14" t="str">
        <f aca="false">IF('MRR Conglomerado'!AH467&gt;0,'MRR Conglomerado'!AH467,"")</f>
        <v/>
      </c>
      <c r="D467" s="14" t="str">
        <f aca="false">IF(C467="","",'MRR Conglomerado'!AT467)</f>
        <v/>
      </c>
      <c r="E467" s="15" t="str">
        <f aca="false">IF(C467="","",D467/C467)</f>
        <v/>
      </c>
      <c r="F467" s="14" t="str">
        <f aca="false">IF(C467="","",C467/B467)</f>
        <v/>
      </c>
      <c r="G467" s="12" t="str">
        <f aca="false">IF(F467="","",IF(F467&lt;100,"Menos de 100 USD",IF(F467&lt;500,"100 a 500 USD",IF(F467&lt;2000,"500 a 2.000 USD","Más de 2.000 USD"))))</f>
        <v/>
      </c>
      <c r="H467" s="14" t="str">
        <f aca="false">IF(C467="","",MIN(D467,C467))</f>
        <v/>
      </c>
    </row>
    <row r="468" customFormat="false" ht="15" hidden="false" customHeight="true" outlineLevel="0" collapsed="false">
      <c r="A468" s="12" t="s">
        <v>1457</v>
      </c>
      <c r="B468" s="14" t="n">
        <v>18.885</v>
      </c>
      <c r="C468" s="14" t="n">
        <f aca="false">IF('MRR Conglomerado'!AH468&gt;0,'MRR Conglomerado'!AH468,"")</f>
        <v>1080.03315</v>
      </c>
      <c r="D468" s="14" t="n">
        <f aca="false">IF(C468="","",'MRR Conglomerado'!AT468)</f>
        <v>995.315992</v>
      </c>
      <c r="E468" s="15" t="n">
        <f aca="false">IF(C468="","",D468/C468)</f>
        <v>0.921560594691006</v>
      </c>
      <c r="F468" s="14" t="n">
        <f aca="false">IF(C468="","",C468/B468)</f>
        <v>57.19</v>
      </c>
      <c r="G468" s="12" t="str">
        <f aca="false">IF(F468="","",IF(F468&lt;100,"Menos de 100 USD",IF(F468&lt;500,"100 a 500 USD",IF(F468&lt;2000,"500 a 2.000 USD","Más de 2.000 USD"))))</f>
        <v>Menos de 100 USD</v>
      </c>
      <c r="H468" s="14" t="n">
        <f aca="false">IF(C468="","",MIN(D468,C468))</f>
        <v>995.315992</v>
      </c>
    </row>
    <row r="469" customFormat="false" ht="15" hidden="false" customHeight="true" outlineLevel="0" collapsed="false">
      <c r="A469" s="12" t="s">
        <v>1460</v>
      </c>
      <c r="B469" s="14" t="n">
        <v>18.885</v>
      </c>
      <c r="C469" s="14" t="n">
        <f aca="false">IF('MRR Conglomerado'!AH469&gt;0,'MRR Conglomerado'!AH469,"")</f>
        <v>420.0024</v>
      </c>
      <c r="D469" s="14" t="n">
        <f aca="false">IF(C469="","",'MRR Conglomerado'!AT469)</f>
        <v>0</v>
      </c>
      <c r="E469" s="15" t="n">
        <f aca="false">IF(C469="","",D469/C469)</f>
        <v>0</v>
      </c>
      <c r="F469" s="14" t="n">
        <f aca="false">IF(C469="","",C469/B469)</f>
        <v>22.24</v>
      </c>
      <c r="G469" s="12" t="str">
        <f aca="false">IF(F469="","",IF(F469&lt;100,"Menos de 100 USD",IF(F469&lt;500,"100 a 500 USD",IF(F469&lt;2000,"500 a 2.000 USD","Más de 2.000 USD"))))</f>
        <v>Menos de 100 USD</v>
      </c>
      <c r="H469" s="14" t="n">
        <f aca="false">IF(C469="","",MIN(D469,C469))</f>
        <v>0</v>
      </c>
    </row>
    <row r="470" customFormat="false" ht="15" hidden="false" customHeight="true" outlineLevel="0" collapsed="false">
      <c r="A470" s="12" t="s">
        <v>1463</v>
      </c>
      <c r="B470" s="14" t="n">
        <v>18.885</v>
      </c>
      <c r="C470" s="14" t="str">
        <f aca="false">IF('MRR Conglomerado'!AH470&gt;0,'MRR Conglomerado'!AH470,"")</f>
        <v/>
      </c>
      <c r="D470" s="14" t="str">
        <f aca="false">IF(C470="","",'MRR Conglomerado'!AT470)</f>
        <v/>
      </c>
      <c r="E470" s="15" t="str">
        <f aca="false">IF(C470="","",D470/C470)</f>
        <v/>
      </c>
      <c r="F470" s="14" t="str">
        <f aca="false">IF(C470="","",C470/B470)</f>
        <v/>
      </c>
      <c r="G470" s="12" t="str">
        <f aca="false">IF(F470="","",IF(F470&lt;100,"Menos de 100 USD",IF(F470&lt;500,"100 a 500 USD",IF(F470&lt;2000,"500 a 2.000 USD","Más de 2.000 USD"))))</f>
        <v/>
      </c>
      <c r="H470" s="14" t="str">
        <f aca="false">IF(C470="","",MIN(D470,C470))</f>
        <v/>
      </c>
    </row>
    <row r="471" customFormat="false" ht="15" hidden="false" customHeight="true" outlineLevel="0" collapsed="false">
      <c r="A471" s="12" t="s">
        <v>1466</v>
      </c>
      <c r="B471" s="14" t="n">
        <v>18.885</v>
      </c>
      <c r="C471" s="14" t="str">
        <f aca="false">IF('MRR Conglomerado'!AH471&gt;0,'MRR Conglomerado'!AH471,"")</f>
        <v/>
      </c>
      <c r="D471" s="14" t="str">
        <f aca="false">IF(C471="","",'MRR Conglomerado'!AT471)</f>
        <v/>
      </c>
      <c r="E471" s="15" t="str">
        <f aca="false">IF(C471="","",D471/C471)</f>
        <v/>
      </c>
      <c r="F471" s="14" t="str">
        <f aca="false">IF(C471="","",C471/B471)</f>
        <v/>
      </c>
      <c r="G471" s="12" t="str">
        <f aca="false">IF(F471="","",IF(F471&lt;100,"Menos de 100 USD",IF(F471&lt;500,"100 a 500 USD",IF(F471&lt;2000,"500 a 2.000 USD","Más de 2.000 USD"))))</f>
        <v/>
      </c>
      <c r="H471" s="14" t="str">
        <f aca="false">IF(C471="","",MIN(D471,C471))</f>
        <v/>
      </c>
    </row>
    <row r="472" customFormat="false" ht="15" hidden="false" customHeight="true" outlineLevel="0" collapsed="false">
      <c r="A472" s="12" t="s">
        <v>1469</v>
      </c>
      <c r="B472" s="14" t="n">
        <v>18.885</v>
      </c>
      <c r="C472" s="14" t="str">
        <f aca="false">IF('MRR Conglomerado'!AH472&gt;0,'MRR Conglomerado'!AH472,"")</f>
        <v/>
      </c>
      <c r="D472" s="14" t="str">
        <f aca="false">IF(C472="","",'MRR Conglomerado'!AT472)</f>
        <v/>
      </c>
      <c r="E472" s="15" t="str">
        <f aca="false">IF(C472="","",D472/C472)</f>
        <v/>
      </c>
      <c r="F472" s="14" t="str">
        <f aca="false">IF(C472="","",C472/B472)</f>
        <v/>
      </c>
      <c r="G472" s="12" t="str">
        <f aca="false">IF(F472="","",IF(F472&lt;100,"Menos de 100 USD",IF(F472&lt;500,"100 a 500 USD",IF(F472&lt;2000,"500 a 2.000 USD","Más de 2.000 USD"))))</f>
        <v/>
      </c>
      <c r="H472" s="14" t="str">
        <f aca="false">IF(C472="","",MIN(D472,C472))</f>
        <v/>
      </c>
    </row>
    <row r="473" customFormat="false" ht="15" hidden="false" customHeight="true" outlineLevel="0" collapsed="false">
      <c r="A473" s="12" t="s">
        <v>1472</v>
      </c>
      <c r="B473" s="14" t="n">
        <v>18.885</v>
      </c>
      <c r="C473" s="14" t="str">
        <f aca="false">IF('MRR Conglomerado'!AH473&gt;0,'MRR Conglomerado'!AH473,"")</f>
        <v/>
      </c>
      <c r="D473" s="14" t="str">
        <f aca="false">IF(C473="","",'MRR Conglomerado'!AT473)</f>
        <v/>
      </c>
      <c r="E473" s="15" t="str">
        <f aca="false">IF(C473="","",D473/C473)</f>
        <v/>
      </c>
      <c r="F473" s="14" t="str">
        <f aca="false">IF(C473="","",C473/B473)</f>
        <v/>
      </c>
      <c r="G473" s="12" t="str">
        <f aca="false">IF(F473="","",IF(F473&lt;100,"Menos de 100 USD",IF(F473&lt;500,"100 a 500 USD",IF(F473&lt;2000,"500 a 2.000 USD","Más de 2.000 USD"))))</f>
        <v/>
      </c>
      <c r="H473" s="14" t="str">
        <f aca="false">IF(C473="","",MIN(D473,C473))</f>
        <v/>
      </c>
    </row>
    <row r="474" customFormat="false" ht="15" hidden="false" customHeight="true" outlineLevel="0" collapsed="false">
      <c r="A474" s="12" t="s">
        <v>1475</v>
      </c>
      <c r="B474" s="14" t="n">
        <v>18.885</v>
      </c>
      <c r="C474" s="14" t="str">
        <f aca="false">IF('MRR Conglomerado'!AH474&gt;0,'MRR Conglomerado'!AH474,"")</f>
        <v/>
      </c>
      <c r="D474" s="14" t="str">
        <f aca="false">IF(C474="","",'MRR Conglomerado'!AT474)</f>
        <v/>
      </c>
      <c r="E474" s="15" t="str">
        <f aca="false">IF(C474="","",D474/C474)</f>
        <v/>
      </c>
      <c r="F474" s="14" t="str">
        <f aca="false">IF(C474="","",C474/B474)</f>
        <v/>
      </c>
      <c r="G474" s="12" t="str">
        <f aca="false">IF(F474="","",IF(F474&lt;100,"Menos de 100 USD",IF(F474&lt;500,"100 a 500 USD",IF(F474&lt;2000,"500 a 2.000 USD","Más de 2.000 USD"))))</f>
        <v/>
      </c>
      <c r="H474" s="14" t="str">
        <f aca="false">IF(C474="","",MIN(D474,C474))</f>
        <v/>
      </c>
    </row>
    <row r="475" customFormat="false" ht="15" hidden="false" customHeight="true" outlineLevel="0" collapsed="false">
      <c r="A475" s="12" t="s">
        <v>1478</v>
      </c>
      <c r="B475" s="14" t="n">
        <v>18.885</v>
      </c>
      <c r="C475" s="14" t="n">
        <f aca="false">IF('MRR Conglomerado'!AH475&gt;0,'MRR Conglomerado'!AH475,"")</f>
        <v>962.94615</v>
      </c>
      <c r="D475" s="14" t="n">
        <f aca="false">IF(C475="","",'MRR Conglomerado'!AT475)</f>
        <v>887.681152</v>
      </c>
      <c r="E475" s="15" t="n">
        <f aca="false">IF(C475="","",D475/C475)</f>
        <v>0.921838829720644</v>
      </c>
      <c r="F475" s="14" t="n">
        <f aca="false">IF(C475="","",C475/B475)</f>
        <v>50.99</v>
      </c>
      <c r="G475" s="12" t="str">
        <f aca="false">IF(F475="","",IF(F475&lt;100,"Menos de 100 USD",IF(F475&lt;500,"100 a 500 USD",IF(F475&lt;2000,"500 a 2.000 USD","Más de 2.000 USD"))))</f>
        <v>Menos de 100 USD</v>
      </c>
      <c r="H475" s="14" t="n">
        <f aca="false">IF(C475="","",MIN(D475,C475))</f>
        <v>887.681152</v>
      </c>
    </row>
    <row r="476" customFormat="false" ht="15" hidden="false" customHeight="true" outlineLevel="0" collapsed="false">
      <c r="A476" s="12" t="s">
        <v>1481</v>
      </c>
      <c r="B476" s="14" t="n">
        <v>18.885</v>
      </c>
      <c r="C476" s="14" t="str">
        <f aca="false">IF('MRR Conglomerado'!AH476&gt;0,'MRR Conglomerado'!AH476,"")</f>
        <v/>
      </c>
      <c r="D476" s="14" t="str">
        <f aca="false">IF(C476="","",'MRR Conglomerado'!AT476)</f>
        <v/>
      </c>
      <c r="E476" s="15" t="str">
        <f aca="false">IF(C476="","",D476/C476)</f>
        <v/>
      </c>
      <c r="F476" s="14" t="str">
        <f aca="false">IF(C476="","",C476/B476)</f>
        <v/>
      </c>
      <c r="G476" s="12" t="str">
        <f aca="false">IF(F476="","",IF(F476&lt;100,"Menos de 100 USD",IF(F476&lt;500,"100 a 500 USD",IF(F476&lt;2000,"500 a 2.000 USD","Más de 2.000 USD"))))</f>
        <v/>
      </c>
      <c r="H476" s="14" t="str">
        <f aca="false">IF(C476="","",MIN(D476,C476))</f>
        <v/>
      </c>
    </row>
    <row r="477" customFormat="false" ht="15" hidden="false" customHeight="true" outlineLevel="0" collapsed="false">
      <c r="A477" s="12" t="s">
        <v>1484</v>
      </c>
      <c r="B477" s="14" t="n">
        <v>18.885</v>
      </c>
      <c r="C477" s="14" t="n">
        <f aca="false">IF('MRR Conglomerado'!AH477&gt;0,'MRR Conglomerado'!AH477,"")</f>
        <v>4742.0235</v>
      </c>
      <c r="D477" s="14" t="n">
        <f aca="false">IF(C477="","",'MRR Conglomerado'!AT477)</f>
        <v>4807.514504</v>
      </c>
      <c r="E477" s="15" t="n">
        <f aca="false">IF(C477="","",D477/C477)</f>
        <v>1.01381077170959</v>
      </c>
      <c r="F477" s="14" t="n">
        <f aca="false">IF(C477="","",C477/B477)</f>
        <v>251.1</v>
      </c>
      <c r="G477" s="12" t="str">
        <f aca="false">IF(F477="","",IF(F477&lt;100,"Menos de 100 USD",IF(F477&lt;500,"100 a 500 USD",IF(F477&lt;2000,"500 a 2.000 USD","Más de 2.000 USD"))))</f>
        <v>100 a 500 USD</v>
      </c>
      <c r="H477" s="14" t="n">
        <f aca="false">IF(C477="","",MIN(D477,C477))</f>
        <v>4742.0235</v>
      </c>
    </row>
    <row r="478" customFormat="false" ht="15" hidden="false" customHeight="true" outlineLevel="0" collapsed="false">
      <c r="A478" s="12" t="s">
        <v>1487</v>
      </c>
      <c r="B478" s="14" t="n">
        <v>18.885</v>
      </c>
      <c r="C478" s="14" t="n">
        <f aca="false">IF('MRR Conglomerado'!AH478&gt;0,'MRR Conglomerado'!AH478,"")</f>
        <v>1772.73495</v>
      </c>
      <c r="D478" s="14" t="n">
        <f aca="false">IF(C478="","",'MRR Conglomerado'!AT478)</f>
        <v>0</v>
      </c>
      <c r="E478" s="15" t="n">
        <f aca="false">IF(C478="","",D478/C478)</f>
        <v>0</v>
      </c>
      <c r="F478" s="14" t="n">
        <f aca="false">IF(C478="","",C478/B478)</f>
        <v>93.87</v>
      </c>
      <c r="G478" s="12" t="str">
        <f aca="false">IF(F478="","",IF(F478&lt;100,"Menos de 100 USD",IF(F478&lt;500,"100 a 500 USD",IF(F478&lt;2000,"500 a 2.000 USD","Más de 2.000 USD"))))</f>
        <v>Menos de 100 USD</v>
      </c>
      <c r="H478" s="14" t="n">
        <f aca="false">IF(C478="","",MIN(D478,C478))</f>
        <v>0</v>
      </c>
    </row>
    <row r="479" customFormat="false" ht="15" hidden="false" customHeight="true" outlineLevel="0" collapsed="false">
      <c r="A479" s="12" t="s">
        <v>1490</v>
      </c>
      <c r="B479" s="14" t="n">
        <v>18.885</v>
      </c>
      <c r="C479" s="14" t="n">
        <f aca="false">IF('MRR Conglomerado'!AH479&gt;0,'MRR Conglomerado'!AH479,"")</f>
        <v>300.08265</v>
      </c>
      <c r="D479" s="14" t="n">
        <f aca="false">IF(C479="","",'MRR Conglomerado'!AT479)</f>
        <v>0</v>
      </c>
      <c r="E479" s="15" t="n">
        <f aca="false">IF(C479="","",D479/C479)</f>
        <v>0</v>
      </c>
      <c r="F479" s="14" t="n">
        <f aca="false">IF(C479="","",C479/B479)</f>
        <v>15.89</v>
      </c>
      <c r="G479" s="12" t="str">
        <f aca="false">IF(F479="","",IF(F479&lt;100,"Menos de 100 USD",IF(F479&lt;500,"100 a 500 USD",IF(F479&lt;2000,"500 a 2.000 USD","Más de 2.000 USD"))))</f>
        <v>Menos de 100 USD</v>
      </c>
      <c r="H479" s="14" t="n">
        <f aca="false">IF(C479="","",MIN(D479,C479))</f>
        <v>0</v>
      </c>
    </row>
    <row r="480" customFormat="false" ht="15" hidden="false" customHeight="true" outlineLevel="0" collapsed="false">
      <c r="A480" s="12" t="s">
        <v>1493</v>
      </c>
      <c r="B480" s="14" t="n">
        <v>18.885</v>
      </c>
      <c r="C480" s="14" t="str">
        <f aca="false">IF('MRR Conglomerado'!AH480&gt;0,'MRR Conglomerado'!AH480,"")</f>
        <v/>
      </c>
      <c r="D480" s="14" t="str">
        <f aca="false">IF(C480="","",'MRR Conglomerado'!AT480)</f>
        <v/>
      </c>
      <c r="E480" s="15" t="str">
        <f aca="false">IF(C480="","",D480/C480)</f>
        <v/>
      </c>
      <c r="F480" s="14" t="str">
        <f aca="false">IF(C480="","",C480/B480)</f>
        <v/>
      </c>
      <c r="G480" s="12" t="str">
        <f aca="false">IF(F480="","",IF(F480&lt;100,"Menos de 100 USD",IF(F480&lt;500,"100 a 500 USD",IF(F480&lt;2000,"500 a 2.000 USD","Más de 2.000 USD"))))</f>
        <v/>
      </c>
      <c r="H480" s="14" t="str">
        <f aca="false">IF(C480="","",MIN(D480,C480))</f>
        <v/>
      </c>
    </row>
    <row r="481" customFormat="false" ht="15" hidden="false" customHeight="true" outlineLevel="0" collapsed="false">
      <c r="A481" s="12" t="s">
        <v>1496</v>
      </c>
      <c r="B481" s="14" t="n">
        <v>18.885</v>
      </c>
      <c r="C481" s="14" t="str">
        <f aca="false">IF('MRR Conglomerado'!AH481&gt;0,'MRR Conglomerado'!AH481,"")</f>
        <v/>
      </c>
      <c r="D481" s="14" t="str">
        <f aca="false">IF(C481="","",'MRR Conglomerado'!AT481)</f>
        <v/>
      </c>
      <c r="E481" s="15" t="str">
        <f aca="false">IF(C481="","",D481/C481)</f>
        <v/>
      </c>
      <c r="F481" s="14" t="str">
        <f aca="false">IF(C481="","",C481/B481)</f>
        <v/>
      </c>
      <c r="G481" s="12" t="str">
        <f aca="false">IF(F481="","",IF(F481&lt;100,"Menos de 100 USD",IF(F481&lt;500,"100 a 500 USD",IF(F481&lt;2000,"500 a 2.000 USD","Más de 2.000 USD"))))</f>
        <v/>
      </c>
      <c r="H481" s="14" t="str">
        <f aca="false">IF(C481="","",MIN(D481,C481))</f>
        <v/>
      </c>
    </row>
    <row r="482" customFormat="false" ht="15" hidden="false" customHeight="true" outlineLevel="0" collapsed="false">
      <c r="A482" s="12" t="s">
        <v>1499</v>
      </c>
      <c r="B482" s="14" t="n">
        <v>18.885</v>
      </c>
      <c r="C482" s="14" t="str">
        <f aca="false">IF('MRR Conglomerado'!AH482&gt;0,'MRR Conglomerado'!AH482,"")</f>
        <v/>
      </c>
      <c r="D482" s="14" t="str">
        <f aca="false">IF(C482="","",'MRR Conglomerado'!AT482)</f>
        <v/>
      </c>
      <c r="E482" s="15" t="str">
        <f aca="false">IF(C482="","",D482/C482)</f>
        <v/>
      </c>
      <c r="F482" s="14" t="str">
        <f aca="false">IF(C482="","",C482/B482)</f>
        <v/>
      </c>
      <c r="G482" s="12" t="str">
        <f aca="false">IF(F482="","",IF(F482&lt;100,"Menos de 100 USD",IF(F482&lt;500,"100 a 500 USD",IF(F482&lt;2000,"500 a 2.000 USD","Más de 2.000 USD"))))</f>
        <v/>
      </c>
      <c r="H482" s="14" t="str">
        <f aca="false">IF(C482="","",MIN(D482,C482))</f>
        <v/>
      </c>
    </row>
    <row r="483" customFormat="false" ht="15" hidden="false" customHeight="true" outlineLevel="0" collapsed="false">
      <c r="A483" s="12" t="s">
        <v>1502</v>
      </c>
      <c r="B483" s="14" t="n">
        <v>18.885</v>
      </c>
      <c r="C483" s="14" t="str">
        <f aca="false">IF('MRR Conglomerado'!AH483&gt;0,'MRR Conglomerado'!AH483,"")</f>
        <v/>
      </c>
      <c r="D483" s="14" t="str">
        <f aca="false">IF(C483="","",'MRR Conglomerado'!AT483)</f>
        <v/>
      </c>
      <c r="E483" s="15" t="str">
        <f aca="false">IF(C483="","",D483/C483)</f>
        <v/>
      </c>
      <c r="F483" s="14" t="str">
        <f aca="false">IF(C483="","",C483/B483)</f>
        <v/>
      </c>
      <c r="G483" s="12" t="str">
        <f aca="false">IF(F483="","",IF(F483&lt;100,"Menos de 100 USD",IF(F483&lt;500,"100 a 500 USD",IF(F483&lt;2000,"500 a 2.000 USD","Más de 2.000 USD"))))</f>
        <v/>
      </c>
      <c r="H483" s="14" t="str">
        <f aca="false">IF(C483="","",MIN(D483,C483))</f>
        <v/>
      </c>
    </row>
    <row r="484" customFormat="false" ht="15" hidden="false" customHeight="true" outlineLevel="0" collapsed="false">
      <c r="A484" s="12" t="s">
        <v>1505</v>
      </c>
      <c r="B484" s="14" t="n">
        <v>18.885</v>
      </c>
      <c r="C484" s="14" t="n">
        <f aca="false">IF('MRR Conglomerado'!AH484&gt;0,'MRR Conglomerado'!AH484,"")</f>
        <v>3422.90625</v>
      </c>
      <c r="D484" s="14" t="n">
        <f aca="false">IF(C484="","",'MRR Conglomerado'!AT484)</f>
        <v>3063.130032</v>
      </c>
      <c r="E484" s="15" t="n">
        <f aca="false">IF(C484="","",D484/C484)</f>
        <v>0.894891594533154</v>
      </c>
      <c r="F484" s="14" t="n">
        <f aca="false">IF(C484="","",C484/B484)</f>
        <v>181.25</v>
      </c>
      <c r="G484" s="12" t="str">
        <f aca="false">IF(F484="","",IF(F484&lt;100,"Menos de 100 USD",IF(F484&lt;500,"100 a 500 USD",IF(F484&lt;2000,"500 a 2.000 USD","Más de 2.000 USD"))))</f>
        <v>100 a 500 USD</v>
      </c>
      <c r="H484" s="14" t="n">
        <f aca="false">IF(C484="","",MIN(D484,C484))</f>
        <v>3063.130032</v>
      </c>
    </row>
    <row r="485" customFormat="false" ht="15" hidden="false" customHeight="true" outlineLevel="0" collapsed="false">
      <c r="A485" s="12" t="s">
        <v>1508</v>
      </c>
      <c r="B485" s="14" t="n">
        <v>18.885</v>
      </c>
      <c r="C485" s="14" t="n">
        <f aca="false">IF('MRR Conglomerado'!AH485&gt;0,'MRR Conglomerado'!AH485,"")</f>
        <v>2063.56395</v>
      </c>
      <c r="D485" s="14" t="n">
        <f aca="false">IF(C485="","",'MRR Conglomerado'!AT485)</f>
        <v>2793.605392</v>
      </c>
      <c r="E485" s="15" t="n">
        <f aca="false">IF(C485="","",D485/C485)</f>
        <v>1.35377698956216</v>
      </c>
      <c r="F485" s="14" t="n">
        <f aca="false">IF(C485="","",C485/B485)</f>
        <v>109.27</v>
      </c>
      <c r="G485" s="12" t="str">
        <f aca="false">IF(F485="","",IF(F485&lt;100,"Menos de 100 USD",IF(F485&lt;500,"100 a 500 USD",IF(F485&lt;2000,"500 a 2.000 USD","Más de 2.000 USD"))))</f>
        <v>100 a 500 USD</v>
      </c>
      <c r="H485" s="14" t="n">
        <f aca="false">IF(C485="","",MIN(D485,C485))</f>
        <v>2063.56395</v>
      </c>
    </row>
    <row r="486" customFormat="false" ht="15" hidden="false" customHeight="true" outlineLevel="0" collapsed="false">
      <c r="A486" s="12" t="s">
        <v>1511</v>
      </c>
      <c r="B486" s="14" t="n">
        <v>18.885</v>
      </c>
      <c r="C486" s="14" t="n">
        <f aca="false">IF('MRR Conglomerado'!AH486&gt;0,'MRR Conglomerado'!AH486,"")</f>
        <v>1375.77225</v>
      </c>
      <c r="D486" s="14" t="n">
        <f aca="false">IF(C486="","",'MRR Conglomerado'!AT486)</f>
        <v>772.69564</v>
      </c>
      <c r="E486" s="15" t="n">
        <f aca="false">IF(C486="","",D486/C486)</f>
        <v>0.561645025184946</v>
      </c>
      <c r="F486" s="14" t="n">
        <f aca="false">IF(C486="","",C486/B486)</f>
        <v>72.85</v>
      </c>
      <c r="G486" s="12" t="str">
        <f aca="false">IF(F486="","",IF(F486&lt;100,"Menos de 100 USD",IF(F486&lt;500,"100 a 500 USD",IF(F486&lt;2000,"500 a 2.000 USD","Más de 2.000 USD"))))</f>
        <v>Menos de 100 USD</v>
      </c>
      <c r="H486" s="14" t="n">
        <f aca="false">IF(C486="","",MIN(D486,C486))</f>
        <v>772.69564</v>
      </c>
    </row>
    <row r="487" customFormat="false" ht="15" hidden="false" customHeight="true" outlineLevel="0" collapsed="false">
      <c r="A487" s="12" t="s">
        <v>1514</v>
      </c>
      <c r="B487" s="14" t="n">
        <v>18.885</v>
      </c>
      <c r="C487" s="14" t="n">
        <f aca="false">IF('MRR Conglomerado'!AH487&gt;0,'MRR Conglomerado'!AH487,"")</f>
        <v>4160.93205</v>
      </c>
      <c r="D487" s="14" t="n">
        <f aca="false">IF(C487="","",'MRR Conglomerado'!AT487)</f>
        <v>5533.480872</v>
      </c>
      <c r="E487" s="15" t="n">
        <f aca="false">IF(C487="","",D487/C487)</f>
        <v>1.32986571410124</v>
      </c>
      <c r="F487" s="14" t="n">
        <f aca="false">IF(C487="","",C487/B487)</f>
        <v>220.33</v>
      </c>
      <c r="G487" s="12" t="str">
        <f aca="false">IF(F487="","",IF(F487&lt;100,"Menos de 100 USD",IF(F487&lt;500,"100 a 500 USD",IF(F487&lt;2000,"500 a 2.000 USD","Más de 2.000 USD"))))</f>
        <v>100 a 500 USD</v>
      </c>
      <c r="H487" s="14" t="n">
        <f aca="false">IF(C487="","",MIN(D487,C487))</f>
        <v>4160.93205</v>
      </c>
    </row>
    <row r="488" customFormat="false" ht="15" hidden="false" customHeight="true" outlineLevel="0" collapsed="false">
      <c r="A488" s="12" t="s">
        <v>1517</v>
      </c>
      <c r="B488" s="14" t="n">
        <v>18.885</v>
      </c>
      <c r="C488" s="14" t="n">
        <f aca="false">IF('MRR Conglomerado'!AH488&gt;0,'MRR Conglomerado'!AH488,"")</f>
        <v>1312.8852</v>
      </c>
      <c r="D488" s="14" t="n">
        <f aca="false">IF(C488="","",'MRR Conglomerado'!AT488)</f>
        <v>1604.546688</v>
      </c>
      <c r="E488" s="15" t="n">
        <f aca="false">IF(C488="","",D488/C488)</f>
        <v>1.2221530778167</v>
      </c>
      <c r="F488" s="14" t="n">
        <f aca="false">IF(C488="","",C488/B488)</f>
        <v>69.52</v>
      </c>
      <c r="G488" s="12" t="str">
        <f aca="false">IF(F488="","",IF(F488&lt;100,"Menos de 100 USD",IF(F488&lt;500,"100 a 500 USD",IF(F488&lt;2000,"500 a 2.000 USD","Más de 2.000 USD"))))</f>
        <v>Menos de 100 USD</v>
      </c>
      <c r="H488" s="14" t="n">
        <f aca="false">IF(C488="","",MIN(D488,C488))</f>
        <v>1312.8852</v>
      </c>
    </row>
    <row r="489" customFormat="false" ht="15" hidden="false" customHeight="true" outlineLevel="0" collapsed="false">
      <c r="A489" s="12" t="s">
        <v>1520</v>
      </c>
      <c r="B489" s="14" t="n">
        <v>18.885</v>
      </c>
      <c r="C489" s="14" t="str">
        <f aca="false">IF('MRR Conglomerado'!AH489&gt;0,'MRR Conglomerado'!AH489,"")</f>
        <v/>
      </c>
      <c r="D489" s="14" t="str">
        <f aca="false">IF(C489="","",'MRR Conglomerado'!AT489)</f>
        <v/>
      </c>
      <c r="E489" s="15" t="str">
        <f aca="false">IF(C489="","",D489/C489)</f>
        <v/>
      </c>
      <c r="F489" s="14" t="str">
        <f aca="false">IF(C489="","",C489/B489)</f>
        <v/>
      </c>
      <c r="G489" s="12" t="str">
        <f aca="false">IF(F489="","",IF(F489&lt;100,"Menos de 100 USD",IF(F489&lt;500,"100 a 500 USD",IF(F489&lt;2000,"500 a 2.000 USD","Más de 2.000 USD"))))</f>
        <v/>
      </c>
      <c r="H489" s="14" t="str">
        <f aca="false">IF(C489="","",MIN(D489,C489))</f>
        <v/>
      </c>
    </row>
    <row r="490" customFormat="false" ht="15" hidden="false" customHeight="true" outlineLevel="0" collapsed="false">
      <c r="A490" s="12" t="s">
        <v>1523</v>
      </c>
      <c r="B490" s="14" t="n">
        <v>18.885</v>
      </c>
      <c r="C490" s="14" t="n">
        <f aca="false">IF('MRR Conglomerado'!AH490&gt;0,'MRR Conglomerado'!AH490,"")</f>
        <v>6815.78535</v>
      </c>
      <c r="D490" s="14" t="n">
        <f aca="false">IF(C490="","",'MRR Conglomerado'!AT490)</f>
        <v>0</v>
      </c>
      <c r="E490" s="15" t="n">
        <f aca="false">IF(C490="","",D490/C490)</f>
        <v>0</v>
      </c>
      <c r="F490" s="14" t="n">
        <f aca="false">IF(C490="","",C490/B490)</f>
        <v>360.91</v>
      </c>
      <c r="G490" s="12" t="str">
        <f aca="false">IF(F490="","",IF(F490&lt;100,"Menos de 100 USD",IF(F490&lt;500,"100 a 500 USD",IF(F490&lt;2000,"500 a 2.000 USD","Más de 2.000 USD"))))</f>
        <v>100 a 500 USD</v>
      </c>
      <c r="H490" s="14" t="n">
        <f aca="false">IF(C490="","",MIN(D490,C490))</f>
        <v>0</v>
      </c>
    </row>
    <row r="491" customFormat="false" ht="15" hidden="false" customHeight="true" outlineLevel="0" collapsed="false">
      <c r="A491" s="12" t="s">
        <v>1526</v>
      </c>
      <c r="B491" s="14" t="n">
        <v>18.885</v>
      </c>
      <c r="C491" s="14" t="str">
        <f aca="false">IF('MRR Conglomerado'!AH491&gt;0,'MRR Conglomerado'!AH491,"")</f>
        <v/>
      </c>
      <c r="D491" s="14" t="str">
        <f aca="false">IF(C491="","",'MRR Conglomerado'!AT491)</f>
        <v/>
      </c>
      <c r="E491" s="15" t="str">
        <f aca="false">IF(C491="","",D491/C491)</f>
        <v/>
      </c>
      <c r="F491" s="14" t="str">
        <f aca="false">IF(C491="","",C491/B491)</f>
        <v/>
      </c>
      <c r="G491" s="12" t="str">
        <f aca="false">IF(F491="","",IF(F491&lt;100,"Menos de 100 USD",IF(F491&lt;500,"100 a 500 USD",IF(F491&lt;2000,"500 a 2.000 USD","Más de 2.000 USD"))))</f>
        <v/>
      </c>
      <c r="H491" s="14" t="str">
        <f aca="false">IF(C491="","",MIN(D491,C491))</f>
        <v/>
      </c>
    </row>
    <row r="492" customFormat="false" ht="15" hidden="false" customHeight="true" outlineLevel="0" collapsed="false">
      <c r="A492" s="12" t="s">
        <v>1529</v>
      </c>
      <c r="B492" s="14" t="n">
        <v>18.885</v>
      </c>
      <c r="C492" s="14" t="str">
        <f aca="false">IF('MRR Conglomerado'!AH492&gt;0,'MRR Conglomerado'!AH492,"")</f>
        <v/>
      </c>
      <c r="D492" s="14" t="str">
        <f aca="false">IF(C492="","",'MRR Conglomerado'!AT492)</f>
        <v/>
      </c>
      <c r="E492" s="15" t="str">
        <f aca="false">IF(C492="","",D492/C492)</f>
        <v/>
      </c>
      <c r="F492" s="14" t="str">
        <f aca="false">IF(C492="","",C492/B492)</f>
        <v/>
      </c>
      <c r="G492" s="12" t="str">
        <f aca="false">IF(F492="","",IF(F492&lt;100,"Menos de 100 USD",IF(F492&lt;500,"100 a 500 USD",IF(F492&lt;2000,"500 a 2.000 USD","Más de 2.000 USD"))))</f>
        <v/>
      </c>
      <c r="H492" s="14" t="str">
        <f aca="false">IF(C492="","",MIN(D492,C492))</f>
        <v/>
      </c>
    </row>
    <row r="493" customFormat="false" ht="15" hidden="false" customHeight="true" outlineLevel="0" collapsed="false">
      <c r="A493" s="12" t="s">
        <v>1532</v>
      </c>
      <c r="B493" s="14" t="n">
        <v>18.885</v>
      </c>
      <c r="C493" s="14" t="n">
        <f aca="false">IF('MRR Conglomerado'!AH493&gt;0,'MRR Conglomerado'!AH493,"")</f>
        <v>469.29225</v>
      </c>
      <c r="D493" s="14" t="n">
        <f aca="false">IF(C493="","",'MRR Conglomerado'!AT493)</f>
        <v>398.1614</v>
      </c>
      <c r="E493" s="15" t="n">
        <f aca="false">IF(C493="","",D493/C493)</f>
        <v>0.848429523394005</v>
      </c>
      <c r="F493" s="14" t="n">
        <f aca="false">IF(C493="","",C493/B493)</f>
        <v>24.85</v>
      </c>
      <c r="G493" s="12" t="str">
        <f aca="false">IF(F493="","",IF(F493&lt;100,"Menos de 100 USD",IF(F493&lt;500,"100 a 500 USD",IF(F493&lt;2000,"500 a 2.000 USD","Más de 2.000 USD"))))</f>
        <v>Menos de 100 USD</v>
      </c>
      <c r="H493" s="14" t="n">
        <f aca="false">IF(C493="","",MIN(D493,C493))</f>
        <v>398.1614</v>
      </c>
    </row>
    <row r="494" customFormat="false" ht="15" hidden="false" customHeight="true" outlineLevel="0" collapsed="false">
      <c r="A494" s="12" t="s">
        <v>1535</v>
      </c>
      <c r="B494" s="14" t="n">
        <v>18.885</v>
      </c>
      <c r="C494" s="14" t="n">
        <f aca="false">IF('MRR Conglomerado'!AH494&gt;0,'MRR Conglomerado'!AH494,"")</f>
        <v>4267.06575</v>
      </c>
      <c r="D494" s="14" t="n">
        <f aca="false">IF(C494="","",'MRR Conglomerado'!AT494)</f>
        <v>5030.134856</v>
      </c>
      <c r="E494" s="15" t="n">
        <f aca="false">IF(C494="","",D494/C494)</f>
        <v>1.17882759505171</v>
      </c>
      <c r="F494" s="14" t="n">
        <f aca="false">IF(C494="","",C494/B494)</f>
        <v>225.95</v>
      </c>
      <c r="G494" s="12" t="str">
        <f aca="false">IF(F494="","",IF(F494&lt;100,"Menos de 100 USD",IF(F494&lt;500,"100 a 500 USD",IF(F494&lt;2000,"500 a 2.000 USD","Más de 2.000 USD"))))</f>
        <v>100 a 500 USD</v>
      </c>
      <c r="H494" s="14" t="n">
        <f aca="false">IF(C494="","",MIN(D494,C494))</f>
        <v>4267.06575</v>
      </c>
    </row>
    <row r="495" customFormat="false" ht="15" hidden="false" customHeight="true" outlineLevel="0" collapsed="false">
      <c r="A495" s="12" t="s">
        <v>1538</v>
      </c>
      <c r="B495" s="14" t="n">
        <v>18.885</v>
      </c>
      <c r="C495" s="14" t="n">
        <f aca="false">IF('MRR Conglomerado'!AH495&gt;0,'MRR Conglomerado'!AH495,"")</f>
        <v>60.0543</v>
      </c>
      <c r="D495" s="14" t="n">
        <f aca="false">IF(C495="","",'MRR Conglomerado'!AT495)</f>
        <v>62.13068</v>
      </c>
      <c r="E495" s="15" t="n">
        <f aca="false">IF(C495="","",D495/C495)</f>
        <v>1.03457504291949</v>
      </c>
      <c r="F495" s="14" t="n">
        <f aca="false">IF(C495="","",C495/B495)</f>
        <v>3.18</v>
      </c>
      <c r="G495" s="12" t="str">
        <f aca="false">IF(F495="","",IF(F495&lt;100,"Menos de 100 USD",IF(F495&lt;500,"100 a 500 USD",IF(F495&lt;2000,"500 a 2.000 USD","Más de 2.000 USD"))))</f>
        <v>Menos de 100 USD</v>
      </c>
      <c r="H495" s="14" t="n">
        <f aca="false">IF(C495="","",MIN(D495,C495))</f>
        <v>60.0543</v>
      </c>
    </row>
    <row r="496" customFormat="false" ht="15" hidden="false" customHeight="true" outlineLevel="0" collapsed="false">
      <c r="A496" s="12" t="s">
        <v>1541</v>
      </c>
      <c r="B496" s="14" t="n">
        <v>18.885</v>
      </c>
      <c r="C496" s="14" t="str">
        <f aca="false">IF('MRR Conglomerado'!AH496&gt;0,'MRR Conglomerado'!AH496,"")</f>
        <v/>
      </c>
      <c r="D496" s="14" t="str">
        <f aca="false">IF(C496="","",'MRR Conglomerado'!AT496)</f>
        <v/>
      </c>
      <c r="E496" s="15" t="str">
        <f aca="false">IF(C496="","",D496/C496)</f>
        <v/>
      </c>
      <c r="F496" s="14" t="str">
        <f aca="false">IF(C496="","",C496/B496)</f>
        <v/>
      </c>
      <c r="G496" s="12" t="str">
        <f aca="false">IF(F496="","",IF(F496&lt;100,"Menos de 100 USD",IF(F496&lt;500,"100 a 500 USD",IF(F496&lt;2000,"500 a 2.000 USD","Más de 2.000 USD"))))</f>
        <v/>
      </c>
      <c r="H496" s="14" t="str">
        <f aca="false">IF(C496="","",MIN(D496,C496))</f>
        <v/>
      </c>
    </row>
    <row r="497" customFormat="false" ht="15" hidden="false" customHeight="true" outlineLevel="0" collapsed="false">
      <c r="A497" s="12" t="s">
        <v>1544</v>
      </c>
      <c r="B497" s="14" t="n">
        <v>18.885</v>
      </c>
      <c r="C497" s="14" t="n">
        <f aca="false">IF('MRR Conglomerado'!AH497&gt;0,'MRR Conglomerado'!AH497,"")</f>
        <v>15361.4367</v>
      </c>
      <c r="D497" s="14" t="n">
        <f aca="false">IF(C497="","",'MRR Conglomerado'!AT497)</f>
        <v>0</v>
      </c>
      <c r="E497" s="15" t="n">
        <f aca="false">IF(C497="","",D497/C497)</f>
        <v>0</v>
      </c>
      <c r="F497" s="14" t="n">
        <f aca="false">IF(C497="","",C497/B497)</f>
        <v>813.42</v>
      </c>
      <c r="G497" s="12" t="str">
        <f aca="false">IF(F497="","",IF(F497&lt;100,"Menos de 100 USD",IF(F497&lt;500,"100 a 500 USD",IF(F497&lt;2000,"500 a 2.000 USD","Más de 2.000 USD"))))</f>
        <v>500 a 2.000 USD</v>
      </c>
      <c r="H497" s="14" t="n">
        <f aca="false">IF(C497="","",MIN(D497,C497))</f>
        <v>0</v>
      </c>
    </row>
    <row r="498" customFormat="false" ht="15" hidden="false" customHeight="true" outlineLevel="0" collapsed="false">
      <c r="A498" s="12" t="s">
        <v>1547</v>
      </c>
      <c r="B498" s="14" t="n">
        <v>18.885</v>
      </c>
      <c r="C498" s="14" t="str">
        <f aca="false">IF('MRR Conglomerado'!AH498&gt;0,'MRR Conglomerado'!AH498,"")</f>
        <v/>
      </c>
      <c r="D498" s="14" t="str">
        <f aca="false">IF(C498="","",'MRR Conglomerado'!AT498)</f>
        <v/>
      </c>
      <c r="E498" s="15" t="str">
        <f aca="false">IF(C498="","",D498/C498)</f>
        <v/>
      </c>
      <c r="F498" s="14" t="str">
        <f aca="false">IF(C498="","",C498/B498)</f>
        <v/>
      </c>
      <c r="G498" s="12" t="str">
        <f aca="false">IF(F498="","",IF(F498&lt;100,"Menos de 100 USD",IF(F498&lt;500,"100 a 500 USD",IF(F498&lt;2000,"500 a 2.000 USD","Más de 2.000 USD"))))</f>
        <v/>
      </c>
      <c r="H498" s="14" t="str">
        <f aca="false">IF(C498="","",MIN(D498,C498))</f>
        <v/>
      </c>
    </row>
    <row r="499" customFormat="false" ht="15" hidden="false" customHeight="true" outlineLevel="0" collapsed="false">
      <c r="A499" s="12" t="s">
        <v>1550</v>
      </c>
      <c r="B499" s="14" t="n">
        <v>18.885</v>
      </c>
      <c r="C499" s="14" t="str">
        <f aca="false">IF('MRR Conglomerado'!AH499&gt;0,'MRR Conglomerado'!AH499,"")</f>
        <v/>
      </c>
      <c r="D499" s="14" t="str">
        <f aca="false">IF(C499="","",'MRR Conglomerado'!AT499)</f>
        <v/>
      </c>
      <c r="E499" s="15" t="str">
        <f aca="false">IF(C499="","",D499/C499)</f>
        <v/>
      </c>
      <c r="F499" s="14" t="str">
        <f aca="false">IF(C499="","",C499/B499)</f>
        <v/>
      </c>
      <c r="G499" s="12" t="str">
        <f aca="false">IF(F499="","",IF(F499&lt;100,"Menos de 100 USD",IF(F499&lt;500,"100 a 500 USD",IF(F499&lt;2000,"500 a 2.000 USD","Más de 2.000 USD"))))</f>
        <v/>
      </c>
      <c r="H499" s="14" t="str">
        <f aca="false">IF(C499="","",MIN(D499,C499))</f>
        <v/>
      </c>
    </row>
    <row r="500" customFormat="false" ht="15" hidden="false" customHeight="true" outlineLevel="0" collapsed="false">
      <c r="A500" s="12" t="s">
        <v>1553</v>
      </c>
      <c r="B500" s="14" t="n">
        <v>18.885</v>
      </c>
      <c r="C500" s="14" t="n">
        <f aca="false">IF('MRR Conglomerado'!AH500&gt;0,'MRR Conglomerado'!AH500,"")</f>
        <v>441.909</v>
      </c>
      <c r="D500" s="14" t="n">
        <f aca="false">IF(C500="","",'MRR Conglomerado'!AT500)</f>
        <v>485.319368</v>
      </c>
      <c r="E500" s="15" t="n">
        <f aca="false">IF(C500="","",D500/C500)</f>
        <v>1.09823372685327</v>
      </c>
      <c r="F500" s="14" t="n">
        <f aca="false">IF(C500="","",C500/B500)</f>
        <v>23.4</v>
      </c>
      <c r="G500" s="12" t="str">
        <f aca="false">IF(F500="","",IF(F500&lt;100,"Menos de 100 USD",IF(F500&lt;500,"100 a 500 USD",IF(F500&lt;2000,"500 a 2.000 USD","Más de 2.000 USD"))))</f>
        <v>Menos de 100 USD</v>
      </c>
      <c r="H500" s="14" t="n">
        <f aca="false">IF(C500="","",MIN(D500,C500))</f>
        <v>441.909</v>
      </c>
    </row>
    <row r="501" customFormat="false" ht="15" hidden="false" customHeight="true" outlineLevel="0" collapsed="false">
      <c r="A501" s="12" t="s">
        <v>1556</v>
      </c>
      <c r="B501" s="14" t="n">
        <v>18.885</v>
      </c>
      <c r="C501" s="14" t="n">
        <f aca="false">IF('MRR Conglomerado'!AH501&gt;0,'MRR Conglomerado'!AH501,"")</f>
        <v>2717.74035</v>
      </c>
      <c r="D501" s="14" t="n">
        <f aca="false">IF(C501="","",'MRR Conglomerado'!AT501)</f>
        <v>3687.412104</v>
      </c>
      <c r="E501" s="15" t="n">
        <f aca="false">IF(C501="","",D501/C501)</f>
        <v>1.35679337579103</v>
      </c>
      <c r="F501" s="14" t="n">
        <f aca="false">IF(C501="","",C501/B501)</f>
        <v>143.91</v>
      </c>
      <c r="G501" s="12" t="str">
        <f aca="false">IF(F501="","",IF(F501&lt;100,"Menos de 100 USD",IF(F501&lt;500,"100 a 500 USD",IF(F501&lt;2000,"500 a 2.000 USD","Más de 2.000 USD"))))</f>
        <v>100 a 500 USD</v>
      </c>
      <c r="H501" s="14" t="n">
        <f aca="false">IF(C501="","",MIN(D501,C501))</f>
        <v>2717.74035</v>
      </c>
    </row>
    <row r="502" customFormat="false" ht="15" hidden="false" customHeight="true" outlineLevel="0" collapsed="false">
      <c r="A502" s="12" t="s">
        <v>1559</v>
      </c>
      <c r="B502" s="14" t="n">
        <v>18.885</v>
      </c>
      <c r="C502" s="14" t="n">
        <f aca="false">IF('MRR Conglomerado'!AH502&gt;0,'MRR Conglomerado'!AH502,"")</f>
        <v>1641.29535</v>
      </c>
      <c r="D502" s="14" t="n">
        <f aca="false">IF(C502="","",'MRR Conglomerado'!AT502)</f>
        <v>1183.808224</v>
      </c>
      <c r="E502" s="15" t="n">
        <f aca="false">IF(C502="","",D502/C502)</f>
        <v>0.721264593846562</v>
      </c>
      <c r="F502" s="14" t="n">
        <f aca="false">IF(C502="","",C502/B502)</f>
        <v>86.91</v>
      </c>
      <c r="G502" s="12" t="str">
        <f aca="false">IF(F502="","",IF(F502&lt;100,"Menos de 100 USD",IF(F502&lt;500,"100 a 500 USD",IF(F502&lt;2000,"500 a 2.000 USD","Más de 2.000 USD"))))</f>
        <v>Menos de 100 USD</v>
      </c>
      <c r="H502" s="14" t="n">
        <f aca="false">IF(C502="","",MIN(D502,C502))</f>
        <v>1183.808224</v>
      </c>
    </row>
    <row r="503" customFormat="false" ht="15" hidden="false" customHeight="true" outlineLevel="0" collapsed="false">
      <c r="A503" s="12" t="s">
        <v>1562</v>
      </c>
      <c r="B503" s="14" t="n">
        <v>18.885</v>
      </c>
      <c r="C503" s="14" t="str">
        <f aca="false">IF('MRR Conglomerado'!AH503&gt;0,'MRR Conglomerado'!AH503,"")</f>
        <v/>
      </c>
      <c r="D503" s="14" t="str">
        <f aca="false">IF(C503="","",'MRR Conglomerado'!AT503)</f>
        <v/>
      </c>
      <c r="E503" s="15" t="str">
        <f aca="false">IF(C503="","",D503/C503)</f>
        <v/>
      </c>
      <c r="F503" s="14" t="str">
        <f aca="false">IF(C503="","",C503/B503)</f>
        <v/>
      </c>
      <c r="G503" s="12" t="str">
        <f aca="false">IF(F503="","",IF(F503&lt;100,"Menos de 100 USD",IF(F503&lt;500,"100 a 500 USD",IF(F503&lt;2000,"500 a 2.000 USD","Más de 2.000 USD"))))</f>
        <v/>
      </c>
      <c r="H503" s="14" t="str">
        <f aca="false">IF(C503="","",MIN(D503,C503))</f>
        <v/>
      </c>
    </row>
    <row r="504" customFormat="false" ht="15" hidden="false" customHeight="true" outlineLevel="0" collapsed="false">
      <c r="A504" s="12" t="s">
        <v>1565</v>
      </c>
      <c r="B504" s="14" t="n">
        <v>18.885</v>
      </c>
      <c r="C504" s="14" t="str">
        <f aca="false">IF('MRR Conglomerado'!AH504&gt;0,'MRR Conglomerado'!AH504,"")</f>
        <v/>
      </c>
      <c r="D504" s="14" t="str">
        <f aca="false">IF(C504="","",'MRR Conglomerado'!AT504)</f>
        <v/>
      </c>
      <c r="E504" s="15" t="str">
        <f aca="false">IF(C504="","",D504/C504)</f>
        <v/>
      </c>
      <c r="F504" s="14" t="str">
        <f aca="false">IF(C504="","",C504/B504)</f>
        <v/>
      </c>
      <c r="G504" s="12" t="str">
        <f aca="false">IF(F504="","",IF(F504&lt;100,"Menos de 100 USD",IF(F504&lt;500,"100 a 500 USD",IF(F504&lt;2000,"500 a 2.000 USD","Más de 2.000 USD"))))</f>
        <v/>
      </c>
      <c r="H504" s="14" t="str">
        <f aca="false">IF(C504="","",MIN(D504,C504))</f>
        <v/>
      </c>
    </row>
    <row r="505" customFormat="false" ht="15" hidden="false" customHeight="true" outlineLevel="0" collapsed="false">
      <c r="A505" s="12" t="s">
        <v>1568</v>
      </c>
      <c r="B505" s="14" t="n">
        <v>18.885</v>
      </c>
      <c r="C505" s="14" t="str">
        <f aca="false">IF('MRR Conglomerado'!AH505&gt;0,'MRR Conglomerado'!AH505,"")</f>
        <v/>
      </c>
      <c r="D505" s="14" t="str">
        <f aca="false">IF(C505="","",'MRR Conglomerado'!AT505)</f>
        <v/>
      </c>
      <c r="E505" s="15" t="str">
        <f aca="false">IF(C505="","",D505/C505)</f>
        <v/>
      </c>
      <c r="F505" s="14" t="str">
        <f aca="false">IF(C505="","",C505/B505)</f>
        <v/>
      </c>
      <c r="G505" s="12" t="str">
        <f aca="false">IF(F505="","",IF(F505&lt;100,"Menos de 100 USD",IF(F505&lt;500,"100 a 500 USD",IF(F505&lt;2000,"500 a 2.000 USD","Más de 2.000 USD"))))</f>
        <v/>
      </c>
      <c r="H505" s="14" t="str">
        <f aca="false">IF(C505="","",MIN(D505,C505))</f>
        <v/>
      </c>
    </row>
    <row r="506" customFormat="false" ht="15" hidden="false" customHeight="true" outlineLevel="0" collapsed="false">
      <c r="A506" s="12" t="s">
        <v>1571</v>
      </c>
      <c r="B506" s="14" t="n">
        <v>18.885</v>
      </c>
      <c r="C506" s="14" t="n">
        <f aca="false">IF('MRR Conglomerado'!AH506&gt;0,'MRR Conglomerado'!AH506,"")</f>
        <v>11185.9632</v>
      </c>
      <c r="D506" s="14" t="n">
        <f aca="false">IF(C506="","",'MRR Conglomerado'!AT506)</f>
        <v>15133.983552</v>
      </c>
      <c r="E506" s="15" t="n">
        <f aca="false">IF(C506="","",D506/C506)</f>
        <v>1.35294415701278</v>
      </c>
      <c r="F506" s="14" t="n">
        <f aca="false">IF(C506="","",C506/B506)</f>
        <v>592.32</v>
      </c>
      <c r="G506" s="12" t="str">
        <f aca="false">IF(F506="","",IF(F506&lt;100,"Menos de 100 USD",IF(F506&lt;500,"100 a 500 USD",IF(F506&lt;2000,"500 a 2.000 USD","Más de 2.000 USD"))))</f>
        <v>500 a 2.000 USD</v>
      </c>
      <c r="H506" s="14" t="n">
        <f aca="false">IF(C506="","",MIN(D506,C506))</f>
        <v>11185.9632</v>
      </c>
    </row>
    <row r="507" customFormat="false" ht="15" hidden="false" customHeight="true" outlineLevel="0" collapsed="false">
      <c r="A507" s="12" t="s">
        <v>1574</v>
      </c>
      <c r="B507" s="14" t="n">
        <v>18.885</v>
      </c>
      <c r="C507" s="14" t="n">
        <f aca="false">IF('MRR Conglomerado'!AH507&gt;0,'MRR Conglomerado'!AH507,"")</f>
        <v>3360.20805</v>
      </c>
      <c r="D507" s="14" t="n">
        <f aca="false">IF(C507="","",'MRR Conglomerado'!AT507)</f>
        <v>8040.060024</v>
      </c>
      <c r="E507" s="15" t="n">
        <f aca="false">IF(C507="","",D507/C507)</f>
        <v>2.39272685035083</v>
      </c>
      <c r="F507" s="14" t="n">
        <f aca="false">IF(C507="","",C507/B507)</f>
        <v>177.93</v>
      </c>
      <c r="G507" s="12" t="str">
        <f aca="false">IF(F507="","",IF(F507&lt;100,"Menos de 100 USD",IF(F507&lt;500,"100 a 500 USD",IF(F507&lt;2000,"500 a 2.000 USD","Más de 2.000 USD"))))</f>
        <v>100 a 500 USD</v>
      </c>
      <c r="H507" s="14" t="n">
        <f aca="false">IF(C507="","",MIN(D507,C507))</f>
        <v>3360.20805</v>
      </c>
    </row>
    <row r="508" customFormat="false" ht="15" hidden="false" customHeight="true" outlineLevel="0" collapsed="false">
      <c r="A508" s="12" t="s">
        <v>1577</v>
      </c>
      <c r="B508" s="14" t="n">
        <v>18.885</v>
      </c>
      <c r="C508" s="14" t="str">
        <f aca="false">IF('MRR Conglomerado'!AH508&gt;0,'MRR Conglomerado'!AH508,"")</f>
        <v/>
      </c>
      <c r="D508" s="14" t="str">
        <f aca="false">IF(C508="","",'MRR Conglomerado'!AT508)</f>
        <v/>
      </c>
      <c r="E508" s="15" t="str">
        <f aca="false">IF(C508="","",D508/C508)</f>
        <v/>
      </c>
      <c r="F508" s="14" t="str">
        <f aca="false">IF(C508="","",C508/B508)</f>
        <v/>
      </c>
      <c r="G508" s="12" t="str">
        <f aca="false">IF(F508="","",IF(F508&lt;100,"Menos de 100 USD",IF(F508&lt;500,"100 a 500 USD",IF(F508&lt;2000,"500 a 2.000 USD","Más de 2.000 USD"))))</f>
        <v/>
      </c>
      <c r="H508" s="14" t="str">
        <f aca="false">IF(C508="","",MIN(D508,C508))</f>
        <v/>
      </c>
    </row>
    <row r="509" customFormat="false" ht="15" hidden="false" customHeight="true" outlineLevel="0" collapsed="false">
      <c r="A509" s="12" t="s">
        <v>1579</v>
      </c>
      <c r="B509" s="14" t="n">
        <v>18.885</v>
      </c>
      <c r="C509" s="14" t="n">
        <f aca="false">IF('MRR Conglomerado'!AH509&gt;0,'MRR Conglomerado'!AH509,"")</f>
        <v>819.04245</v>
      </c>
      <c r="D509" s="14" t="n">
        <f aca="false">IF(C509="","",'MRR Conglomerado'!AT509)</f>
        <v>849.177632</v>
      </c>
      <c r="E509" s="15" t="n">
        <f aca="false">IF(C509="","",D509/C509)</f>
        <v>1.03679318697096</v>
      </c>
      <c r="F509" s="14" t="n">
        <f aca="false">IF(C509="","",C509/B509)</f>
        <v>43.37</v>
      </c>
      <c r="G509" s="12" t="str">
        <f aca="false">IF(F509="","",IF(F509&lt;100,"Menos de 100 USD",IF(F509&lt;500,"100 a 500 USD",IF(F509&lt;2000,"500 a 2.000 USD","Más de 2.000 USD"))))</f>
        <v>Menos de 100 USD</v>
      </c>
      <c r="H509" s="14" t="n">
        <f aca="false">IF(C509="","",MIN(D509,C509))</f>
        <v>819.04245</v>
      </c>
    </row>
    <row r="510" customFormat="false" ht="15" hidden="false" customHeight="true" outlineLevel="0" collapsed="false">
      <c r="A510" s="12" t="s">
        <v>1582</v>
      </c>
      <c r="B510" s="14" t="n">
        <v>18.885</v>
      </c>
      <c r="C510" s="14" t="n">
        <f aca="false">IF('MRR Conglomerado'!AH510&gt;0,'MRR Conglomerado'!AH510,"")</f>
        <v>1250.37585</v>
      </c>
      <c r="D510" s="14" t="n">
        <f aca="false">IF(C510="","",'MRR Conglomerado'!AT510)</f>
        <v>1296.518528</v>
      </c>
      <c r="E510" s="15" t="n">
        <f aca="false">IF(C510="","",D510/C510)</f>
        <v>1.03690304639201</v>
      </c>
      <c r="F510" s="14" t="n">
        <f aca="false">IF(C510="","",C510/B510)</f>
        <v>66.21</v>
      </c>
      <c r="G510" s="12" t="str">
        <f aca="false">IF(F510="","",IF(F510&lt;100,"Menos de 100 USD",IF(F510&lt;500,"100 a 500 USD",IF(F510&lt;2000,"500 a 2.000 USD","Más de 2.000 USD"))))</f>
        <v>Menos de 100 USD</v>
      </c>
      <c r="H510" s="14" t="n">
        <f aca="false">IF(C510="","",MIN(D510,C510))</f>
        <v>1250.37585</v>
      </c>
    </row>
    <row r="511" customFormat="false" ht="15" hidden="false" customHeight="true" outlineLevel="0" collapsed="false">
      <c r="A511" s="12" t="s">
        <v>1585</v>
      </c>
      <c r="B511" s="14" t="n">
        <v>18.885</v>
      </c>
      <c r="C511" s="14" t="str">
        <f aca="false">IF('MRR Conglomerado'!AH511&gt;0,'MRR Conglomerado'!AH511,"")</f>
        <v/>
      </c>
      <c r="D511" s="14" t="str">
        <f aca="false">IF(C511="","",'MRR Conglomerado'!AT511)</f>
        <v/>
      </c>
      <c r="E511" s="15" t="str">
        <f aca="false">IF(C511="","",D511/C511)</f>
        <v/>
      </c>
      <c r="F511" s="14" t="str">
        <f aca="false">IF(C511="","",C511/B511)</f>
        <v/>
      </c>
      <c r="G511" s="12" t="str">
        <f aca="false">IF(F511="","",IF(F511&lt;100,"Menos de 100 USD",IF(F511&lt;500,"100 a 500 USD",IF(F511&lt;2000,"500 a 2.000 USD","Más de 2.000 USD"))))</f>
        <v/>
      </c>
      <c r="H511" s="14" t="str">
        <f aca="false">IF(C511="","",MIN(D511,C511))</f>
        <v/>
      </c>
    </row>
    <row r="512" customFormat="false" ht="15" hidden="false" customHeight="true" outlineLevel="0" collapsed="false">
      <c r="A512" s="12" t="s">
        <v>1588</v>
      </c>
      <c r="B512" s="14" t="n">
        <v>18.885</v>
      </c>
      <c r="C512" s="14" t="n">
        <f aca="false">IF('MRR Conglomerado'!AH512&gt;0,'MRR Conglomerado'!AH512,"")</f>
        <v>749.92335</v>
      </c>
      <c r="D512" s="14" t="n">
        <f aca="false">IF(C512="","",'MRR Conglomerado'!AT512)</f>
        <v>0</v>
      </c>
      <c r="E512" s="15" t="n">
        <f aca="false">IF(C512="","",D512/C512)</f>
        <v>0</v>
      </c>
      <c r="F512" s="14" t="n">
        <f aca="false">IF(C512="","",C512/B512)</f>
        <v>39.71</v>
      </c>
      <c r="G512" s="12" t="str">
        <f aca="false">IF(F512="","",IF(F512&lt;100,"Menos de 100 USD",IF(F512&lt;500,"100 a 500 USD",IF(F512&lt;2000,"500 a 2.000 USD","Más de 2.000 USD"))))</f>
        <v>Menos de 100 USD</v>
      </c>
      <c r="H512" s="14" t="n">
        <f aca="false">IF(C512="","",MIN(D512,C512))</f>
        <v>0</v>
      </c>
    </row>
    <row r="513" customFormat="false" ht="15" hidden="false" customHeight="true" outlineLevel="0" collapsed="false">
      <c r="A513" s="12" t="s">
        <v>1591</v>
      </c>
      <c r="B513" s="14" t="n">
        <v>18.885</v>
      </c>
      <c r="C513" s="14" t="n">
        <f aca="false">IF('MRR Conglomerado'!AH513&gt;0,'MRR Conglomerado'!AH513,"")</f>
        <v>2560.0506</v>
      </c>
      <c r="D513" s="14" t="n">
        <f aca="false">IF(C513="","",'MRR Conglomerado'!AT513)</f>
        <v>2279.933432</v>
      </c>
      <c r="E513" s="15" t="n">
        <f aca="false">IF(C513="","",D513/C513)</f>
        <v>0.890581393977135</v>
      </c>
      <c r="F513" s="14" t="n">
        <f aca="false">IF(C513="","",C513/B513)</f>
        <v>135.56</v>
      </c>
      <c r="G513" s="12" t="str">
        <f aca="false">IF(F513="","",IF(F513&lt;100,"Menos de 100 USD",IF(F513&lt;500,"100 a 500 USD",IF(F513&lt;2000,"500 a 2.000 USD","Más de 2.000 USD"))))</f>
        <v>100 a 500 USD</v>
      </c>
      <c r="H513" s="14" t="n">
        <f aca="false">IF(C513="","",MIN(D513,C513))</f>
        <v>2279.933432</v>
      </c>
    </row>
    <row r="514" customFormat="false" ht="15" hidden="false" customHeight="true" outlineLevel="0" collapsed="false">
      <c r="A514" s="12" t="s">
        <v>1594</v>
      </c>
      <c r="B514" s="14" t="n">
        <v>18.885</v>
      </c>
      <c r="C514" s="14" t="n">
        <f aca="false">IF('MRR Conglomerado'!AH514&gt;0,'MRR Conglomerado'!AH514,"")</f>
        <v>3217.43745</v>
      </c>
      <c r="D514" s="14" t="n">
        <f aca="false">IF(C514="","",'MRR Conglomerado'!AT514)</f>
        <v>2135.020184</v>
      </c>
      <c r="E514" s="15" t="n">
        <f aca="false">IF(C514="","",D514/C514)</f>
        <v>0.663577837076522</v>
      </c>
      <c r="F514" s="14" t="n">
        <f aca="false">IF(C514="","",C514/B514)</f>
        <v>170.37</v>
      </c>
      <c r="G514" s="12" t="str">
        <f aca="false">IF(F514="","",IF(F514&lt;100,"Menos de 100 USD",IF(F514&lt;500,"100 a 500 USD",IF(F514&lt;2000,"500 a 2.000 USD","Más de 2.000 USD"))))</f>
        <v>100 a 500 USD</v>
      </c>
      <c r="H514" s="14" t="n">
        <f aca="false">IF(C514="","",MIN(D514,C514))</f>
        <v>2135.020184</v>
      </c>
    </row>
    <row r="515" customFormat="false" ht="15" hidden="false" customHeight="true" outlineLevel="0" collapsed="false">
      <c r="A515" s="12" t="s">
        <v>1597</v>
      </c>
      <c r="B515" s="14" t="n">
        <v>18.885</v>
      </c>
      <c r="C515" s="14" t="n">
        <f aca="false">IF('MRR Conglomerado'!AH515&gt;0,'MRR Conglomerado'!AH515,"")</f>
        <v>450.02955</v>
      </c>
      <c r="D515" s="14" t="n">
        <f aca="false">IF(C515="","",'MRR Conglomerado'!AT515)</f>
        <v>466.592656</v>
      </c>
      <c r="E515" s="15" t="n">
        <f aca="false">IF(C515="","",D515/C515)</f>
        <v>1.03680448539435</v>
      </c>
      <c r="F515" s="14" t="n">
        <f aca="false">IF(C515="","",C515/B515)</f>
        <v>23.83</v>
      </c>
      <c r="G515" s="12" t="str">
        <f aca="false">IF(F515="","",IF(F515&lt;100,"Menos de 100 USD",IF(F515&lt;500,"100 a 500 USD",IF(F515&lt;2000,"500 a 2.000 USD","Más de 2.000 USD"))))</f>
        <v>Menos de 100 USD</v>
      </c>
      <c r="H515" s="14" t="n">
        <f aca="false">IF(C515="","",MIN(D515,C515))</f>
        <v>450.02955</v>
      </c>
    </row>
    <row r="516" customFormat="false" ht="15" hidden="false" customHeight="true" outlineLevel="0" collapsed="false">
      <c r="A516" s="12" t="s">
        <v>1600</v>
      </c>
      <c r="B516" s="14" t="n">
        <v>18.885</v>
      </c>
      <c r="C516" s="14" t="str">
        <f aca="false">IF('MRR Conglomerado'!AH516&gt;0,'MRR Conglomerado'!AH516,"")</f>
        <v/>
      </c>
      <c r="D516" s="14" t="str">
        <f aca="false">IF(C516="","",'MRR Conglomerado'!AT516)</f>
        <v/>
      </c>
      <c r="E516" s="15" t="str">
        <f aca="false">IF(C516="","",D516/C516)</f>
        <v/>
      </c>
      <c r="F516" s="14" t="str">
        <f aca="false">IF(C516="","",C516/B516)</f>
        <v/>
      </c>
      <c r="G516" s="12" t="str">
        <f aca="false">IF(F516="","",IF(F516&lt;100,"Menos de 100 USD",IF(F516&lt;500,"100 a 500 USD",IF(F516&lt;2000,"500 a 2.000 USD","Más de 2.000 USD"))))</f>
        <v/>
      </c>
      <c r="H516" s="14" t="str">
        <f aca="false">IF(C516="","",MIN(D516,C516))</f>
        <v/>
      </c>
    </row>
    <row r="517" customFormat="false" ht="15" hidden="false" customHeight="true" outlineLevel="0" collapsed="false">
      <c r="A517" s="12" t="s">
        <v>1603</v>
      </c>
      <c r="B517" s="14" t="n">
        <v>18.885</v>
      </c>
      <c r="C517" s="14" t="n">
        <f aca="false">IF('MRR Conglomerado'!AH517&gt;0,'MRR Conglomerado'!AH517,"")</f>
        <v>5451.91065</v>
      </c>
      <c r="D517" s="14" t="n">
        <f aca="false">IF(C517="","",'MRR Conglomerado'!AT517)</f>
        <v>0</v>
      </c>
      <c r="E517" s="15" t="n">
        <f aca="false">IF(C517="","",D517/C517)</f>
        <v>0</v>
      </c>
      <c r="F517" s="14" t="n">
        <f aca="false">IF(C517="","",C517/B517)</f>
        <v>288.69</v>
      </c>
      <c r="G517" s="12" t="str">
        <f aca="false">IF(F517="","",IF(F517&lt;100,"Menos de 100 USD",IF(F517&lt;500,"100 a 500 USD",IF(F517&lt;2000,"500 a 2.000 USD","Más de 2.000 USD"))))</f>
        <v>100 a 500 USD</v>
      </c>
      <c r="H517" s="14" t="n">
        <f aca="false">IF(C517="","",MIN(D517,C517))</f>
        <v>0</v>
      </c>
    </row>
    <row r="518" customFormat="false" ht="15" hidden="false" customHeight="true" outlineLevel="0" collapsed="false">
      <c r="A518" s="12" t="s">
        <v>1606</v>
      </c>
      <c r="B518" s="14" t="n">
        <v>18.885</v>
      </c>
      <c r="C518" s="14" t="str">
        <f aca="false">IF('MRR Conglomerado'!AH518&gt;0,'MRR Conglomerado'!AH518,"")</f>
        <v/>
      </c>
      <c r="D518" s="14" t="str">
        <f aca="false">IF(C518="","",'MRR Conglomerado'!AT518)</f>
        <v/>
      </c>
      <c r="E518" s="15" t="str">
        <f aca="false">IF(C518="","",D518/C518)</f>
        <v/>
      </c>
      <c r="F518" s="14" t="str">
        <f aca="false">IF(C518="","",C518/B518)</f>
        <v/>
      </c>
      <c r="G518" s="12" t="str">
        <f aca="false">IF(F518="","",IF(F518&lt;100,"Menos de 100 USD",IF(F518&lt;500,"100 a 500 USD",IF(F518&lt;2000,"500 a 2.000 USD","Más de 2.000 USD"))))</f>
        <v/>
      </c>
      <c r="H518" s="14" t="str">
        <f aca="false">IF(C518="","",MIN(D518,C518))</f>
        <v/>
      </c>
    </row>
    <row r="519" customFormat="false" ht="15" hidden="false" customHeight="true" outlineLevel="0" collapsed="false">
      <c r="A519" s="12" t="s">
        <v>1609</v>
      </c>
      <c r="B519" s="14" t="n">
        <v>18.885</v>
      </c>
      <c r="C519" s="14" t="str">
        <f aca="false">IF('MRR Conglomerado'!AH519&gt;0,'MRR Conglomerado'!AH519,"")</f>
        <v/>
      </c>
      <c r="D519" s="14" t="str">
        <f aca="false">IF(C519="","",'MRR Conglomerado'!AT519)</f>
        <v/>
      </c>
      <c r="E519" s="15" t="str">
        <f aca="false">IF(C519="","",D519/C519)</f>
        <v/>
      </c>
      <c r="F519" s="14" t="str">
        <f aca="false">IF(C519="","",C519/B519)</f>
        <v/>
      </c>
      <c r="G519" s="12" t="str">
        <f aca="false">IF(F519="","",IF(F519&lt;100,"Menos de 100 USD",IF(F519&lt;500,"100 a 500 USD",IF(F519&lt;2000,"500 a 2.000 USD","Más de 2.000 USD"))))</f>
        <v/>
      </c>
      <c r="H519" s="14" t="str">
        <f aca="false">IF(C519="","",MIN(D519,C519))</f>
        <v/>
      </c>
    </row>
    <row r="520" customFormat="false" ht="15" hidden="false" customHeight="true" outlineLevel="0" collapsed="false">
      <c r="A520" s="12" t="s">
        <v>1612</v>
      </c>
      <c r="B520" s="14" t="n">
        <v>18.885</v>
      </c>
      <c r="C520" s="14" t="n">
        <f aca="false">IF('MRR Conglomerado'!AH520&gt;0,'MRR Conglomerado'!AH520,"")</f>
        <v>5599.96905</v>
      </c>
      <c r="D520" s="14" t="n">
        <f aca="false">IF(C520="","",'MRR Conglomerado'!AT520)</f>
        <v>6220.768704</v>
      </c>
      <c r="E520" s="15" t="n">
        <f aca="false">IF(C520="","",D520/C520)</f>
        <v>1.11085769375815</v>
      </c>
      <c r="F520" s="14" t="n">
        <f aca="false">IF(C520="","",C520/B520)</f>
        <v>296.53</v>
      </c>
      <c r="G520" s="12" t="str">
        <f aca="false">IF(F520="","",IF(F520&lt;100,"Menos de 100 USD",IF(F520&lt;500,"100 a 500 USD",IF(F520&lt;2000,"500 a 2.000 USD","Más de 2.000 USD"))))</f>
        <v>100 a 500 USD</v>
      </c>
      <c r="H520" s="14" t="n">
        <f aca="false">IF(C520="","",MIN(D520,C520))</f>
        <v>5599.96905</v>
      </c>
    </row>
    <row r="521" customFormat="false" ht="15" hidden="false" customHeight="true" outlineLevel="0" collapsed="false">
      <c r="A521" s="12" t="s">
        <v>1615</v>
      </c>
      <c r="B521" s="14" t="n">
        <v>18.885</v>
      </c>
      <c r="C521" s="14" t="str">
        <f aca="false">IF('MRR Conglomerado'!AH521&gt;0,'MRR Conglomerado'!AH521,"")</f>
        <v/>
      </c>
      <c r="D521" s="14" t="str">
        <f aca="false">IF(C521="","",'MRR Conglomerado'!AT521)</f>
        <v/>
      </c>
      <c r="E521" s="15" t="str">
        <f aca="false">IF(C521="","",D521/C521)</f>
        <v/>
      </c>
      <c r="F521" s="14" t="str">
        <f aca="false">IF(C521="","",C521/B521)</f>
        <v/>
      </c>
      <c r="G521" s="12" t="str">
        <f aca="false">IF(F521="","",IF(F521&lt;100,"Menos de 100 USD",IF(F521&lt;500,"100 a 500 USD",IF(F521&lt;2000,"500 a 2.000 USD","Más de 2.000 USD"))))</f>
        <v/>
      </c>
      <c r="H521" s="14" t="str">
        <f aca="false">IF(C521="","",MIN(D521,C521))</f>
        <v/>
      </c>
    </row>
    <row r="522" customFormat="false" ht="15" hidden="false" customHeight="true" outlineLevel="0" collapsed="false">
      <c r="A522" s="12" t="s">
        <v>1618</v>
      </c>
      <c r="B522" s="14" t="n">
        <v>18.885</v>
      </c>
      <c r="C522" s="14" t="str">
        <f aca="false">IF('MRR Conglomerado'!AH522&gt;0,'MRR Conglomerado'!AH522,"")</f>
        <v/>
      </c>
      <c r="D522" s="14" t="str">
        <f aca="false">IF(C522="","",'MRR Conglomerado'!AT522)</f>
        <v/>
      </c>
      <c r="E522" s="15" t="str">
        <f aca="false">IF(C522="","",D522/C522)</f>
        <v/>
      </c>
      <c r="F522" s="14" t="str">
        <f aca="false">IF(C522="","",C522/B522)</f>
        <v/>
      </c>
      <c r="G522" s="12" t="str">
        <f aca="false">IF(F522="","",IF(F522&lt;100,"Menos de 100 USD",IF(F522&lt;500,"100 a 500 USD",IF(F522&lt;2000,"500 a 2.000 USD","Más de 2.000 USD"))))</f>
        <v/>
      </c>
      <c r="H522" s="14" t="str">
        <f aca="false">IF(C522="","",MIN(D522,C522))</f>
        <v/>
      </c>
    </row>
    <row r="523" customFormat="false" ht="15" hidden="false" customHeight="true" outlineLevel="0" collapsed="false">
      <c r="A523" s="12" t="s">
        <v>1621</v>
      </c>
      <c r="B523" s="14" t="n">
        <v>18.885</v>
      </c>
      <c r="C523" s="14" t="n">
        <f aca="false">IF('MRR Conglomerado'!AH523&gt;0,'MRR Conglomerado'!AH523,"")</f>
        <v>1080.03315</v>
      </c>
      <c r="D523" s="14" t="n">
        <f aca="false">IF(C523="","",'MRR Conglomerado'!AT523)</f>
        <v>1182.058064</v>
      </c>
      <c r="E523" s="15" t="n">
        <f aca="false">IF(C523="","",D523/C523)</f>
        <v>1.09446461342413</v>
      </c>
      <c r="F523" s="14" t="n">
        <f aca="false">IF(C523="","",C523/B523)</f>
        <v>57.19</v>
      </c>
      <c r="G523" s="12" t="str">
        <f aca="false">IF(F523="","",IF(F523&lt;100,"Menos de 100 USD",IF(F523&lt;500,"100 a 500 USD",IF(F523&lt;2000,"500 a 2.000 USD","Más de 2.000 USD"))))</f>
        <v>Menos de 100 USD</v>
      </c>
      <c r="H523" s="14" t="n">
        <f aca="false">IF(C523="","",MIN(D523,C523))</f>
        <v>1080.03315</v>
      </c>
    </row>
    <row r="524" customFormat="false" ht="15" hidden="false" customHeight="true" outlineLevel="0" collapsed="false">
      <c r="A524" s="12" t="s">
        <v>1624</v>
      </c>
      <c r="B524" s="14" t="n">
        <v>18.885</v>
      </c>
      <c r="C524" s="14" t="str">
        <f aca="false">IF('MRR Conglomerado'!AH524&gt;0,'MRR Conglomerado'!AH524,"")</f>
        <v/>
      </c>
      <c r="D524" s="14" t="str">
        <f aca="false">IF(C524="","",'MRR Conglomerado'!AT524)</f>
        <v/>
      </c>
      <c r="E524" s="15" t="str">
        <f aca="false">IF(C524="","",D524/C524)</f>
        <v/>
      </c>
      <c r="F524" s="14" t="str">
        <f aca="false">IF(C524="","",C524/B524)</f>
        <v/>
      </c>
      <c r="G524" s="12" t="str">
        <f aca="false">IF(F524="","",IF(F524&lt;100,"Menos de 100 USD",IF(F524&lt;500,"100 a 500 USD",IF(F524&lt;2000,"500 a 2.000 USD","Más de 2.000 USD"))))</f>
        <v/>
      </c>
      <c r="H524" s="14" t="str">
        <f aca="false">IF(C524="","",MIN(D524,C524))</f>
        <v/>
      </c>
    </row>
    <row r="525" customFormat="false" ht="15" hidden="false" customHeight="true" outlineLevel="0" collapsed="false">
      <c r="A525" s="12" t="s">
        <v>1627</v>
      </c>
      <c r="B525" s="14" t="n">
        <v>18.885</v>
      </c>
      <c r="C525" s="14" t="str">
        <f aca="false">IF('MRR Conglomerado'!AH525&gt;0,'MRR Conglomerado'!AH525,"")</f>
        <v/>
      </c>
      <c r="D525" s="14" t="str">
        <f aca="false">IF(C525="","",'MRR Conglomerado'!AT525)</f>
        <v/>
      </c>
      <c r="E525" s="15" t="str">
        <f aca="false">IF(C525="","",D525/C525)</f>
        <v/>
      </c>
      <c r="F525" s="14" t="str">
        <f aca="false">IF(C525="","",C525/B525)</f>
        <v/>
      </c>
      <c r="G525" s="12" t="str">
        <f aca="false">IF(F525="","",IF(F525&lt;100,"Menos de 100 USD",IF(F525&lt;500,"100 a 500 USD",IF(F525&lt;2000,"500 a 2.000 USD","Más de 2.000 USD"))))</f>
        <v/>
      </c>
      <c r="H525" s="14" t="str">
        <f aca="false">IF(C525="","",MIN(D525,C525))</f>
        <v/>
      </c>
    </row>
    <row r="526" customFormat="false" ht="15" hidden="false" customHeight="true" outlineLevel="0" collapsed="false">
      <c r="A526" s="12" t="s">
        <v>1630</v>
      </c>
      <c r="B526" s="14" t="n">
        <v>18.885</v>
      </c>
      <c r="C526" s="14" t="n">
        <f aca="false">IF('MRR Conglomerado'!AH526&gt;0,'MRR Conglomerado'!AH526,"")</f>
        <v>2705.65395</v>
      </c>
      <c r="D526" s="14" t="n">
        <f aca="false">IF(C526="","",'MRR Conglomerado'!AT526)</f>
        <v>4565.817408</v>
      </c>
      <c r="E526" s="15" t="n">
        <f aca="false">IF(C526="","",D526/C526)</f>
        <v>1.68750974528727</v>
      </c>
      <c r="F526" s="14" t="n">
        <f aca="false">IF(C526="","",C526/B526)</f>
        <v>143.27</v>
      </c>
      <c r="G526" s="12" t="str">
        <f aca="false">IF(F526="","",IF(F526&lt;100,"Menos de 100 USD",IF(F526&lt;500,"100 a 500 USD",IF(F526&lt;2000,"500 a 2.000 USD","Más de 2.000 USD"))))</f>
        <v>100 a 500 USD</v>
      </c>
      <c r="H526" s="14" t="n">
        <f aca="false">IF(C526="","",MIN(D526,C526))</f>
        <v>2705.65395</v>
      </c>
    </row>
    <row r="527" customFormat="false" ht="15" hidden="false" customHeight="true" outlineLevel="0" collapsed="false">
      <c r="A527" s="12" t="s">
        <v>1633</v>
      </c>
      <c r="B527" s="14" t="n">
        <v>18.885</v>
      </c>
      <c r="C527" s="14" t="str">
        <f aca="false">IF('MRR Conglomerado'!AH527&gt;0,'MRR Conglomerado'!AH527,"")</f>
        <v/>
      </c>
      <c r="D527" s="14" t="str">
        <f aca="false">IF(C527="","",'MRR Conglomerado'!AT527)</f>
        <v/>
      </c>
      <c r="E527" s="15" t="str">
        <f aca="false">IF(C527="","",D527/C527)</f>
        <v/>
      </c>
      <c r="F527" s="14" t="str">
        <f aca="false">IF(C527="","",C527/B527)</f>
        <v/>
      </c>
      <c r="G527" s="12" t="str">
        <f aca="false">IF(F527="","",IF(F527&lt;100,"Menos de 100 USD",IF(F527&lt;500,"100 a 500 USD",IF(F527&lt;2000,"500 a 2.000 USD","Más de 2.000 USD"))))</f>
        <v/>
      </c>
      <c r="H527" s="14" t="str">
        <f aca="false">IF(C527="","",MIN(D527,C527))</f>
        <v/>
      </c>
    </row>
    <row r="528" customFormat="false" ht="15" hidden="false" customHeight="true" outlineLevel="0" collapsed="false">
      <c r="A528" s="12" t="s">
        <v>1636</v>
      </c>
      <c r="B528" s="14" t="n">
        <v>18.885</v>
      </c>
      <c r="C528" s="14" t="str">
        <f aca="false">IF('MRR Conglomerado'!AH528&gt;0,'MRR Conglomerado'!AH528,"")</f>
        <v/>
      </c>
      <c r="D528" s="14" t="str">
        <f aca="false">IF(C528="","",'MRR Conglomerado'!AT528)</f>
        <v/>
      </c>
      <c r="E528" s="15" t="str">
        <f aca="false">IF(C528="","",D528/C528)</f>
        <v/>
      </c>
      <c r="F528" s="14" t="str">
        <f aca="false">IF(C528="","",C528/B528)</f>
        <v/>
      </c>
      <c r="G528" s="12" t="str">
        <f aca="false">IF(F528="","",IF(F528&lt;100,"Menos de 100 USD",IF(F528&lt;500,"100 a 500 USD",IF(F528&lt;2000,"500 a 2.000 USD","Más de 2.000 USD"))))</f>
        <v/>
      </c>
      <c r="H528" s="14" t="str">
        <f aca="false">IF(C528="","",MIN(D528,C528))</f>
        <v/>
      </c>
    </row>
    <row r="529" customFormat="false" ht="15" hidden="false" customHeight="true" outlineLevel="0" collapsed="false">
      <c r="A529" s="12" t="s">
        <v>1639</v>
      </c>
      <c r="B529" s="14" t="n">
        <v>18.885</v>
      </c>
      <c r="C529" s="14" t="str">
        <f aca="false">IF('MRR Conglomerado'!AH529&gt;0,'MRR Conglomerado'!AH529,"")</f>
        <v/>
      </c>
      <c r="D529" s="14" t="str">
        <f aca="false">IF(C529="","",'MRR Conglomerado'!AT529)</f>
        <v/>
      </c>
      <c r="E529" s="15" t="str">
        <f aca="false">IF(C529="","",D529/C529)</f>
        <v/>
      </c>
      <c r="F529" s="14" t="str">
        <f aca="false">IF(C529="","",C529/B529)</f>
        <v/>
      </c>
      <c r="G529" s="12" t="str">
        <f aca="false">IF(F529="","",IF(F529&lt;100,"Menos de 100 USD",IF(F529&lt;500,"100 a 500 USD",IF(F529&lt;2000,"500 a 2.000 USD","Más de 2.000 USD"))))</f>
        <v/>
      </c>
      <c r="H529" s="14" t="str">
        <f aca="false">IF(C529="","",MIN(D529,C529))</f>
        <v/>
      </c>
    </row>
    <row r="530" customFormat="false" ht="15" hidden="false" customHeight="true" outlineLevel="0" collapsed="false">
      <c r="A530" s="12" t="s">
        <v>1642</v>
      </c>
      <c r="B530" s="14" t="n">
        <v>18.885</v>
      </c>
      <c r="C530" s="14" t="str">
        <f aca="false">IF('MRR Conglomerado'!AH530&gt;0,'MRR Conglomerado'!AH530,"")</f>
        <v/>
      </c>
      <c r="D530" s="14" t="str">
        <f aca="false">IF(C530="","",'MRR Conglomerado'!AT530)</f>
        <v/>
      </c>
      <c r="E530" s="15" t="str">
        <f aca="false">IF(C530="","",D530/C530)</f>
        <v/>
      </c>
      <c r="F530" s="14" t="str">
        <f aca="false">IF(C530="","",C530/B530)</f>
        <v/>
      </c>
      <c r="G530" s="12" t="str">
        <f aca="false">IF(F530="","",IF(F530&lt;100,"Menos de 100 USD",IF(F530&lt;500,"100 a 500 USD",IF(F530&lt;2000,"500 a 2.000 USD","Más de 2.000 USD"))))</f>
        <v/>
      </c>
      <c r="H530" s="14" t="str">
        <f aca="false">IF(C530="","",MIN(D530,C530))</f>
        <v/>
      </c>
    </row>
    <row r="531" customFormat="false" ht="15" hidden="false" customHeight="true" outlineLevel="0" collapsed="false">
      <c r="A531" s="12" t="s">
        <v>1645</v>
      </c>
      <c r="B531" s="14" t="n">
        <v>18.885</v>
      </c>
      <c r="C531" s="14" t="str">
        <f aca="false">IF('MRR Conglomerado'!AH531&gt;0,'MRR Conglomerado'!AH531,"")</f>
        <v/>
      </c>
      <c r="D531" s="14" t="str">
        <f aca="false">IF(C531="","",'MRR Conglomerado'!AT531)</f>
        <v/>
      </c>
      <c r="E531" s="15" t="str">
        <f aca="false">IF(C531="","",D531/C531)</f>
        <v/>
      </c>
      <c r="F531" s="14" t="str">
        <f aca="false">IF(C531="","",C531/B531)</f>
        <v/>
      </c>
      <c r="G531" s="12" t="str">
        <f aca="false">IF(F531="","",IF(F531&lt;100,"Menos de 100 USD",IF(F531&lt;500,"100 a 500 USD",IF(F531&lt;2000,"500 a 2.000 USD","Más de 2.000 USD"))))</f>
        <v/>
      </c>
      <c r="H531" s="14" t="str">
        <f aca="false">IF(C531="","",MIN(D531,C531))</f>
        <v/>
      </c>
    </row>
    <row r="532" customFormat="false" ht="15" hidden="false" customHeight="true" outlineLevel="0" collapsed="false">
      <c r="A532" s="12" t="s">
        <v>1648</v>
      </c>
      <c r="B532" s="14" t="n">
        <v>18.885</v>
      </c>
      <c r="C532" s="14" t="n">
        <f aca="false">IF('MRR Conglomerado'!AH532&gt;0,'MRR Conglomerado'!AH532,"")</f>
        <v>39379.94625</v>
      </c>
      <c r="D532" s="14" t="n">
        <f aca="false">IF(C532="","",'MRR Conglomerado'!AT532)</f>
        <v>38037.10236</v>
      </c>
      <c r="E532" s="15" t="n">
        <f aca="false">IF(C532="","",D532/C532)</f>
        <v>0.965900311760837</v>
      </c>
      <c r="F532" s="14" t="n">
        <f aca="false">IF(C532="","",C532/B532)</f>
        <v>2085.25</v>
      </c>
      <c r="G532" s="12" t="str">
        <f aca="false">IF(F532="","",IF(F532&lt;100,"Menos de 100 USD",IF(F532&lt;500,"100 a 500 USD",IF(F532&lt;2000,"500 a 2.000 USD","Más de 2.000 USD"))))</f>
        <v>Más de 2.000 USD</v>
      </c>
      <c r="H532" s="14" t="n">
        <f aca="false">IF(C532="","",MIN(D532,C532))</f>
        <v>38037.10236</v>
      </c>
    </row>
    <row r="533" customFormat="false" ht="15" hidden="false" customHeight="true" outlineLevel="0" collapsed="false">
      <c r="A533" s="12" t="s">
        <v>1651</v>
      </c>
      <c r="B533" s="14" t="n">
        <v>18.885</v>
      </c>
      <c r="C533" s="14" t="n">
        <f aca="false">IF('MRR Conglomerado'!AH533&gt;0,'MRR Conglomerado'!AH533,"")</f>
        <v>11439.96645</v>
      </c>
      <c r="D533" s="14" t="n">
        <f aca="false">IF(C533="","",'MRR Conglomerado'!AT533)</f>
        <v>12239.918976</v>
      </c>
      <c r="E533" s="15" t="n">
        <f aca="false">IF(C533="","",D533/C533)</f>
        <v>1.0699261251767</v>
      </c>
      <c r="F533" s="14" t="n">
        <f aca="false">IF(C533="","",C533/B533)</f>
        <v>605.77</v>
      </c>
      <c r="G533" s="12" t="str">
        <f aca="false">IF(F533="","",IF(F533&lt;100,"Menos de 100 USD",IF(F533&lt;500,"100 a 500 USD",IF(F533&lt;2000,"500 a 2.000 USD","Más de 2.000 USD"))))</f>
        <v>500 a 2.000 USD</v>
      </c>
      <c r="H533" s="14" t="n">
        <f aca="false">IF(C533="","",MIN(D533,C533))</f>
        <v>11439.96645</v>
      </c>
    </row>
    <row r="534" customFormat="false" ht="15" hidden="false" customHeight="true" outlineLevel="0" collapsed="false">
      <c r="A534" s="12" t="s">
        <v>1654</v>
      </c>
      <c r="B534" s="14" t="n">
        <v>18.885</v>
      </c>
      <c r="C534" s="14" t="n">
        <f aca="false">IF('MRR Conglomerado'!AH534&gt;0,'MRR Conglomerado'!AH534,"")</f>
        <v>3422.90625</v>
      </c>
      <c r="D534" s="14" t="n">
        <f aca="false">IF(C534="","",'MRR Conglomerado'!AT534)</f>
        <v>3646.45836</v>
      </c>
      <c r="E534" s="15" t="n">
        <f aca="false">IF(C534="","",D534/C534)</f>
        <v>1.06531061433541</v>
      </c>
      <c r="F534" s="14" t="n">
        <f aca="false">IF(C534="","",C534/B534)</f>
        <v>181.25</v>
      </c>
      <c r="G534" s="12" t="str">
        <f aca="false">IF(F534="","",IF(F534&lt;100,"Menos de 100 USD",IF(F534&lt;500,"100 a 500 USD",IF(F534&lt;2000,"500 a 2.000 USD","Más de 2.000 USD"))))</f>
        <v>100 a 500 USD</v>
      </c>
      <c r="H534" s="14" t="n">
        <f aca="false">IF(C534="","",MIN(D534,C534))</f>
        <v>3422.90625</v>
      </c>
    </row>
    <row r="535" customFormat="false" ht="15" hidden="false" customHeight="true" outlineLevel="0" collapsed="false">
      <c r="A535" s="12" t="s">
        <v>1657</v>
      </c>
      <c r="B535" s="14" t="n">
        <v>18.885</v>
      </c>
      <c r="C535" s="14" t="n">
        <f aca="false">IF('MRR Conglomerado'!AH535&gt;0,'MRR Conglomerado'!AH535,"")</f>
        <v>3719.9673</v>
      </c>
      <c r="D535" s="14" t="n">
        <f aca="false">IF(C535="","",'MRR Conglomerado'!AT535)</f>
        <v>3421.5628</v>
      </c>
      <c r="E535" s="15" t="n">
        <f aca="false">IF(C535="","",D535/C535)</f>
        <v>0.91978303142611</v>
      </c>
      <c r="F535" s="14" t="n">
        <f aca="false">IF(C535="","",C535/B535)</f>
        <v>196.98</v>
      </c>
      <c r="G535" s="12" t="str">
        <f aca="false">IF(F535="","",IF(F535&lt;100,"Menos de 100 USD",IF(F535&lt;500,"100 a 500 USD",IF(F535&lt;2000,"500 a 2.000 USD","Más de 2.000 USD"))))</f>
        <v>100 a 500 USD</v>
      </c>
      <c r="H535" s="14" t="n">
        <f aca="false">IF(C535="","",MIN(D535,C535))</f>
        <v>3421.5628</v>
      </c>
    </row>
    <row r="536" customFormat="false" ht="15" hidden="false" customHeight="true" outlineLevel="0" collapsed="false">
      <c r="A536" s="12" t="s">
        <v>1660</v>
      </c>
      <c r="B536" s="14" t="n">
        <v>18.885</v>
      </c>
      <c r="C536" s="14" t="str">
        <f aca="false">IF('MRR Conglomerado'!AH536&gt;0,'MRR Conglomerado'!AH536,"")</f>
        <v/>
      </c>
      <c r="D536" s="14" t="str">
        <f aca="false">IF(C536="","",'MRR Conglomerado'!AT536)</f>
        <v/>
      </c>
      <c r="E536" s="15" t="str">
        <f aca="false">IF(C536="","",D536/C536)</f>
        <v/>
      </c>
      <c r="F536" s="14" t="str">
        <f aca="false">IF(C536="","",C536/B536)</f>
        <v/>
      </c>
      <c r="G536" s="12" t="str">
        <f aca="false">IF(F536="","",IF(F536&lt;100,"Menos de 100 USD",IF(F536&lt;500,"100 a 500 USD",IF(F536&lt;2000,"500 a 2.000 USD","Más de 2.000 USD"))))</f>
        <v/>
      </c>
      <c r="H536" s="14" t="str">
        <f aca="false">IF(C536="","",MIN(D536,C536))</f>
        <v/>
      </c>
    </row>
    <row r="537" customFormat="false" ht="15" hidden="false" customHeight="true" outlineLevel="0" collapsed="false">
      <c r="A537" s="12" t="s">
        <v>1663</v>
      </c>
      <c r="B537" s="14" t="n">
        <v>18.885</v>
      </c>
      <c r="C537" s="14" t="str">
        <f aca="false">IF('MRR Conglomerado'!AH537&gt;0,'MRR Conglomerado'!AH537,"")</f>
        <v/>
      </c>
      <c r="D537" s="14" t="str">
        <f aca="false">IF(C537="","",'MRR Conglomerado'!AT537)</f>
        <v/>
      </c>
      <c r="E537" s="15" t="str">
        <f aca="false">IF(C537="","",D537/C537)</f>
        <v/>
      </c>
      <c r="F537" s="14" t="str">
        <f aca="false">IF(C537="","",C537/B537)</f>
        <v/>
      </c>
      <c r="G537" s="12" t="str">
        <f aca="false">IF(F537="","",IF(F537&lt;100,"Menos de 100 USD",IF(F537&lt;500,"100 a 500 USD",IF(F537&lt;2000,"500 a 2.000 USD","Más de 2.000 USD"))))</f>
        <v/>
      </c>
      <c r="H537" s="14" t="str">
        <f aca="false">IF(C537="","",MIN(D537,C537))</f>
        <v/>
      </c>
    </row>
    <row r="538" customFormat="false" ht="15" hidden="false" customHeight="true" outlineLevel="0" collapsed="false">
      <c r="A538" s="12" t="s">
        <v>1666</v>
      </c>
      <c r="B538" s="14" t="n">
        <v>18.885</v>
      </c>
      <c r="C538" s="14" t="n">
        <f aca="false">IF('MRR Conglomerado'!AH538&gt;0,'MRR Conglomerado'!AH538,"")</f>
        <v>481.5675</v>
      </c>
      <c r="D538" s="14" t="n">
        <f aca="false">IF(C538="","",'MRR Conglomerado'!AT538)</f>
        <v>363.1582</v>
      </c>
      <c r="E538" s="15" t="n">
        <f aca="false">IF(C538="","",D538/C538)</f>
        <v>0.754116920265591</v>
      </c>
      <c r="F538" s="14" t="n">
        <f aca="false">IF(C538="","",C538/B538)</f>
        <v>25.5</v>
      </c>
      <c r="G538" s="12" t="str">
        <f aca="false">IF(F538="","",IF(F538&lt;100,"Menos de 100 USD",IF(F538&lt;500,"100 a 500 USD",IF(F538&lt;2000,"500 a 2.000 USD","Más de 2.000 USD"))))</f>
        <v>Menos de 100 USD</v>
      </c>
      <c r="H538" s="14" t="n">
        <f aca="false">IF(C538="","",MIN(D538,C538))</f>
        <v>363.1582</v>
      </c>
    </row>
    <row r="539" customFormat="false" ht="15" hidden="false" customHeight="true" outlineLevel="0" collapsed="false">
      <c r="A539" s="12" t="s">
        <v>1669</v>
      </c>
      <c r="B539" s="14" t="n">
        <v>18.885</v>
      </c>
      <c r="C539" s="14" t="n">
        <f aca="false">IF('MRR Conglomerado'!AH539&gt;0,'MRR Conglomerado'!AH539,"")</f>
        <v>2429.93295</v>
      </c>
      <c r="D539" s="14" t="n">
        <f aca="false">IF(C539="","",'MRR Conglomerado'!AT539)</f>
        <v>1913.099896</v>
      </c>
      <c r="E539" s="15" t="n">
        <f aca="false">IF(C539="","",D539/C539)</f>
        <v>0.787305631622469</v>
      </c>
      <c r="F539" s="14" t="n">
        <f aca="false">IF(C539="","",C539/B539)</f>
        <v>128.67</v>
      </c>
      <c r="G539" s="12" t="str">
        <f aca="false">IF(F539="","",IF(F539&lt;100,"Menos de 100 USD",IF(F539&lt;500,"100 a 500 USD",IF(F539&lt;2000,"500 a 2.000 USD","Más de 2.000 USD"))))</f>
        <v>100 a 500 USD</v>
      </c>
      <c r="H539" s="14" t="n">
        <f aca="false">IF(C539="","",MIN(D539,C539))</f>
        <v>1913.099896</v>
      </c>
    </row>
    <row r="540" customFormat="false" ht="15" hidden="false" customHeight="true" outlineLevel="0" collapsed="false">
      <c r="A540" s="12" t="s">
        <v>1672</v>
      </c>
      <c r="B540" s="14" t="n">
        <v>18.885</v>
      </c>
      <c r="C540" s="14" t="n">
        <f aca="false">IF('MRR Conglomerado'!AH540&gt;0,'MRR Conglomerado'!AH540,"")</f>
        <v>900.0591</v>
      </c>
      <c r="D540" s="14" t="n">
        <f aca="false">IF(C540="","",'MRR Conglomerado'!AT540)</f>
        <v>1192.384008</v>
      </c>
      <c r="E540" s="15" t="n">
        <f aca="false">IF(C540="","",D540/C540)</f>
        <v>1.3247841258424</v>
      </c>
      <c r="F540" s="14" t="n">
        <f aca="false">IF(C540="","",C540/B540)</f>
        <v>47.66</v>
      </c>
      <c r="G540" s="12" t="str">
        <f aca="false">IF(F540="","",IF(F540&lt;100,"Menos de 100 USD",IF(F540&lt;500,"100 a 500 USD",IF(F540&lt;2000,"500 a 2.000 USD","Más de 2.000 USD"))))</f>
        <v>Menos de 100 USD</v>
      </c>
      <c r="H540" s="14" t="n">
        <f aca="false">IF(C540="","",MIN(D540,C540))</f>
        <v>900.0591</v>
      </c>
    </row>
    <row r="541" customFormat="false" ht="15" hidden="false" customHeight="true" outlineLevel="0" collapsed="false">
      <c r="A541" s="12" t="s">
        <v>1675</v>
      </c>
      <c r="B541" s="14" t="n">
        <v>18.885</v>
      </c>
      <c r="C541" s="14" t="n">
        <f aca="false">IF('MRR Conglomerado'!AH541&gt;0,'MRR Conglomerado'!AH541,"")</f>
        <v>878.1525</v>
      </c>
      <c r="D541" s="14" t="n">
        <f aca="false">IF(C541="","",'MRR Conglomerado'!AT541)</f>
        <v>0</v>
      </c>
      <c r="E541" s="15" t="n">
        <f aca="false">IF(C541="","",D541/C541)</f>
        <v>0</v>
      </c>
      <c r="F541" s="14" t="n">
        <f aca="false">IF(C541="","",C541/B541)</f>
        <v>46.5</v>
      </c>
      <c r="G541" s="12" t="str">
        <f aca="false">IF(F541="","",IF(F541&lt;100,"Menos de 100 USD",IF(F541&lt;500,"100 a 500 USD",IF(F541&lt;2000,"500 a 2.000 USD","Más de 2.000 USD"))))</f>
        <v>Menos de 100 USD</v>
      </c>
      <c r="H541" s="14" t="n">
        <f aca="false">IF(C541="","",MIN(D541,C541))</f>
        <v>0</v>
      </c>
    </row>
    <row r="542" customFormat="false" ht="15" hidden="false" customHeight="true" outlineLevel="0" collapsed="false">
      <c r="A542" s="12" t="s">
        <v>1678</v>
      </c>
      <c r="B542" s="14" t="n">
        <v>18.885</v>
      </c>
      <c r="C542" s="14" t="str">
        <f aca="false">IF('MRR Conglomerado'!AH542&gt;0,'MRR Conglomerado'!AH542,"")</f>
        <v/>
      </c>
      <c r="D542" s="14" t="str">
        <f aca="false">IF(C542="","",'MRR Conglomerado'!AT542)</f>
        <v/>
      </c>
      <c r="E542" s="15" t="str">
        <f aca="false">IF(C542="","",D542/C542)</f>
        <v/>
      </c>
      <c r="F542" s="14" t="str">
        <f aca="false">IF(C542="","",C542/B542)</f>
        <v/>
      </c>
      <c r="G542" s="12" t="str">
        <f aca="false">IF(F542="","",IF(F542&lt;100,"Menos de 100 USD",IF(F542&lt;500,"100 a 500 USD",IF(F542&lt;2000,"500 a 2.000 USD","Más de 2.000 USD"))))</f>
        <v/>
      </c>
      <c r="H542" s="14" t="str">
        <f aca="false">IF(C542="","",MIN(D542,C542))</f>
        <v/>
      </c>
    </row>
    <row r="543" customFormat="false" ht="15" hidden="false" customHeight="true" outlineLevel="0" collapsed="false">
      <c r="A543" s="12" t="s">
        <v>1681</v>
      </c>
      <c r="B543" s="14" t="n">
        <v>18.885</v>
      </c>
      <c r="C543" s="14" t="str">
        <f aca="false">IF('MRR Conglomerado'!AH543&gt;0,'MRR Conglomerado'!AH543,"")</f>
        <v/>
      </c>
      <c r="D543" s="14" t="str">
        <f aca="false">IF(C543="","",'MRR Conglomerado'!AT543)</f>
        <v/>
      </c>
      <c r="E543" s="15" t="str">
        <f aca="false">IF(C543="","",D543/C543)</f>
        <v/>
      </c>
      <c r="F543" s="14" t="str">
        <f aca="false">IF(C543="","",C543/B543)</f>
        <v/>
      </c>
      <c r="G543" s="12" t="str">
        <f aca="false">IF(F543="","",IF(F543&lt;100,"Menos de 100 USD",IF(F543&lt;500,"100 a 500 USD",IF(F543&lt;2000,"500 a 2.000 USD","Más de 2.000 USD"))))</f>
        <v/>
      </c>
      <c r="H543" s="14" t="str">
        <f aca="false">IF(C543="","",MIN(D543,C543))</f>
        <v/>
      </c>
    </row>
    <row r="544" customFormat="false" ht="15" hidden="false" customHeight="true" outlineLevel="0" collapsed="false">
      <c r="A544" s="12" t="s">
        <v>1684</v>
      </c>
      <c r="B544" s="14" t="n">
        <v>18.885</v>
      </c>
      <c r="C544" s="14" t="n">
        <f aca="false">IF('MRR Conglomerado'!AH544&gt;0,'MRR Conglomerado'!AH544,"")</f>
        <v>840.0048</v>
      </c>
      <c r="D544" s="14" t="n">
        <f aca="false">IF(C544="","",'MRR Conglomerado'!AT544)</f>
        <v>933.185312</v>
      </c>
      <c r="E544" s="15" t="n">
        <f aca="false">IF(C544="","",D544/C544)</f>
        <v>1.11092854707497</v>
      </c>
      <c r="F544" s="14" t="n">
        <f aca="false">IF(C544="","",C544/B544)</f>
        <v>44.48</v>
      </c>
      <c r="G544" s="12" t="str">
        <f aca="false">IF(F544="","",IF(F544&lt;100,"Menos de 100 USD",IF(F544&lt;500,"100 a 500 USD",IF(F544&lt;2000,"500 a 2.000 USD","Más de 2.000 USD"))))</f>
        <v>Menos de 100 USD</v>
      </c>
      <c r="H544" s="14" t="n">
        <f aca="false">IF(C544="","",MIN(D544,C544))</f>
        <v>840.0048</v>
      </c>
    </row>
    <row r="545" customFormat="false" ht="15" hidden="false" customHeight="true" outlineLevel="0" collapsed="false">
      <c r="A545" s="12" t="s">
        <v>1687</v>
      </c>
      <c r="B545" s="14" t="n">
        <v>18.885</v>
      </c>
      <c r="C545" s="14" t="n">
        <f aca="false">IF('MRR Conglomerado'!AH545&gt;0,'MRR Conglomerado'!AH545,"")</f>
        <v>3516.7647</v>
      </c>
      <c r="D545" s="14" t="n">
        <f aca="false">IF(C545="","",'MRR Conglomerado'!AT545)</f>
        <v>0</v>
      </c>
      <c r="E545" s="15" t="n">
        <f aca="false">IF(C545="","",D545/C545)</f>
        <v>0</v>
      </c>
      <c r="F545" s="14" t="n">
        <f aca="false">IF(C545="","",C545/B545)</f>
        <v>186.22</v>
      </c>
      <c r="G545" s="12" t="str">
        <f aca="false">IF(F545="","",IF(F545&lt;100,"Menos de 100 USD",IF(F545&lt;500,"100 a 500 USD",IF(F545&lt;2000,"500 a 2.000 USD","Más de 2.000 USD"))))</f>
        <v>100 a 500 USD</v>
      </c>
      <c r="H545" s="14" t="n">
        <f aca="false">IF(C545="","",MIN(D545,C545))</f>
        <v>0</v>
      </c>
    </row>
    <row r="546" customFormat="false" ht="15" hidden="false" customHeight="true" outlineLevel="0" collapsed="false">
      <c r="A546" s="12" t="s">
        <v>1690</v>
      </c>
      <c r="B546" s="14" t="n">
        <v>18.885</v>
      </c>
      <c r="C546" s="14" t="n">
        <f aca="false">IF('MRR Conglomerado'!AH546&gt;0,'MRR Conglomerado'!AH546,"")</f>
        <v>4001.3538</v>
      </c>
      <c r="D546" s="14" t="n">
        <f aca="false">IF(C546="","",'MRR Conglomerado'!AT546)</f>
        <v>3977.2386</v>
      </c>
      <c r="E546" s="15" t="n">
        <f aca="false">IF(C546="","",D546/C546)</f>
        <v>0.993973239757004</v>
      </c>
      <c r="F546" s="14" t="n">
        <f aca="false">IF(C546="","",C546/B546)</f>
        <v>211.88</v>
      </c>
      <c r="G546" s="12" t="str">
        <f aca="false">IF(F546="","",IF(F546&lt;100,"Menos de 100 USD",IF(F546&lt;500,"100 a 500 USD",IF(F546&lt;2000,"500 a 2.000 USD","Más de 2.000 USD"))))</f>
        <v>100 a 500 USD</v>
      </c>
      <c r="H546" s="14" t="n">
        <f aca="false">IF(C546="","",MIN(D546,C546))</f>
        <v>3977.2386</v>
      </c>
    </row>
    <row r="547" customFormat="false" ht="15" hidden="false" customHeight="true" outlineLevel="0" collapsed="false">
      <c r="A547" s="12" t="s">
        <v>1693</v>
      </c>
      <c r="B547" s="14" t="n">
        <v>18.885</v>
      </c>
      <c r="C547" s="14" t="str">
        <f aca="false">IF('MRR Conglomerado'!AH547&gt;0,'MRR Conglomerado'!AH547,"")</f>
        <v/>
      </c>
      <c r="D547" s="14" t="str">
        <f aca="false">IF(C547="","",'MRR Conglomerado'!AT547)</f>
        <v/>
      </c>
      <c r="E547" s="15" t="str">
        <f aca="false">IF(C547="","",D547/C547)</f>
        <v/>
      </c>
      <c r="F547" s="14" t="str">
        <f aca="false">IF(C547="","",C547/B547)</f>
        <v/>
      </c>
      <c r="G547" s="12" t="str">
        <f aca="false">IF(F547="","",IF(F547&lt;100,"Menos de 100 USD",IF(F547&lt;500,"100 a 500 USD",IF(F547&lt;2000,"500 a 2.000 USD","Más de 2.000 USD"))))</f>
        <v/>
      </c>
      <c r="H547" s="14" t="str">
        <f aca="false">IF(C547="","",MIN(D547,C547))</f>
        <v/>
      </c>
    </row>
    <row r="548" customFormat="false" ht="15" hidden="false" customHeight="true" outlineLevel="0" collapsed="false">
      <c r="A548" s="12" t="s">
        <v>1696</v>
      </c>
      <c r="B548" s="14" t="n">
        <v>18.885</v>
      </c>
      <c r="C548" s="14" t="str">
        <f aca="false">IF('MRR Conglomerado'!AH548&gt;0,'MRR Conglomerado'!AH548,"")</f>
        <v/>
      </c>
      <c r="D548" s="14" t="str">
        <f aca="false">IF(C548="","",'MRR Conglomerado'!AT548)</f>
        <v/>
      </c>
      <c r="E548" s="15" t="str">
        <f aca="false">IF(C548="","",D548/C548)</f>
        <v/>
      </c>
      <c r="F548" s="14" t="str">
        <f aca="false">IF(C548="","",C548/B548)</f>
        <v/>
      </c>
      <c r="G548" s="12" t="str">
        <f aca="false">IF(F548="","",IF(F548&lt;100,"Menos de 100 USD",IF(F548&lt;500,"100 a 500 USD",IF(F548&lt;2000,"500 a 2.000 USD","Más de 2.000 USD"))))</f>
        <v/>
      </c>
      <c r="H548" s="14" t="str">
        <f aca="false">IF(C548="","",MIN(D548,C548))</f>
        <v/>
      </c>
    </row>
    <row r="549" customFormat="false" ht="15" hidden="false" customHeight="true" outlineLevel="0" collapsed="false">
      <c r="A549" s="12" t="s">
        <v>1699</v>
      </c>
      <c r="B549" s="14" t="n">
        <v>18.885</v>
      </c>
      <c r="C549" s="14" t="n">
        <f aca="false">IF('MRR Conglomerado'!AH549&gt;0,'MRR Conglomerado'!AH549,"")</f>
        <v>2422.00125</v>
      </c>
      <c r="D549" s="14" t="n">
        <f aca="false">IF(C549="","",'MRR Conglomerado'!AT549)</f>
        <v>2310.036184</v>
      </c>
      <c r="E549" s="15" t="n">
        <f aca="false">IF(C549="","",D549/C549)</f>
        <v>0.953771672908922</v>
      </c>
      <c r="F549" s="14" t="n">
        <f aca="false">IF(C549="","",C549/B549)</f>
        <v>128.25</v>
      </c>
      <c r="G549" s="12" t="str">
        <f aca="false">IF(F549="","",IF(F549&lt;100,"Menos de 100 USD",IF(F549&lt;500,"100 a 500 USD",IF(F549&lt;2000,"500 a 2.000 USD","Más de 2.000 USD"))))</f>
        <v>100 a 500 USD</v>
      </c>
      <c r="H549" s="14" t="n">
        <f aca="false">IF(C549="","",MIN(D549,C549))</f>
        <v>2310.036184</v>
      </c>
    </row>
    <row r="550" customFormat="false" ht="15" hidden="false" customHeight="true" outlineLevel="0" collapsed="false">
      <c r="A550" s="12" t="s">
        <v>1702</v>
      </c>
      <c r="B550" s="14" t="n">
        <v>18.885</v>
      </c>
      <c r="C550" s="14" t="n">
        <f aca="false">IF('MRR Conglomerado'!AH550&gt;0,'MRR Conglomerado'!AH550,"")</f>
        <v>5157.8712</v>
      </c>
      <c r="D550" s="14" t="n">
        <f aca="false">IF(C550="","",'MRR Conglomerado'!AT550)</f>
        <v>7757.5842</v>
      </c>
      <c r="E550" s="15" t="n">
        <f aca="false">IF(C550="","",D550/C550)</f>
        <v>1.50402828981073</v>
      </c>
      <c r="F550" s="14" t="n">
        <f aca="false">IF(C550="","",C550/B550)</f>
        <v>273.12</v>
      </c>
      <c r="G550" s="12" t="str">
        <f aca="false">IF(F550="","",IF(F550&lt;100,"Menos de 100 USD",IF(F550&lt;500,"100 a 500 USD",IF(F550&lt;2000,"500 a 2.000 USD","Más de 2.000 USD"))))</f>
        <v>100 a 500 USD</v>
      </c>
      <c r="H550" s="14" t="n">
        <f aca="false">IF(C550="","",MIN(D550,C550))</f>
        <v>5157.8712</v>
      </c>
    </row>
    <row r="551" customFormat="false" ht="15" hidden="false" customHeight="true" outlineLevel="0" collapsed="false">
      <c r="A551" s="12" t="s">
        <v>1705</v>
      </c>
      <c r="B551" s="14" t="n">
        <v>18.885</v>
      </c>
      <c r="C551" s="14" t="str">
        <f aca="false">IF('MRR Conglomerado'!AH551&gt;0,'MRR Conglomerado'!AH551,"")</f>
        <v/>
      </c>
      <c r="D551" s="14" t="str">
        <f aca="false">IF(C551="","",'MRR Conglomerado'!AT551)</f>
        <v/>
      </c>
      <c r="E551" s="15" t="str">
        <f aca="false">IF(C551="","",D551/C551)</f>
        <v/>
      </c>
      <c r="F551" s="14" t="str">
        <f aca="false">IF(C551="","",C551/B551)</f>
        <v/>
      </c>
      <c r="G551" s="12" t="str">
        <f aca="false">IF(F551="","",IF(F551&lt;100,"Menos de 100 USD",IF(F551&lt;500,"100 a 500 USD",IF(F551&lt;2000,"500 a 2.000 USD","Más de 2.000 USD"))))</f>
        <v/>
      </c>
      <c r="H551" s="14" t="str">
        <f aca="false">IF(C551="","",MIN(D551,C551))</f>
        <v/>
      </c>
    </row>
    <row r="552" customFormat="false" ht="15" hidden="false" customHeight="true" outlineLevel="0" collapsed="false">
      <c r="A552" s="12" t="s">
        <v>1708</v>
      </c>
      <c r="B552" s="14" t="n">
        <v>18.885</v>
      </c>
      <c r="C552" s="14" t="str">
        <f aca="false">IF('MRR Conglomerado'!AH552&gt;0,'MRR Conglomerado'!AH552,"")</f>
        <v/>
      </c>
      <c r="D552" s="14" t="str">
        <f aca="false">IF(C552="","",'MRR Conglomerado'!AT552)</f>
        <v/>
      </c>
      <c r="E552" s="15" t="str">
        <f aca="false">IF(C552="","",D552/C552)</f>
        <v/>
      </c>
      <c r="F552" s="14" t="str">
        <f aca="false">IF(C552="","",C552/B552)</f>
        <v/>
      </c>
      <c r="G552" s="12" t="str">
        <f aca="false">IF(F552="","",IF(F552&lt;100,"Menos de 100 USD",IF(F552&lt;500,"100 a 500 USD",IF(F552&lt;2000,"500 a 2.000 USD","Más de 2.000 USD"))))</f>
        <v/>
      </c>
      <c r="H552" s="14" t="str">
        <f aca="false">IF(C552="","",MIN(D552,C552))</f>
        <v/>
      </c>
    </row>
    <row r="553" customFormat="false" ht="15" hidden="false" customHeight="true" outlineLevel="0" collapsed="false">
      <c r="A553" s="12" t="s">
        <v>1711</v>
      </c>
      <c r="B553" s="14" t="n">
        <v>18.885</v>
      </c>
      <c r="C553" s="14" t="str">
        <f aca="false">IF('MRR Conglomerado'!AH553&gt;0,'MRR Conglomerado'!AH553,"")</f>
        <v/>
      </c>
      <c r="D553" s="14" t="str">
        <f aca="false">IF(C553="","",'MRR Conglomerado'!AT553)</f>
        <v/>
      </c>
      <c r="E553" s="15" t="str">
        <f aca="false">IF(C553="","",D553/C553)</f>
        <v/>
      </c>
      <c r="F553" s="14" t="str">
        <f aca="false">IF(C553="","",C553/B553)</f>
        <v/>
      </c>
      <c r="G553" s="12" t="str">
        <f aca="false">IF(F553="","",IF(F553&lt;100,"Menos de 100 USD",IF(F553&lt;500,"100 a 500 USD",IF(F553&lt;2000,"500 a 2.000 USD","Más de 2.000 USD"))))</f>
        <v/>
      </c>
      <c r="H553" s="14" t="str">
        <f aca="false">IF(C553="","",MIN(D553,C553))</f>
        <v/>
      </c>
    </row>
    <row r="554" customFormat="false" ht="15" hidden="false" customHeight="true" outlineLevel="0" collapsed="false">
      <c r="A554" s="12" t="s">
        <v>1714</v>
      </c>
      <c r="B554" s="14" t="n">
        <v>18.885</v>
      </c>
      <c r="C554" s="14" t="str">
        <f aca="false">IF('MRR Conglomerado'!AH554&gt;0,'MRR Conglomerado'!AH554,"")</f>
        <v/>
      </c>
      <c r="D554" s="14" t="str">
        <f aca="false">IF(C554="","",'MRR Conglomerado'!AT554)</f>
        <v/>
      </c>
      <c r="E554" s="15" t="str">
        <f aca="false">IF(C554="","",D554/C554)</f>
        <v/>
      </c>
      <c r="F554" s="14" t="str">
        <f aca="false">IF(C554="","",C554/B554)</f>
        <v/>
      </c>
      <c r="G554" s="12" t="str">
        <f aca="false">IF(F554="","",IF(F554&lt;100,"Menos de 100 USD",IF(F554&lt;500,"100 a 500 USD",IF(F554&lt;2000,"500 a 2.000 USD","Más de 2.000 USD"))))</f>
        <v/>
      </c>
      <c r="H554" s="14" t="str">
        <f aca="false">IF(C554="","",MIN(D554,C554))</f>
        <v/>
      </c>
    </row>
    <row r="555" customFormat="false" ht="15" hidden="false" customHeight="true" outlineLevel="0" collapsed="false">
      <c r="A555" s="12" t="s">
        <v>1717</v>
      </c>
      <c r="B555" s="14" t="n">
        <v>18.885</v>
      </c>
      <c r="C555" s="14" t="str">
        <f aca="false">IF('MRR Conglomerado'!AH555&gt;0,'MRR Conglomerado'!AH555,"")</f>
        <v/>
      </c>
      <c r="D555" s="14" t="str">
        <f aca="false">IF(C555="","",'MRR Conglomerado'!AT555)</f>
        <v/>
      </c>
      <c r="E555" s="15" t="str">
        <f aca="false">IF(C555="","",D555/C555)</f>
        <v/>
      </c>
      <c r="F555" s="14" t="str">
        <f aca="false">IF(C555="","",C555/B555)</f>
        <v/>
      </c>
      <c r="G555" s="12" t="str">
        <f aca="false">IF(F555="","",IF(F555&lt;100,"Menos de 100 USD",IF(F555&lt;500,"100 a 500 USD",IF(F555&lt;2000,"500 a 2.000 USD","Más de 2.000 USD"))))</f>
        <v/>
      </c>
      <c r="H555" s="14" t="str">
        <f aca="false">IF(C555="","",MIN(D555,C555))</f>
        <v/>
      </c>
    </row>
    <row r="556" customFormat="false" ht="15" hidden="false" customHeight="true" outlineLevel="0" collapsed="false">
      <c r="A556" s="12" t="s">
        <v>1720</v>
      </c>
      <c r="B556" s="14" t="n">
        <v>18.885</v>
      </c>
      <c r="C556" s="14" t="n">
        <f aca="false">IF('MRR Conglomerado'!AH556&gt;0,'MRR Conglomerado'!AH556,"")</f>
        <v>131.25075</v>
      </c>
      <c r="D556" s="14" t="n">
        <f aca="false">IF(C556="","",'MRR Conglomerado'!AT556)</f>
        <v>136.162448</v>
      </c>
      <c r="E556" s="15" t="n">
        <f aca="false">IF(C556="","",D556/C556)</f>
        <v>1.03742224711097</v>
      </c>
      <c r="F556" s="14" t="n">
        <f aca="false">IF(C556="","",C556/B556)</f>
        <v>6.95</v>
      </c>
      <c r="G556" s="12" t="str">
        <f aca="false">IF(F556="","",IF(F556&lt;100,"Menos de 100 USD",IF(F556&lt;500,"100 a 500 USD",IF(F556&lt;2000,"500 a 2.000 USD","Más de 2.000 USD"))))</f>
        <v>Menos de 100 USD</v>
      </c>
      <c r="H556" s="14" t="n">
        <f aca="false">IF(C556="","",MIN(D556,C556))</f>
        <v>131.25075</v>
      </c>
    </row>
    <row r="557" customFormat="false" ht="15" hidden="false" customHeight="true" outlineLevel="0" collapsed="false">
      <c r="A557" s="12" t="s">
        <v>1723</v>
      </c>
      <c r="B557" s="14" t="n">
        <v>18.885</v>
      </c>
      <c r="C557" s="14" t="n">
        <f aca="false">IF('MRR Conglomerado'!AH557&gt;0,'MRR Conglomerado'!AH557,"")</f>
        <v>2520.0144</v>
      </c>
      <c r="D557" s="14" t="n">
        <f aca="false">IF(C557="","",'MRR Conglomerado'!AT557)</f>
        <v>5645.841144</v>
      </c>
      <c r="E557" s="15" t="n">
        <f aca="false">IF(C557="","",D557/C557)</f>
        <v>2.24040035009324</v>
      </c>
      <c r="F557" s="14" t="n">
        <f aca="false">IF(C557="","",C557/B557)</f>
        <v>133.44</v>
      </c>
      <c r="G557" s="12" t="str">
        <f aca="false">IF(F557="","",IF(F557&lt;100,"Menos de 100 USD",IF(F557&lt;500,"100 a 500 USD",IF(F557&lt;2000,"500 a 2.000 USD","Más de 2.000 USD"))))</f>
        <v>100 a 500 USD</v>
      </c>
      <c r="H557" s="14" t="n">
        <f aca="false">IF(C557="","",MIN(D557,C557))</f>
        <v>2520.0144</v>
      </c>
    </row>
    <row r="558" customFormat="false" ht="15" hidden="false" customHeight="true" outlineLevel="0" collapsed="false">
      <c r="A558" s="12" t="s">
        <v>1726</v>
      </c>
      <c r="B558" s="14" t="n">
        <v>18.885</v>
      </c>
      <c r="C558" s="14" t="n">
        <f aca="false">IF('MRR Conglomerado'!AH558&gt;0,'MRR Conglomerado'!AH558,"")</f>
        <v>820.7421</v>
      </c>
      <c r="D558" s="14" t="n">
        <f aca="false">IF(C558="","",'MRR Conglomerado'!AT558)</f>
        <v>850.927792</v>
      </c>
      <c r="E558" s="15" t="n">
        <f aca="false">IF(C558="","",D558/C558)</f>
        <v>1.03677853493808</v>
      </c>
      <c r="F558" s="14" t="n">
        <f aca="false">IF(C558="","",C558/B558)</f>
        <v>43.46</v>
      </c>
      <c r="G558" s="12" t="str">
        <f aca="false">IF(F558="","",IF(F558&lt;100,"Menos de 100 USD",IF(F558&lt;500,"100 a 500 USD",IF(F558&lt;2000,"500 a 2.000 USD","Más de 2.000 USD"))))</f>
        <v>Menos de 100 USD</v>
      </c>
      <c r="H558" s="14" t="n">
        <f aca="false">IF(C558="","",MIN(D558,C558))</f>
        <v>820.7421</v>
      </c>
    </row>
    <row r="559" customFormat="false" ht="15" hidden="false" customHeight="true" outlineLevel="0" collapsed="false">
      <c r="A559" s="12" t="s">
        <v>1729</v>
      </c>
      <c r="B559" s="14" t="n">
        <v>18.885</v>
      </c>
      <c r="C559" s="14" t="n">
        <f aca="false">IF('MRR Conglomerado'!AH559&gt;0,'MRR Conglomerado'!AH559,"")</f>
        <v>10934.0373</v>
      </c>
      <c r="D559" s="14" t="n">
        <f aca="false">IF(C559="","",'MRR Conglomerado'!AT559)</f>
        <v>14004.430288</v>
      </c>
      <c r="E559" s="15" t="n">
        <f aca="false">IF(C559="","",D559/C559)</f>
        <v>1.28081054634778</v>
      </c>
      <c r="F559" s="14" t="n">
        <f aca="false">IF(C559="","",C559/B559)</f>
        <v>578.98</v>
      </c>
      <c r="G559" s="12" t="str">
        <f aca="false">IF(F559="","",IF(F559&lt;100,"Menos de 100 USD",IF(F559&lt;500,"100 a 500 USD",IF(F559&lt;2000,"500 a 2.000 USD","Más de 2.000 USD"))))</f>
        <v>500 a 2.000 USD</v>
      </c>
      <c r="H559" s="14" t="n">
        <f aca="false">IF(C559="","",MIN(D559,C559))</f>
        <v>10934.0373</v>
      </c>
    </row>
    <row r="560" customFormat="false" ht="15" hidden="false" customHeight="true" outlineLevel="0" collapsed="false">
      <c r="A560" s="12" t="s">
        <v>1732</v>
      </c>
      <c r="B560" s="14" t="n">
        <v>18.885</v>
      </c>
      <c r="C560" s="14" t="str">
        <f aca="false">IF('MRR Conglomerado'!AH560&gt;0,'MRR Conglomerado'!AH560,"")</f>
        <v/>
      </c>
      <c r="D560" s="14" t="str">
        <f aca="false">IF(C560="","",'MRR Conglomerado'!AT560)</f>
        <v/>
      </c>
      <c r="E560" s="15" t="str">
        <f aca="false">IF(C560="","",D560/C560)</f>
        <v/>
      </c>
      <c r="F560" s="14" t="str">
        <f aca="false">IF(C560="","",C560/B560)</f>
        <v/>
      </c>
      <c r="G560" s="12" t="str">
        <f aca="false">IF(F560="","",IF(F560&lt;100,"Menos de 100 USD",IF(F560&lt;500,"100 a 500 USD",IF(F560&lt;2000,"500 a 2.000 USD","Más de 2.000 USD"))))</f>
        <v/>
      </c>
      <c r="H560" s="14" t="str">
        <f aca="false">IF(C560="","",MIN(D560,C560))</f>
        <v/>
      </c>
    </row>
    <row r="561" customFormat="false" ht="15" hidden="false" customHeight="true" outlineLevel="0" collapsed="false">
      <c r="A561" s="12" t="s">
        <v>1735</v>
      </c>
      <c r="B561" s="14" t="n">
        <v>18.885</v>
      </c>
      <c r="C561" s="14" t="str">
        <f aca="false">IF('MRR Conglomerado'!AH561&gt;0,'MRR Conglomerado'!AH561,"")</f>
        <v/>
      </c>
      <c r="D561" s="14" t="str">
        <f aca="false">IF(C561="","",'MRR Conglomerado'!AT561)</f>
        <v/>
      </c>
      <c r="E561" s="15" t="str">
        <f aca="false">IF(C561="","",D561/C561)</f>
        <v/>
      </c>
      <c r="F561" s="14" t="str">
        <f aca="false">IF(C561="","",C561/B561)</f>
        <v/>
      </c>
      <c r="G561" s="12" t="str">
        <f aca="false">IF(F561="","",IF(F561&lt;100,"Menos de 100 USD",IF(F561&lt;500,"100 a 500 USD",IF(F561&lt;2000,"500 a 2.000 USD","Más de 2.000 USD"))))</f>
        <v/>
      </c>
      <c r="H561" s="14" t="str">
        <f aca="false">IF(C561="","",MIN(D561,C561))</f>
        <v/>
      </c>
    </row>
    <row r="562" customFormat="false" ht="15" hidden="false" customHeight="true" outlineLevel="0" collapsed="false">
      <c r="A562" s="12" t="s">
        <v>1738</v>
      </c>
      <c r="B562" s="14" t="n">
        <v>18.885</v>
      </c>
      <c r="C562" s="14" t="str">
        <f aca="false">IF('MRR Conglomerado'!AH562&gt;0,'MRR Conglomerado'!AH562,"")</f>
        <v/>
      </c>
      <c r="D562" s="14" t="str">
        <f aca="false">IF(C562="","",'MRR Conglomerado'!AT562)</f>
        <v/>
      </c>
      <c r="E562" s="15" t="str">
        <f aca="false">IF(C562="","",D562/C562)</f>
        <v/>
      </c>
      <c r="F562" s="14" t="str">
        <f aca="false">IF(C562="","",C562/B562)</f>
        <v/>
      </c>
      <c r="G562" s="12" t="str">
        <f aca="false">IF(F562="","",IF(F562&lt;100,"Menos de 100 USD",IF(F562&lt;500,"100 a 500 USD",IF(F562&lt;2000,"500 a 2.000 USD","Más de 2.000 USD"))))</f>
        <v/>
      </c>
      <c r="H562" s="14" t="str">
        <f aca="false">IF(C562="","",MIN(D562,C562))</f>
        <v/>
      </c>
    </row>
    <row r="563" customFormat="false" ht="15" hidden="false" customHeight="true" outlineLevel="0" collapsed="false">
      <c r="A563" s="12" t="s">
        <v>1741</v>
      </c>
      <c r="B563" s="14" t="n">
        <v>18.885</v>
      </c>
      <c r="C563" s="14" t="n">
        <f aca="false">IF('MRR Conglomerado'!AH563&gt;0,'MRR Conglomerado'!AH563,"")</f>
        <v>9192.0849</v>
      </c>
      <c r="D563" s="14" t="n">
        <f aca="false">IF(C563="","",'MRR Conglomerado'!AT563)</f>
        <v>0</v>
      </c>
      <c r="E563" s="15" t="n">
        <f aca="false">IF(C563="","",D563/C563)</f>
        <v>0</v>
      </c>
      <c r="F563" s="14" t="n">
        <f aca="false">IF(C563="","",C563/B563)</f>
        <v>486.74</v>
      </c>
      <c r="G563" s="12" t="str">
        <f aca="false">IF(F563="","",IF(F563&lt;100,"Menos de 100 USD",IF(F563&lt;500,"100 a 500 USD",IF(F563&lt;2000,"500 a 2.000 USD","Más de 2.000 USD"))))</f>
        <v>100 a 500 USD</v>
      </c>
      <c r="H563" s="14" t="n">
        <f aca="false">IF(C563="","",MIN(D563,C563))</f>
        <v>0</v>
      </c>
    </row>
    <row r="564" customFormat="false" ht="15" hidden="false" customHeight="true" outlineLevel="0" collapsed="false">
      <c r="A564" s="12" t="s">
        <v>1744</v>
      </c>
      <c r="B564" s="14" t="n">
        <v>18.885</v>
      </c>
      <c r="C564" s="14" t="n">
        <f aca="false">IF('MRR Conglomerado'!AH564&gt;0,'MRR Conglomerado'!AH564,"")</f>
        <v>890.9943</v>
      </c>
      <c r="D564" s="14" t="n">
        <f aca="false">IF(C564="","",'MRR Conglomerado'!AT564)</f>
        <v>826.600568</v>
      </c>
      <c r="E564" s="15" t="n">
        <f aca="false">IF(C564="","",D564/C564)</f>
        <v>0.927728233502728</v>
      </c>
      <c r="F564" s="14" t="n">
        <f aca="false">IF(C564="","",C564/B564)</f>
        <v>47.18</v>
      </c>
      <c r="G564" s="12" t="str">
        <f aca="false">IF(F564="","",IF(F564&lt;100,"Menos de 100 USD",IF(F564&lt;500,"100 a 500 USD",IF(F564&lt;2000,"500 a 2.000 USD","Más de 2.000 USD"))))</f>
        <v>Menos de 100 USD</v>
      </c>
      <c r="H564" s="14" t="n">
        <f aca="false">IF(C564="","",MIN(D564,C564))</f>
        <v>826.600568</v>
      </c>
    </row>
    <row r="565" customFormat="false" ht="15" hidden="false" customHeight="true" outlineLevel="0" collapsed="false">
      <c r="A565" s="12" t="s">
        <v>1747</v>
      </c>
      <c r="B565" s="14" t="n">
        <v>18.885</v>
      </c>
      <c r="C565" s="14" t="str">
        <f aca="false">IF('MRR Conglomerado'!AH565&gt;0,'MRR Conglomerado'!AH565,"")</f>
        <v/>
      </c>
      <c r="D565" s="14" t="str">
        <f aca="false">IF(C565="","",'MRR Conglomerado'!AT565)</f>
        <v/>
      </c>
      <c r="E565" s="15" t="str">
        <f aca="false">IF(C565="","",D565/C565)</f>
        <v/>
      </c>
      <c r="F565" s="14" t="str">
        <f aca="false">IF(C565="","",C565/B565)</f>
        <v/>
      </c>
      <c r="G565" s="12" t="str">
        <f aca="false">IF(F565="","",IF(F565&lt;100,"Menos de 100 USD",IF(F565&lt;500,"100 a 500 USD",IF(F565&lt;2000,"500 a 2.000 USD","Más de 2.000 USD"))))</f>
        <v/>
      </c>
      <c r="H565" s="14" t="str">
        <f aca="false">IF(C565="","",MIN(D565,C565))</f>
        <v/>
      </c>
    </row>
    <row r="566" customFormat="false" ht="15" hidden="false" customHeight="true" outlineLevel="0" collapsed="false">
      <c r="A566" s="12" t="s">
        <v>1750</v>
      </c>
      <c r="B566" s="14" t="n">
        <v>18.885</v>
      </c>
      <c r="C566" s="14" t="str">
        <f aca="false">IF('MRR Conglomerado'!AH566&gt;0,'MRR Conglomerado'!AH566,"")</f>
        <v/>
      </c>
      <c r="D566" s="14" t="str">
        <f aca="false">IF(C566="","",'MRR Conglomerado'!AT566)</f>
        <v/>
      </c>
      <c r="E566" s="15" t="str">
        <f aca="false">IF(C566="","",D566/C566)</f>
        <v/>
      </c>
      <c r="F566" s="14" t="str">
        <f aca="false">IF(C566="","",C566/B566)</f>
        <v/>
      </c>
      <c r="G566" s="12" t="str">
        <f aca="false">IF(F566="","",IF(F566&lt;100,"Menos de 100 USD",IF(F566&lt;500,"100 a 500 USD",IF(F566&lt;2000,"500 a 2.000 USD","Más de 2.000 USD"))))</f>
        <v/>
      </c>
      <c r="H566" s="14" t="str">
        <f aca="false">IF(C566="","",MIN(D566,C566))</f>
        <v/>
      </c>
    </row>
    <row r="567" customFormat="false" ht="15" hidden="false" customHeight="true" outlineLevel="0" collapsed="false">
      <c r="A567" s="12" t="s">
        <v>1753</v>
      </c>
      <c r="B567" s="14" t="n">
        <v>18.885</v>
      </c>
      <c r="C567" s="14" t="n">
        <f aca="false">IF('MRR Conglomerado'!AH567&gt;0,'MRR Conglomerado'!AH567,"")</f>
        <v>30005.9988</v>
      </c>
      <c r="D567" s="14" t="n">
        <f aca="false">IF(C567="","",'MRR Conglomerado'!AT567)</f>
        <v>9534.521648</v>
      </c>
      <c r="E567" s="15" t="n">
        <f aca="false">IF(C567="","",D567/C567)</f>
        <v>0.317753850206779</v>
      </c>
      <c r="F567" s="14" t="n">
        <f aca="false">IF(C567="","",C567/B567)</f>
        <v>1588.88</v>
      </c>
      <c r="G567" s="12" t="str">
        <f aca="false">IF(F567="","",IF(F567&lt;100,"Menos de 100 USD",IF(F567&lt;500,"100 a 500 USD",IF(F567&lt;2000,"500 a 2.000 USD","Más de 2.000 USD"))))</f>
        <v>500 a 2.000 USD</v>
      </c>
      <c r="H567" s="14" t="n">
        <f aca="false">IF(C567="","",MIN(D567,C567))</f>
        <v>9534.521648</v>
      </c>
    </row>
    <row r="568" customFormat="false" ht="15" hidden="false" customHeight="true" outlineLevel="0" collapsed="false">
      <c r="A568" s="12" t="s">
        <v>1756</v>
      </c>
      <c r="B568" s="14" t="n">
        <v>18.885</v>
      </c>
      <c r="C568" s="14" t="n">
        <f aca="false">IF('MRR Conglomerado'!AH568&gt;0,'MRR Conglomerado'!AH568,"")</f>
        <v>5662.8561</v>
      </c>
      <c r="D568" s="14" t="n">
        <f aca="false">IF(C568="","",'MRR Conglomerado'!AT568)</f>
        <v>4064.921616</v>
      </c>
      <c r="E568" s="15" t="n">
        <f aca="false">IF(C568="","",D568/C568)</f>
        <v>0.71782181009332</v>
      </c>
      <c r="F568" s="14" t="n">
        <f aca="false">IF(C568="","",C568/B568)</f>
        <v>299.86</v>
      </c>
      <c r="G568" s="12" t="str">
        <f aca="false">IF(F568="","",IF(F568&lt;100,"Menos de 100 USD",IF(F568&lt;500,"100 a 500 USD",IF(F568&lt;2000,"500 a 2.000 USD","Más de 2.000 USD"))))</f>
        <v>100 a 500 USD</v>
      </c>
      <c r="H568" s="14" t="n">
        <f aca="false">IF(C568="","",MIN(D568,C568))</f>
        <v>4064.921616</v>
      </c>
    </row>
    <row r="569" customFormat="false" ht="15" hidden="false" customHeight="true" outlineLevel="0" collapsed="false">
      <c r="A569" s="12" t="s">
        <v>1759</v>
      </c>
      <c r="B569" s="14" t="n">
        <v>18.885</v>
      </c>
      <c r="C569" s="14" t="n">
        <f aca="false">IF('MRR Conglomerado'!AH569&gt;0,'MRR Conglomerado'!AH569,"")</f>
        <v>338.60805</v>
      </c>
      <c r="D569" s="14" t="n">
        <f aca="false">IF(C569="","",'MRR Conglomerado'!AT569)</f>
        <v>0</v>
      </c>
      <c r="E569" s="15" t="n">
        <f aca="false">IF(C569="","",D569/C569)</f>
        <v>0</v>
      </c>
      <c r="F569" s="14" t="n">
        <f aca="false">IF(C569="","",C569/B569)</f>
        <v>17.93</v>
      </c>
      <c r="G569" s="12" t="str">
        <f aca="false">IF(F569="","",IF(F569&lt;100,"Menos de 100 USD",IF(F569&lt;500,"100 a 500 USD",IF(F569&lt;2000,"500 a 2.000 USD","Más de 2.000 USD"))))</f>
        <v>Menos de 100 USD</v>
      </c>
      <c r="H569" s="14" t="n">
        <f aca="false">IF(C569="","",MIN(D569,C569))</f>
        <v>0</v>
      </c>
    </row>
    <row r="570" customFormat="false" ht="15" hidden="false" customHeight="true" outlineLevel="0" collapsed="false">
      <c r="A570" s="12" t="s">
        <v>1762</v>
      </c>
      <c r="B570" s="14" t="n">
        <v>18.885</v>
      </c>
      <c r="C570" s="14" t="n">
        <f aca="false">IF('MRR Conglomerado'!AH570&gt;0,'MRR Conglomerado'!AH570,"")</f>
        <v>15023.0175</v>
      </c>
      <c r="D570" s="14" t="n">
        <f aca="false">IF(C570="","",'MRR Conglomerado'!AT570)</f>
        <v>0</v>
      </c>
      <c r="E570" s="15" t="n">
        <f aca="false">IF(C570="","",D570/C570)</f>
        <v>0</v>
      </c>
      <c r="F570" s="14" t="n">
        <f aca="false">IF(C570="","",C570/B570)</f>
        <v>795.5</v>
      </c>
      <c r="G570" s="12" t="str">
        <f aca="false">IF(F570="","",IF(F570&lt;100,"Menos de 100 USD",IF(F570&lt;500,"100 a 500 USD",IF(F570&lt;2000,"500 a 2.000 USD","Más de 2.000 USD"))))</f>
        <v>500 a 2.000 USD</v>
      </c>
      <c r="H570" s="14" t="n">
        <f aca="false">IF(C570="","",MIN(D570,C570))</f>
        <v>0</v>
      </c>
    </row>
    <row r="571" customFormat="false" ht="15" hidden="false" customHeight="true" outlineLevel="0" collapsed="false">
      <c r="A571" s="12" t="s">
        <v>1765</v>
      </c>
      <c r="B571" s="14" t="n">
        <v>18.885</v>
      </c>
      <c r="C571" s="14" t="n">
        <f aca="false">IF('MRR Conglomerado'!AH571&gt;0,'MRR Conglomerado'!AH571,"")</f>
        <v>16374.8058</v>
      </c>
      <c r="D571" s="14" t="n">
        <f aca="false">IF(C571="","",'MRR Conglomerado'!AT571)</f>
        <v>21854.947984</v>
      </c>
      <c r="E571" s="15" t="n">
        <f aca="false">IF(C571="","",D571/C571)</f>
        <v>1.33466914056471</v>
      </c>
      <c r="F571" s="14" t="n">
        <f aca="false">IF(C571="","",C571/B571)</f>
        <v>867.08</v>
      </c>
      <c r="G571" s="12" t="str">
        <f aca="false">IF(F571="","",IF(F571&lt;100,"Menos de 100 USD",IF(F571&lt;500,"100 a 500 USD",IF(F571&lt;2000,"500 a 2.000 USD","Más de 2.000 USD"))))</f>
        <v>500 a 2.000 USD</v>
      </c>
      <c r="H571" s="14" t="n">
        <f aca="false">IF(C571="","",MIN(D571,C571))</f>
        <v>16374.8058</v>
      </c>
    </row>
    <row r="572" customFormat="false" ht="15" hidden="false" customHeight="true" outlineLevel="0" collapsed="false">
      <c r="A572" s="12" t="s">
        <v>1768</v>
      </c>
      <c r="B572" s="14" t="n">
        <v>18.885</v>
      </c>
      <c r="C572" s="14" t="n">
        <f aca="false">IF('MRR Conglomerado'!AH572&gt;0,'MRR Conglomerado'!AH572,"")</f>
        <v>8161.7193</v>
      </c>
      <c r="D572" s="14" t="n">
        <f aca="false">IF(C572="","",'MRR Conglomerado'!AT572)</f>
        <v>0</v>
      </c>
      <c r="E572" s="15" t="n">
        <f aca="false">IF(C572="","",D572/C572)</f>
        <v>0</v>
      </c>
      <c r="F572" s="14" t="n">
        <f aca="false">IF(C572="","",C572/B572)</f>
        <v>432.18</v>
      </c>
      <c r="G572" s="12" t="str">
        <f aca="false">IF(F572="","",IF(F572&lt;100,"Menos de 100 USD",IF(F572&lt;500,"100 a 500 USD",IF(F572&lt;2000,"500 a 2.000 USD","Más de 2.000 USD"))))</f>
        <v>100 a 500 USD</v>
      </c>
      <c r="H572" s="14" t="n">
        <f aca="false">IF(C572="","",MIN(D572,C572))</f>
        <v>0</v>
      </c>
    </row>
    <row r="573" customFormat="false" ht="15" hidden="false" customHeight="true" outlineLevel="0" collapsed="false">
      <c r="A573" s="12" t="s">
        <v>1771</v>
      </c>
      <c r="B573" s="14" t="n">
        <v>18.885</v>
      </c>
      <c r="C573" s="14" t="str">
        <f aca="false">IF('MRR Conglomerado'!AH573&gt;0,'MRR Conglomerado'!AH573,"")</f>
        <v/>
      </c>
      <c r="D573" s="14" t="str">
        <f aca="false">IF(C573="","",'MRR Conglomerado'!AT573)</f>
        <v/>
      </c>
      <c r="E573" s="15" t="str">
        <f aca="false">IF(C573="","",D573/C573)</f>
        <v/>
      </c>
      <c r="F573" s="14" t="str">
        <f aca="false">IF(C573="","",C573/B573)</f>
        <v/>
      </c>
      <c r="G573" s="12" t="str">
        <f aca="false">IF(F573="","",IF(F573&lt;100,"Menos de 100 USD",IF(F573&lt;500,"100 a 500 USD",IF(F573&lt;2000,"500 a 2.000 USD","Más de 2.000 USD"))))</f>
        <v/>
      </c>
      <c r="H573" s="14" t="str">
        <f aca="false">IF(C573="","",MIN(D573,C573))</f>
        <v/>
      </c>
    </row>
    <row r="574" customFormat="false" ht="15" hidden="false" customHeight="true" outlineLevel="0" collapsed="false">
      <c r="A574" s="12" t="s">
        <v>1774</v>
      </c>
      <c r="B574" s="14" t="n">
        <v>18.885</v>
      </c>
      <c r="C574" s="14" t="n">
        <f aca="false">IF('MRR Conglomerado'!AH574&gt;0,'MRR Conglomerado'!AH574,"")</f>
        <v>1739.3085</v>
      </c>
      <c r="D574" s="14" t="n">
        <f aca="false">IF(C574="","",'MRR Conglomerado'!AT574)</f>
        <v>1873.021232</v>
      </c>
      <c r="E574" s="15" t="n">
        <f aca="false">IF(C574="","",D574/C574)</f>
        <v>1.07687694966132</v>
      </c>
      <c r="F574" s="14" t="n">
        <f aca="false">IF(C574="","",C574/B574)</f>
        <v>92.1</v>
      </c>
      <c r="G574" s="12" t="str">
        <f aca="false">IF(F574="","",IF(F574&lt;100,"Menos de 100 USD",IF(F574&lt;500,"100 a 500 USD",IF(F574&lt;2000,"500 a 2.000 USD","Más de 2.000 USD"))))</f>
        <v>Menos de 100 USD</v>
      </c>
      <c r="H574" s="14" t="n">
        <f aca="false">IF(C574="","",MIN(D574,C574))</f>
        <v>1739.3085</v>
      </c>
    </row>
    <row r="575" customFormat="false" ht="15" hidden="false" customHeight="true" outlineLevel="0" collapsed="false">
      <c r="A575" s="12" t="s">
        <v>1777</v>
      </c>
      <c r="B575" s="14" t="n">
        <v>18.885</v>
      </c>
      <c r="C575" s="14" t="str">
        <f aca="false">IF('MRR Conglomerado'!AH575&gt;0,'MRR Conglomerado'!AH575,"")</f>
        <v/>
      </c>
      <c r="D575" s="14" t="str">
        <f aca="false">IF(C575="","",'MRR Conglomerado'!AT575)</f>
        <v/>
      </c>
      <c r="E575" s="15" t="str">
        <f aca="false">IF(C575="","",D575/C575)</f>
        <v/>
      </c>
      <c r="F575" s="14" t="str">
        <f aca="false">IF(C575="","",C575/B575)</f>
        <v/>
      </c>
      <c r="G575" s="12" t="str">
        <f aca="false">IF(F575="","",IF(F575&lt;100,"Menos de 100 USD",IF(F575&lt;500,"100 a 500 USD",IF(F575&lt;2000,"500 a 2.000 USD","Más de 2.000 USD"))))</f>
        <v/>
      </c>
      <c r="H575" s="14" t="str">
        <f aca="false">IF(C575="","",MIN(D575,C575))</f>
        <v/>
      </c>
    </row>
    <row r="576" customFormat="false" ht="15" hidden="false" customHeight="true" outlineLevel="0" collapsed="false">
      <c r="A576" s="12" t="s">
        <v>1780</v>
      </c>
      <c r="B576" s="14" t="n">
        <v>18.885</v>
      </c>
      <c r="C576" s="14" t="n">
        <f aca="false">IF('MRR Conglomerado'!AH576&gt;0,'MRR Conglomerado'!AH576,"")</f>
        <v>6042.4446</v>
      </c>
      <c r="D576" s="14" t="n">
        <f aca="false">IF(C576="","",'MRR Conglomerado'!AT576)</f>
        <v>1772.387032</v>
      </c>
      <c r="E576" s="15" t="n">
        <f aca="false">IF(C576="","",D576/C576)</f>
        <v>0.293322843539186</v>
      </c>
      <c r="F576" s="14" t="n">
        <f aca="false">IF(C576="","",C576/B576)</f>
        <v>319.96</v>
      </c>
      <c r="G576" s="12" t="str">
        <f aca="false">IF(F576="","",IF(F576&lt;100,"Menos de 100 USD",IF(F576&lt;500,"100 a 500 USD",IF(F576&lt;2000,"500 a 2.000 USD","Más de 2.000 USD"))))</f>
        <v>100 a 500 USD</v>
      </c>
      <c r="H576" s="14" t="n">
        <f aca="false">IF(C576="","",MIN(D576,C576))</f>
        <v>1772.387032</v>
      </c>
    </row>
    <row r="577" customFormat="false" ht="15" hidden="false" customHeight="true" outlineLevel="0" collapsed="false">
      <c r="A577" s="12" t="s">
        <v>1783</v>
      </c>
      <c r="B577" s="14" t="n">
        <v>18.885</v>
      </c>
      <c r="C577" s="14" t="n">
        <f aca="false">IF('MRR Conglomerado'!AH577&gt;0,'MRR Conglomerado'!AH577,"")</f>
        <v>2683.1808</v>
      </c>
      <c r="D577" s="14" t="n">
        <f aca="false">IF(C577="","",'MRR Conglomerado'!AT577)</f>
        <v>2160.747536</v>
      </c>
      <c r="E577" s="15" t="n">
        <f aca="false">IF(C577="","",D577/C577)</f>
        <v>0.805293305616975</v>
      </c>
      <c r="F577" s="14" t="n">
        <f aca="false">IF(C577="","",C577/B577)</f>
        <v>142.08</v>
      </c>
      <c r="G577" s="12" t="str">
        <f aca="false">IF(F577="","",IF(F577&lt;100,"Menos de 100 USD",IF(F577&lt;500,"100 a 500 USD",IF(F577&lt;2000,"500 a 2.000 USD","Más de 2.000 USD"))))</f>
        <v>100 a 500 USD</v>
      </c>
      <c r="H577" s="14" t="n">
        <f aca="false">IF(C577="","",MIN(D577,C577))</f>
        <v>2160.747536</v>
      </c>
    </row>
    <row r="578" customFormat="false" ht="15" hidden="false" customHeight="true" outlineLevel="0" collapsed="false">
      <c r="A578" s="12" t="s">
        <v>1786</v>
      </c>
      <c r="B578" s="14" t="n">
        <v>18.885</v>
      </c>
      <c r="C578" s="14" t="str">
        <f aca="false">IF('MRR Conglomerado'!AH578&gt;0,'MRR Conglomerado'!AH578,"")</f>
        <v/>
      </c>
      <c r="D578" s="14" t="str">
        <f aca="false">IF(C578="","",'MRR Conglomerado'!AT578)</f>
        <v/>
      </c>
      <c r="E578" s="15" t="str">
        <f aca="false">IF(C578="","",D578/C578)</f>
        <v/>
      </c>
      <c r="F578" s="14" t="str">
        <f aca="false">IF(C578="","",C578/B578)</f>
        <v/>
      </c>
      <c r="G578" s="12" t="str">
        <f aca="false">IF(F578="","",IF(F578&lt;100,"Menos de 100 USD",IF(F578&lt;500,"100 a 500 USD",IF(F578&lt;2000,"500 a 2.000 USD","Más de 2.000 USD"))))</f>
        <v/>
      </c>
      <c r="H578" s="14" t="str">
        <f aca="false">IF(C578="","",MIN(D578,C578))</f>
        <v/>
      </c>
    </row>
    <row r="579" customFormat="false" ht="15" hidden="false" customHeight="true" outlineLevel="0" collapsed="false">
      <c r="A579" s="12" t="s">
        <v>1789</v>
      </c>
      <c r="B579" s="14" t="n">
        <v>18.885</v>
      </c>
      <c r="C579" s="14" t="str">
        <f aca="false">IF('MRR Conglomerado'!AH579&gt;0,'MRR Conglomerado'!AH579,"")</f>
        <v/>
      </c>
      <c r="D579" s="14" t="str">
        <f aca="false">IF(C579="","",'MRR Conglomerado'!AT579)</f>
        <v/>
      </c>
      <c r="E579" s="15" t="str">
        <f aca="false">IF(C579="","",D579/C579)</f>
        <v/>
      </c>
      <c r="F579" s="14" t="str">
        <f aca="false">IF(C579="","",C579/B579)</f>
        <v/>
      </c>
      <c r="G579" s="12" t="str">
        <f aca="false">IF(F579="","",IF(F579&lt;100,"Menos de 100 USD",IF(F579&lt;500,"100 a 500 USD",IF(F579&lt;2000,"500 a 2.000 USD","Más de 2.000 USD"))))</f>
        <v/>
      </c>
      <c r="H579" s="14" t="str">
        <f aca="false">IF(C579="","",MIN(D579,C579))</f>
        <v/>
      </c>
    </row>
    <row r="580" customFormat="false" ht="15" hidden="false" customHeight="true" outlineLevel="0" collapsed="false">
      <c r="A580" s="12" t="s">
        <v>1792</v>
      </c>
      <c r="B580" s="14" t="n">
        <v>18.885</v>
      </c>
      <c r="C580" s="14" t="str">
        <f aca="false">IF('MRR Conglomerado'!AH580&gt;0,'MRR Conglomerado'!AH580,"")</f>
        <v/>
      </c>
      <c r="D580" s="14" t="str">
        <f aca="false">IF(C580="","",'MRR Conglomerado'!AT580)</f>
        <v/>
      </c>
      <c r="E580" s="15" t="str">
        <f aca="false">IF(C580="","",D580/C580)</f>
        <v/>
      </c>
      <c r="F580" s="14" t="str">
        <f aca="false">IF(C580="","",C580/B580)</f>
        <v/>
      </c>
      <c r="G580" s="12" t="str">
        <f aca="false">IF(F580="","",IF(F580&lt;100,"Menos de 100 USD",IF(F580&lt;500,"100 a 500 USD",IF(F580&lt;2000,"500 a 2.000 USD","Más de 2.000 USD"))))</f>
        <v/>
      </c>
      <c r="H580" s="14" t="str">
        <f aca="false">IF(C580="","",MIN(D580,C580))</f>
        <v/>
      </c>
    </row>
    <row r="581" customFormat="false" ht="15" hidden="false" customHeight="true" outlineLevel="0" collapsed="false">
      <c r="A581" s="12" t="s">
        <v>1795</v>
      </c>
      <c r="B581" s="14" t="n">
        <v>18.885</v>
      </c>
      <c r="C581" s="14" t="str">
        <f aca="false">IF('MRR Conglomerado'!AH581&gt;0,'MRR Conglomerado'!AH581,"")</f>
        <v/>
      </c>
      <c r="D581" s="14" t="str">
        <f aca="false">IF(C581="","",'MRR Conglomerado'!AT581)</f>
        <v/>
      </c>
      <c r="E581" s="15" t="str">
        <f aca="false">IF(C581="","",D581/C581)</f>
        <v/>
      </c>
      <c r="F581" s="14" t="str">
        <f aca="false">IF(C581="","",C581/B581)</f>
        <v/>
      </c>
      <c r="G581" s="12" t="str">
        <f aca="false">IF(F581="","",IF(F581&lt;100,"Menos de 100 USD",IF(F581&lt;500,"100 a 500 USD",IF(F581&lt;2000,"500 a 2.000 USD","Más de 2.000 USD"))))</f>
        <v/>
      </c>
      <c r="H581" s="14" t="str">
        <f aca="false">IF(C581="","",MIN(D581,C581))</f>
        <v/>
      </c>
    </row>
    <row r="582" customFormat="false" ht="15" hidden="false" customHeight="true" outlineLevel="0" collapsed="false">
      <c r="A582" s="12" t="s">
        <v>1798</v>
      </c>
      <c r="B582" s="14" t="n">
        <v>18.885</v>
      </c>
      <c r="C582" s="14" t="n">
        <f aca="false">IF('MRR Conglomerado'!AH582&gt;0,'MRR Conglomerado'!AH582,"")</f>
        <v>2845.40295</v>
      </c>
      <c r="D582" s="14" t="n">
        <f aca="false">IF(C582="","",'MRR Conglomerado'!AT582)</f>
        <v>5566.033848</v>
      </c>
      <c r="E582" s="15" t="n">
        <f aca="false">IF(C582="","",D582/C582)</f>
        <v>1.95614960193951</v>
      </c>
      <c r="F582" s="14" t="n">
        <f aca="false">IF(C582="","",C582/B582)</f>
        <v>150.67</v>
      </c>
      <c r="G582" s="12" t="str">
        <f aca="false">IF(F582="","",IF(F582&lt;100,"Menos de 100 USD",IF(F582&lt;500,"100 a 500 USD",IF(F582&lt;2000,"500 a 2.000 USD","Más de 2.000 USD"))))</f>
        <v>100 a 500 USD</v>
      </c>
      <c r="H582" s="14" t="n">
        <f aca="false">IF(C582="","",MIN(D582,C582))</f>
        <v>2845.40295</v>
      </c>
    </row>
    <row r="583" customFormat="false" ht="15" hidden="false" customHeight="true" outlineLevel="0" collapsed="false">
      <c r="A583" s="12" t="s">
        <v>1801</v>
      </c>
      <c r="B583" s="14" t="n">
        <v>18.885</v>
      </c>
      <c r="C583" s="14" t="str">
        <f aca="false">IF('MRR Conglomerado'!AH583&gt;0,'MRR Conglomerado'!AH583,"")</f>
        <v/>
      </c>
      <c r="D583" s="14" t="str">
        <f aca="false">IF(C583="","",'MRR Conglomerado'!AT583)</f>
        <v/>
      </c>
      <c r="E583" s="15" t="str">
        <f aca="false">IF(C583="","",D583/C583)</f>
        <v/>
      </c>
      <c r="F583" s="14" t="str">
        <f aca="false">IF(C583="","",C583/B583)</f>
        <v/>
      </c>
      <c r="G583" s="12" t="str">
        <f aca="false">IF(F583="","",IF(F583&lt;100,"Menos de 100 USD",IF(F583&lt;500,"100 a 500 USD",IF(F583&lt;2000,"500 a 2.000 USD","Más de 2.000 USD"))))</f>
        <v/>
      </c>
      <c r="H583" s="14" t="str">
        <f aca="false">IF(C583="","",MIN(D583,C583))</f>
        <v/>
      </c>
    </row>
    <row r="584" customFormat="false" ht="15" hidden="false" customHeight="true" outlineLevel="0" collapsed="false">
      <c r="A584" s="12" t="s">
        <v>1804</v>
      </c>
      <c r="B584" s="14" t="n">
        <v>18.885</v>
      </c>
      <c r="C584" s="14" t="str">
        <f aca="false">IF('MRR Conglomerado'!AH584&gt;0,'MRR Conglomerado'!AH584,"")</f>
        <v/>
      </c>
      <c r="D584" s="14" t="str">
        <f aca="false">IF(C584="","",'MRR Conglomerado'!AT584)</f>
        <v/>
      </c>
      <c r="E584" s="15" t="str">
        <f aca="false">IF(C584="","",D584/C584)</f>
        <v/>
      </c>
      <c r="F584" s="14" t="str">
        <f aca="false">IF(C584="","",C584/B584)</f>
        <v/>
      </c>
      <c r="G584" s="12" t="str">
        <f aca="false">IF(F584="","",IF(F584&lt;100,"Menos de 100 USD",IF(F584&lt;500,"100 a 500 USD",IF(F584&lt;2000,"500 a 2.000 USD","Más de 2.000 USD"))))</f>
        <v/>
      </c>
      <c r="H584" s="14" t="str">
        <f aca="false">IF(C584="","",MIN(D584,C584))</f>
        <v/>
      </c>
    </row>
    <row r="585" customFormat="false" ht="15" hidden="false" customHeight="true" outlineLevel="0" collapsed="false">
      <c r="A585" s="12" t="s">
        <v>1807</v>
      </c>
      <c r="B585" s="14" t="n">
        <v>18.885</v>
      </c>
      <c r="C585" s="14" t="n">
        <f aca="false">IF('MRR Conglomerado'!AH585&gt;0,'MRR Conglomerado'!AH585,"")</f>
        <v>6710.40705</v>
      </c>
      <c r="D585" s="14" t="n">
        <f aca="false">IF(C585="","",'MRR Conglomerado'!AT585)</f>
        <v>5521.7548</v>
      </c>
      <c r="E585" s="15" t="n">
        <f aca="false">IF(C585="","",D585/C585)</f>
        <v>0.822864359621821</v>
      </c>
      <c r="F585" s="14" t="n">
        <f aca="false">IF(C585="","",C585/B585)</f>
        <v>355.33</v>
      </c>
      <c r="G585" s="12" t="str">
        <f aca="false">IF(F585="","",IF(F585&lt;100,"Menos de 100 USD",IF(F585&lt;500,"100 a 500 USD",IF(F585&lt;2000,"500 a 2.000 USD","Más de 2.000 USD"))))</f>
        <v>100 a 500 USD</v>
      </c>
      <c r="H585" s="14" t="n">
        <f aca="false">IF(C585="","",MIN(D585,C585))</f>
        <v>5521.7548</v>
      </c>
    </row>
    <row r="586" customFormat="false" ht="15" hidden="false" customHeight="true" outlineLevel="0" collapsed="false">
      <c r="A586" s="12" t="s">
        <v>1810</v>
      </c>
      <c r="B586" s="14" t="n">
        <v>18.885</v>
      </c>
      <c r="C586" s="14" t="str">
        <f aca="false">IF('MRR Conglomerado'!AH586&gt;0,'MRR Conglomerado'!AH586,"")</f>
        <v/>
      </c>
      <c r="D586" s="14" t="str">
        <f aca="false">IF(C586="","",'MRR Conglomerado'!AT586)</f>
        <v/>
      </c>
      <c r="E586" s="15" t="str">
        <f aca="false">IF(C586="","",D586/C586)</f>
        <v/>
      </c>
      <c r="F586" s="14" t="str">
        <f aca="false">IF(C586="","",C586/B586)</f>
        <v/>
      </c>
      <c r="G586" s="12" t="str">
        <f aca="false">IF(F586="","",IF(F586&lt;100,"Menos de 100 USD",IF(F586&lt;500,"100 a 500 USD",IF(F586&lt;2000,"500 a 2.000 USD","Más de 2.000 USD"))))</f>
        <v/>
      </c>
      <c r="H586" s="14" t="str">
        <f aca="false">IF(C586="","",MIN(D586,C586))</f>
        <v/>
      </c>
    </row>
    <row r="587" customFormat="false" ht="15" hidden="false" customHeight="true" outlineLevel="0" collapsed="false">
      <c r="A587" s="12" t="s">
        <v>1813</v>
      </c>
      <c r="B587" s="14" t="n">
        <v>18.885</v>
      </c>
      <c r="C587" s="14" t="n">
        <f aca="false">IF('MRR Conglomerado'!AH587&gt;0,'MRR Conglomerado'!AH587,"")</f>
        <v>681.93735</v>
      </c>
      <c r="D587" s="14" t="n">
        <f aca="false">IF(C587="","",'MRR Conglomerado'!AT587)</f>
        <v>0</v>
      </c>
      <c r="E587" s="15" t="n">
        <f aca="false">IF(C587="","",D587/C587)</f>
        <v>0</v>
      </c>
      <c r="F587" s="14" t="n">
        <f aca="false">IF(C587="","",C587/B587)</f>
        <v>36.11</v>
      </c>
      <c r="G587" s="12" t="str">
        <f aca="false">IF(F587="","",IF(F587&lt;100,"Menos de 100 USD",IF(F587&lt;500,"100 a 500 USD",IF(F587&lt;2000,"500 a 2.000 USD","Más de 2.000 USD"))))</f>
        <v>Menos de 100 USD</v>
      </c>
      <c r="H587" s="14" t="n">
        <f aca="false">IF(C587="","",MIN(D587,C587))</f>
        <v>0</v>
      </c>
    </row>
    <row r="588" customFormat="false" ht="15" hidden="false" customHeight="true" outlineLevel="0" collapsed="false">
      <c r="A588" s="12" t="s">
        <v>1816</v>
      </c>
      <c r="B588" s="14" t="n">
        <v>18.885</v>
      </c>
      <c r="C588" s="14" t="n">
        <f aca="false">IF('MRR Conglomerado'!AH588&gt;0,'MRR Conglomerado'!AH588,"")</f>
        <v>5084.9751</v>
      </c>
      <c r="D588" s="14" t="n">
        <f aca="false">IF(C588="","",'MRR Conglomerado'!AT588)</f>
        <v>5412.544816</v>
      </c>
      <c r="E588" s="15" t="n">
        <f aca="false">IF(C588="","",D588/C588)</f>
        <v>1.06441913865026</v>
      </c>
      <c r="F588" s="14" t="n">
        <f aca="false">IF(C588="","",C588/B588)</f>
        <v>269.26</v>
      </c>
      <c r="G588" s="12" t="str">
        <f aca="false">IF(F588="","",IF(F588&lt;100,"Menos de 100 USD",IF(F588&lt;500,"100 a 500 USD",IF(F588&lt;2000,"500 a 2.000 USD","Más de 2.000 USD"))))</f>
        <v>100 a 500 USD</v>
      </c>
      <c r="H588" s="14" t="n">
        <f aca="false">IF(C588="","",MIN(D588,C588))</f>
        <v>5084.9751</v>
      </c>
    </row>
    <row r="589" customFormat="false" ht="15" hidden="false" customHeight="true" outlineLevel="0" collapsed="false">
      <c r="A589" s="12" t="s">
        <v>1819</v>
      </c>
      <c r="B589" s="14" t="n">
        <v>18.885</v>
      </c>
      <c r="C589" s="14" t="n">
        <f aca="false">IF('MRR Conglomerado'!AH589&gt;0,'MRR Conglomerado'!AH589,"")</f>
        <v>5398.4661</v>
      </c>
      <c r="D589" s="14" t="n">
        <f aca="false">IF(C589="","",'MRR Conglomerado'!AT589)</f>
        <v>7036.51828</v>
      </c>
      <c r="E589" s="15" t="n">
        <f aca="false">IF(C589="","",D589/C589)</f>
        <v>1.30342918704259</v>
      </c>
      <c r="F589" s="14" t="n">
        <f aca="false">IF(C589="","",C589/B589)</f>
        <v>285.86</v>
      </c>
      <c r="G589" s="12" t="str">
        <f aca="false">IF(F589="","",IF(F589&lt;100,"Menos de 100 USD",IF(F589&lt;500,"100 a 500 USD",IF(F589&lt;2000,"500 a 2.000 USD","Más de 2.000 USD"))))</f>
        <v>100 a 500 USD</v>
      </c>
      <c r="H589" s="14" t="n">
        <f aca="false">IF(C589="","",MIN(D589,C589))</f>
        <v>5398.4661</v>
      </c>
    </row>
    <row r="590" customFormat="false" ht="15" hidden="false" customHeight="true" outlineLevel="0" collapsed="false">
      <c r="A590" s="12" t="s">
        <v>1822</v>
      </c>
      <c r="B590" s="14" t="n">
        <v>18.885</v>
      </c>
      <c r="C590" s="14" t="n">
        <f aca="false">IF('MRR Conglomerado'!AH590&gt;0,'MRR Conglomerado'!AH590,"")</f>
        <v>3626.10885</v>
      </c>
      <c r="D590" s="14" t="n">
        <f aca="false">IF(C590="","",'MRR Conglomerado'!AT590)</f>
        <v>5199.025296</v>
      </c>
      <c r="E590" s="15" t="n">
        <f aca="false">IF(C590="","",D590/C590)</f>
        <v>1.4337752977272</v>
      </c>
      <c r="F590" s="14" t="n">
        <f aca="false">IF(C590="","",C590/B590)</f>
        <v>192.01</v>
      </c>
      <c r="G590" s="12" t="str">
        <f aca="false">IF(F590="","",IF(F590&lt;100,"Menos de 100 USD",IF(F590&lt;500,"100 a 500 USD",IF(F590&lt;2000,"500 a 2.000 USD","Más de 2.000 USD"))))</f>
        <v>100 a 500 USD</v>
      </c>
      <c r="H590" s="14" t="n">
        <f aca="false">IF(C590="","",MIN(D590,C590))</f>
        <v>3626.10885</v>
      </c>
    </row>
    <row r="591" customFormat="false" ht="15" hidden="false" customHeight="true" outlineLevel="0" collapsed="false">
      <c r="A591" s="12" t="s">
        <v>1825</v>
      </c>
      <c r="B591" s="14" t="n">
        <v>18.885</v>
      </c>
      <c r="C591" s="14" t="str">
        <f aca="false">IF('MRR Conglomerado'!AH591&gt;0,'MRR Conglomerado'!AH591,"")</f>
        <v/>
      </c>
      <c r="D591" s="14" t="str">
        <f aca="false">IF(C591="","",'MRR Conglomerado'!AT591)</f>
        <v/>
      </c>
      <c r="E591" s="15" t="str">
        <f aca="false">IF(C591="","",D591/C591)</f>
        <v/>
      </c>
      <c r="F591" s="14" t="str">
        <f aca="false">IF(C591="","",C591/B591)</f>
        <v/>
      </c>
      <c r="G591" s="12" t="str">
        <f aca="false">IF(F591="","",IF(F591&lt;100,"Menos de 100 USD",IF(F591&lt;500,"100 a 500 USD",IF(F591&lt;2000,"500 a 2.000 USD","Más de 2.000 USD"))))</f>
        <v/>
      </c>
      <c r="H591" s="14" t="str">
        <f aca="false">IF(C591="","",MIN(D591,C591))</f>
        <v/>
      </c>
    </row>
    <row r="592" customFormat="false" ht="15" hidden="false" customHeight="true" outlineLevel="0" collapsed="false">
      <c r="A592" s="12" t="s">
        <v>1828</v>
      </c>
      <c r="B592" s="14" t="n">
        <v>18.885</v>
      </c>
      <c r="C592" s="14" t="str">
        <f aca="false">IF('MRR Conglomerado'!AH592&gt;0,'MRR Conglomerado'!AH592,"")</f>
        <v/>
      </c>
      <c r="D592" s="14" t="str">
        <f aca="false">IF(C592="","",'MRR Conglomerado'!AT592)</f>
        <v/>
      </c>
      <c r="E592" s="15" t="str">
        <f aca="false">IF(C592="","",D592/C592)</f>
        <v/>
      </c>
      <c r="F592" s="14" t="str">
        <f aca="false">IF(C592="","",C592/B592)</f>
        <v/>
      </c>
      <c r="G592" s="12" t="str">
        <f aca="false">IF(F592="","",IF(F592&lt;100,"Menos de 100 USD",IF(F592&lt;500,"100 a 500 USD",IF(F592&lt;2000,"500 a 2.000 USD","Más de 2.000 USD"))))</f>
        <v/>
      </c>
      <c r="H592" s="14" t="str">
        <f aca="false">IF(C592="","",MIN(D592,C592))</f>
        <v/>
      </c>
    </row>
    <row r="593" customFormat="false" ht="15" hidden="false" customHeight="true" outlineLevel="0" collapsed="false">
      <c r="A593" s="12" t="s">
        <v>1831</v>
      </c>
      <c r="B593" s="14" t="n">
        <v>18.885</v>
      </c>
      <c r="C593" s="14" t="str">
        <f aca="false">IF('MRR Conglomerado'!AH593&gt;0,'MRR Conglomerado'!AH593,"")</f>
        <v/>
      </c>
      <c r="D593" s="14" t="str">
        <f aca="false">IF(C593="","",'MRR Conglomerado'!AT593)</f>
        <v/>
      </c>
      <c r="E593" s="15" t="str">
        <f aca="false">IF(C593="","",D593/C593)</f>
        <v/>
      </c>
      <c r="F593" s="14" t="str">
        <f aca="false">IF(C593="","",C593/B593)</f>
        <v/>
      </c>
      <c r="G593" s="12" t="str">
        <f aca="false">IF(F593="","",IF(F593&lt;100,"Menos de 100 USD",IF(F593&lt;500,"100 a 500 USD",IF(F593&lt;2000,"500 a 2.000 USD","Más de 2.000 USD"))))</f>
        <v/>
      </c>
      <c r="H593" s="14" t="str">
        <f aca="false">IF(C593="","",MIN(D593,C593))</f>
        <v/>
      </c>
    </row>
    <row r="594" customFormat="false" ht="15" hidden="false" customHeight="true" outlineLevel="0" collapsed="false">
      <c r="A594" s="12" t="s">
        <v>1834</v>
      </c>
      <c r="B594" s="14" t="n">
        <v>18.885</v>
      </c>
      <c r="C594" s="14" t="str">
        <f aca="false">IF('MRR Conglomerado'!AH594&gt;0,'MRR Conglomerado'!AH594,"")</f>
        <v/>
      </c>
      <c r="D594" s="14" t="str">
        <f aca="false">IF(C594="","",'MRR Conglomerado'!AT594)</f>
        <v/>
      </c>
      <c r="E594" s="15" t="str">
        <f aca="false">IF(C594="","",D594/C594)</f>
        <v/>
      </c>
      <c r="F594" s="14" t="str">
        <f aca="false">IF(C594="","",C594/B594)</f>
        <v/>
      </c>
      <c r="G594" s="12" t="str">
        <f aca="false">IF(F594="","",IF(F594&lt;100,"Menos de 100 USD",IF(F594&lt;500,"100 a 500 USD",IF(F594&lt;2000,"500 a 2.000 USD","Más de 2.000 USD"))))</f>
        <v/>
      </c>
      <c r="H594" s="14" t="str">
        <f aca="false">IF(C594="","",MIN(D594,C594))</f>
        <v/>
      </c>
    </row>
    <row r="595" customFormat="false" ht="15" hidden="false" customHeight="true" outlineLevel="0" collapsed="false">
      <c r="A595" s="12" t="s">
        <v>1837</v>
      </c>
      <c r="B595" s="14" t="n">
        <v>18.885</v>
      </c>
      <c r="C595" s="14" t="str">
        <f aca="false">IF('MRR Conglomerado'!AH595&gt;0,'MRR Conglomerado'!AH595,"")</f>
        <v/>
      </c>
      <c r="D595" s="14" t="str">
        <f aca="false">IF(C595="","",'MRR Conglomerado'!AT595)</f>
        <v/>
      </c>
      <c r="E595" s="15" t="str">
        <f aca="false">IF(C595="","",D595/C595)</f>
        <v/>
      </c>
      <c r="F595" s="14" t="str">
        <f aca="false">IF(C595="","",C595/B595)</f>
        <v/>
      </c>
      <c r="G595" s="12" t="str">
        <f aca="false">IF(F595="","",IF(F595&lt;100,"Menos de 100 USD",IF(F595&lt;500,"100 a 500 USD",IF(F595&lt;2000,"500 a 2.000 USD","Más de 2.000 USD"))))</f>
        <v/>
      </c>
      <c r="H595" s="14" t="str">
        <f aca="false">IF(C595="","",MIN(D595,C595))</f>
        <v/>
      </c>
    </row>
    <row r="596" customFormat="false" ht="15" hidden="false" customHeight="true" outlineLevel="0" collapsed="false">
      <c r="A596" s="12" t="s">
        <v>1840</v>
      </c>
      <c r="B596" s="14" t="n">
        <v>18.885</v>
      </c>
      <c r="C596" s="14" t="str">
        <f aca="false">IF('MRR Conglomerado'!AH596&gt;0,'MRR Conglomerado'!AH596,"")</f>
        <v/>
      </c>
      <c r="D596" s="14" t="str">
        <f aca="false">IF(C596="","",'MRR Conglomerado'!AT596)</f>
        <v/>
      </c>
      <c r="E596" s="15" t="str">
        <f aca="false">IF(C596="","",D596/C596)</f>
        <v/>
      </c>
      <c r="F596" s="14" t="str">
        <f aca="false">IF(C596="","",C596/B596)</f>
        <v/>
      </c>
      <c r="G596" s="12" t="str">
        <f aca="false">IF(F596="","",IF(F596&lt;100,"Menos de 100 USD",IF(F596&lt;500,"100 a 500 USD",IF(F596&lt;2000,"500 a 2.000 USD","Más de 2.000 USD"))))</f>
        <v/>
      </c>
      <c r="H596" s="14" t="str">
        <f aca="false">IF(C596="","",MIN(D596,C596))</f>
        <v/>
      </c>
    </row>
    <row r="597" customFormat="false" ht="15" hidden="false" customHeight="true" outlineLevel="0" collapsed="false">
      <c r="A597" s="12" t="s">
        <v>1843</v>
      </c>
      <c r="B597" s="14" t="n">
        <v>18.885</v>
      </c>
      <c r="C597" s="14" t="str">
        <f aca="false">IF('MRR Conglomerado'!AH597&gt;0,'MRR Conglomerado'!AH597,"")</f>
        <v/>
      </c>
      <c r="D597" s="14" t="str">
        <f aca="false">IF(C597="","",'MRR Conglomerado'!AT597)</f>
        <v/>
      </c>
      <c r="E597" s="15" t="str">
        <f aca="false">IF(C597="","",D597/C597)</f>
        <v/>
      </c>
      <c r="F597" s="14" t="str">
        <f aca="false">IF(C597="","",C597/B597)</f>
        <v/>
      </c>
      <c r="G597" s="12" t="str">
        <f aca="false">IF(F597="","",IF(F597&lt;100,"Menos de 100 USD",IF(F597&lt;500,"100 a 500 USD",IF(F597&lt;2000,"500 a 2.000 USD","Más de 2.000 USD"))))</f>
        <v/>
      </c>
      <c r="H597" s="14" t="str">
        <f aca="false">IF(C597="","",MIN(D597,C597))</f>
        <v/>
      </c>
    </row>
    <row r="598" customFormat="false" ht="15" hidden="false" customHeight="true" outlineLevel="0" collapsed="false">
      <c r="A598" s="12" t="s">
        <v>1846</v>
      </c>
      <c r="B598" s="14" t="n">
        <v>18.885</v>
      </c>
      <c r="C598" s="14" t="str">
        <f aca="false">IF('MRR Conglomerado'!AH598&gt;0,'MRR Conglomerado'!AH598,"")</f>
        <v/>
      </c>
      <c r="D598" s="14" t="str">
        <f aca="false">IF(C598="","",'MRR Conglomerado'!AT598)</f>
        <v/>
      </c>
      <c r="E598" s="15" t="str">
        <f aca="false">IF(C598="","",D598/C598)</f>
        <v/>
      </c>
      <c r="F598" s="14" t="str">
        <f aca="false">IF(C598="","",C598/B598)</f>
        <v/>
      </c>
      <c r="G598" s="12" t="str">
        <f aca="false">IF(F598="","",IF(F598&lt;100,"Menos de 100 USD",IF(F598&lt;500,"100 a 500 USD",IF(F598&lt;2000,"500 a 2.000 USD","Más de 2.000 USD"))))</f>
        <v/>
      </c>
      <c r="H598" s="14" t="str">
        <f aca="false">IF(C598="","",MIN(D598,C598))</f>
        <v/>
      </c>
    </row>
    <row r="599" customFormat="false" ht="15" hidden="false" customHeight="true" outlineLevel="0" collapsed="false">
      <c r="A599" s="12" t="s">
        <v>1849</v>
      </c>
      <c r="B599" s="14" t="n">
        <v>18.885</v>
      </c>
      <c r="C599" s="14" t="str">
        <f aca="false">IF('MRR Conglomerado'!AH599&gt;0,'MRR Conglomerado'!AH599,"")</f>
        <v/>
      </c>
      <c r="D599" s="14" t="str">
        <f aca="false">IF(C599="","",'MRR Conglomerado'!AT599)</f>
        <v/>
      </c>
      <c r="E599" s="15" t="str">
        <f aca="false">IF(C599="","",D599/C599)</f>
        <v/>
      </c>
      <c r="F599" s="14" t="str">
        <f aca="false">IF(C599="","",C599/B599)</f>
        <v/>
      </c>
      <c r="G599" s="12" t="str">
        <f aca="false">IF(F599="","",IF(F599&lt;100,"Menos de 100 USD",IF(F599&lt;500,"100 a 500 USD",IF(F599&lt;2000,"500 a 2.000 USD","Más de 2.000 USD"))))</f>
        <v/>
      </c>
      <c r="H599" s="14" t="str">
        <f aca="false">IF(C599="","",MIN(D599,C599))</f>
        <v/>
      </c>
    </row>
    <row r="600" customFormat="false" ht="15" hidden="false" customHeight="true" outlineLevel="0" collapsed="false">
      <c r="A600" s="12" t="s">
        <v>1852</v>
      </c>
      <c r="B600" s="14" t="n">
        <v>18.885</v>
      </c>
      <c r="C600" s="14" t="str">
        <f aca="false">IF('MRR Conglomerado'!AH600&gt;0,'MRR Conglomerado'!AH600,"")</f>
        <v/>
      </c>
      <c r="D600" s="14" t="str">
        <f aca="false">IF(C600="","",'MRR Conglomerado'!AT600)</f>
        <v/>
      </c>
      <c r="E600" s="15" t="str">
        <f aca="false">IF(C600="","",D600/C600)</f>
        <v/>
      </c>
      <c r="F600" s="14" t="str">
        <f aca="false">IF(C600="","",C600/B600)</f>
        <v/>
      </c>
      <c r="G600" s="12" t="str">
        <f aca="false">IF(F600="","",IF(F600&lt;100,"Menos de 100 USD",IF(F600&lt;500,"100 a 500 USD",IF(F600&lt;2000,"500 a 2.000 USD","Más de 2.000 USD"))))</f>
        <v/>
      </c>
      <c r="H600" s="14" t="str">
        <f aca="false">IF(C600="","",MIN(D600,C600))</f>
        <v/>
      </c>
    </row>
    <row r="601" customFormat="false" ht="15" hidden="false" customHeight="true" outlineLevel="0" collapsed="false">
      <c r="A601" s="12" t="s">
        <v>1855</v>
      </c>
      <c r="B601" s="14" t="n">
        <v>18.885</v>
      </c>
      <c r="C601" s="14" t="str">
        <f aca="false">IF('MRR Conglomerado'!AH601&gt;0,'MRR Conglomerado'!AH601,"")</f>
        <v/>
      </c>
      <c r="D601" s="14" t="str">
        <f aca="false">IF(C601="","",'MRR Conglomerado'!AT601)</f>
        <v/>
      </c>
      <c r="E601" s="15" t="str">
        <f aca="false">IF(C601="","",D601/C601)</f>
        <v/>
      </c>
      <c r="F601" s="14" t="str">
        <f aca="false">IF(C601="","",C601/B601)</f>
        <v/>
      </c>
      <c r="G601" s="12" t="str">
        <f aca="false">IF(F601="","",IF(F601&lt;100,"Menos de 100 USD",IF(F601&lt;500,"100 a 500 USD",IF(F601&lt;2000,"500 a 2.000 USD","Más de 2.000 USD"))))</f>
        <v/>
      </c>
      <c r="H601" s="14" t="str">
        <f aca="false">IF(C601="","",MIN(D601,C601))</f>
        <v/>
      </c>
    </row>
    <row r="602" customFormat="false" ht="15" hidden="false" customHeight="true" outlineLevel="0" collapsed="false">
      <c r="A602" s="12" t="s">
        <v>1858</v>
      </c>
      <c r="B602" s="14" t="n">
        <v>18.885</v>
      </c>
      <c r="C602" s="14" t="n">
        <f aca="false">IF('MRR Conglomerado'!AH602&gt;0,'MRR Conglomerado'!AH602,"")</f>
        <v>3644.99385</v>
      </c>
      <c r="D602" s="14" t="n">
        <f aca="false">IF(C602="","",'MRR Conglomerado'!AT602)</f>
        <v>4945.95216</v>
      </c>
      <c r="E602" s="15" t="n">
        <f aca="false">IF(C602="","",D602/C602)</f>
        <v>1.35691646228704</v>
      </c>
      <c r="F602" s="14" t="n">
        <f aca="false">IF(C602="","",C602/B602)</f>
        <v>193.01</v>
      </c>
      <c r="G602" s="12" t="str">
        <f aca="false">IF(F602="","",IF(F602&lt;100,"Menos de 100 USD",IF(F602&lt;500,"100 a 500 USD",IF(F602&lt;2000,"500 a 2.000 USD","Más de 2.000 USD"))))</f>
        <v>100 a 500 USD</v>
      </c>
      <c r="H602" s="14" t="n">
        <f aca="false">IF(C602="","",MIN(D602,C602))</f>
        <v>3644.99385</v>
      </c>
    </row>
    <row r="603" customFormat="false" ht="15" hidden="false" customHeight="true" outlineLevel="0" collapsed="false">
      <c r="A603" s="12" t="s">
        <v>1861</v>
      </c>
      <c r="B603" s="14" t="n">
        <v>18.885</v>
      </c>
      <c r="C603" s="14" t="n">
        <f aca="false">IF('MRR Conglomerado'!AH603&gt;0,'MRR Conglomerado'!AH603,"")</f>
        <v>4260.0783</v>
      </c>
      <c r="D603" s="14" t="n">
        <f aca="false">IF(C603="","",'MRR Conglomerado'!AT603)</f>
        <v>4230.311736</v>
      </c>
      <c r="E603" s="15" t="n">
        <f aca="false">IF(C603="","",D603/C603)</f>
        <v>0.993012672091027</v>
      </c>
      <c r="F603" s="14" t="n">
        <f aca="false">IF(C603="","",C603/B603)</f>
        <v>225.58</v>
      </c>
      <c r="G603" s="12" t="str">
        <f aca="false">IF(F603="","",IF(F603&lt;100,"Menos de 100 USD",IF(F603&lt;500,"100 a 500 USD",IF(F603&lt;2000,"500 a 2.000 USD","Más de 2.000 USD"))))</f>
        <v>100 a 500 USD</v>
      </c>
      <c r="H603" s="14" t="n">
        <f aca="false">IF(C603="","",MIN(D603,C603))</f>
        <v>4230.311736</v>
      </c>
    </row>
    <row r="604" customFormat="false" ht="15" hidden="false" customHeight="true" outlineLevel="0" collapsed="false">
      <c r="A604" s="12" t="s">
        <v>1864</v>
      </c>
      <c r="B604" s="14" t="n">
        <v>18.885</v>
      </c>
      <c r="C604" s="14" t="str">
        <f aca="false">IF('MRR Conglomerado'!AH604&gt;0,'MRR Conglomerado'!AH604,"")</f>
        <v/>
      </c>
      <c r="D604" s="14" t="str">
        <f aca="false">IF(C604="","",'MRR Conglomerado'!AT604)</f>
        <v/>
      </c>
      <c r="E604" s="15" t="str">
        <f aca="false">IF(C604="","",D604/C604)</f>
        <v/>
      </c>
      <c r="F604" s="14" t="str">
        <f aca="false">IF(C604="","",C604/B604)</f>
        <v/>
      </c>
      <c r="G604" s="12" t="str">
        <f aca="false">IF(F604="","",IF(F604&lt;100,"Menos de 100 USD",IF(F604&lt;500,"100 a 500 USD",IF(F604&lt;2000,"500 a 2.000 USD","Más de 2.000 USD"))))</f>
        <v/>
      </c>
      <c r="H604" s="14" t="str">
        <f aca="false">IF(C604="","",MIN(D604,C604))</f>
        <v/>
      </c>
    </row>
    <row r="605" customFormat="false" ht="15" hidden="false" customHeight="true" outlineLevel="0" collapsed="false">
      <c r="A605" s="12" t="s">
        <v>1867</v>
      </c>
      <c r="B605" s="14" t="n">
        <v>18.885</v>
      </c>
      <c r="C605" s="14" t="str">
        <f aca="false">IF('MRR Conglomerado'!AH605&gt;0,'MRR Conglomerado'!AH605,"")</f>
        <v/>
      </c>
      <c r="D605" s="14" t="str">
        <f aca="false">IF(C605="","",'MRR Conglomerado'!AT605)</f>
        <v/>
      </c>
      <c r="E605" s="15" t="str">
        <f aca="false">IF(C605="","",D605/C605)</f>
        <v/>
      </c>
      <c r="F605" s="14" t="str">
        <f aca="false">IF(C605="","",C605/B605)</f>
        <v/>
      </c>
      <c r="G605" s="12" t="str">
        <f aca="false">IF(F605="","",IF(F605&lt;100,"Menos de 100 USD",IF(F605&lt;500,"100 a 500 USD",IF(F605&lt;2000,"500 a 2.000 USD","Más de 2.000 USD"))))</f>
        <v/>
      </c>
      <c r="H605" s="14" t="str">
        <f aca="false">IF(C605="","",MIN(D605,C605))</f>
        <v/>
      </c>
    </row>
    <row r="606" customFormat="false" ht="15" hidden="false" customHeight="true" outlineLevel="0" collapsed="false">
      <c r="A606" s="12" t="s">
        <v>1870</v>
      </c>
      <c r="B606" s="14" t="n">
        <v>18.885</v>
      </c>
      <c r="C606" s="14" t="n">
        <f aca="false">IF('MRR Conglomerado'!AH606&gt;0,'MRR Conglomerado'!AH606,"")</f>
        <v>720.08505</v>
      </c>
      <c r="D606" s="14" t="n">
        <f aca="false">IF(C606="","",'MRR Conglomerado'!AT606)</f>
        <v>4230.311736</v>
      </c>
      <c r="E606" s="15" t="n">
        <f aca="false">IF(C606="","",D606/C606)</f>
        <v>5.87473901312074</v>
      </c>
      <c r="F606" s="14" t="n">
        <f aca="false">IF(C606="","",C606/B606)</f>
        <v>38.13</v>
      </c>
      <c r="G606" s="12" t="str">
        <f aca="false">IF(F606="","",IF(F606&lt;100,"Menos de 100 USD",IF(F606&lt;500,"100 a 500 USD",IF(F606&lt;2000,"500 a 2.000 USD","Más de 2.000 USD"))))</f>
        <v>Menos de 100 USD</v>
      </c>
      <c r="H606" s="14" t="n">
        <f aca="false">IF(C606="","",MIN(D606,C606))</f>
        <v>720.08505</v>
      </c>
    </row>
    <row r="607" customFormat="false" ht="15" hidden="false" customHeight="true" outlineLevel="0" collapsed="false">
      <c r="A607" s="12" t="s">
        <v>1873</v>
      </c>
      <c r="B607" s="14" t="n">
        <v>18.885</v>
      </c>
      <c r="C607" s="14" t="n">
        <f aca="false">IF('MRR Conglomerado'!AH607&gt;0,'MRR Conglomerado'!AH607,"")</f>
        <v>19109.92035</v>
      </c>
      <c r="D607" s="14" t="n">
        <f aca="false">IF(C607="","",'MRR Conglomerado'!AT607)</f>
        <v>22150.374992</v>
      </c>
      <c r="E607" s="15" t="n">
        <f aca="false">IF(C607="","",D607/C607)</f>
        <v>1.1591034701513</v>
      </c>
      <c r="F607" s="14" t="n">
        <f aca="false">IF(C607="","",C607/B607)</f>
        <v>1011.91</v>
      </c>
      <c r="G607" s="12" t="str">
        <f aca="false">IF(F607="","",IF(F607&lt;100,"Menos de 100 USD",IF(F607&lt;500,"100 a 500 USD",IF(F607&lt;2000,"500 a 2.000 USD","Más de 2.000 USD"))))</f>
        <v>500 a 2.000 USD</v>
      </c>
      <c r="H607" s="14" t="n">
        <f aca="false">IF(C607="","",MIN(D607,C607))</f>
        <v>19109.92035</v>
      </c>
    </row>
    <row r="608" customFormat="false" ht="15" hidden="false" customHeight="true" outlineLevel="0" collapsed="false">
      <c r="A608" s="12" t="s">
        <v>1876</v>
      </c>
      <c r="B608" s="14" t="n">
        <v>18.885</v>
      </c>
      <c r="C608" s="14" t="str">
        <f aca="false">IF('MRR Conglomerado'!AH608&gt;0,'MRR Conglomerado'!AH608,"")</f>
        <v/>
      </c>
      <c r="D608" s="14" t="str">
        <f aca="false">IF(C608="","",'MRR Conglomerado'!AT608)</f>
        <v/>
      </c>
      <c r="E608" s="15" t="str">
        <f aca="false">IF(C608="","",D608/C608)</f>
        <v/>
      </c>
      <c r="F608" s="14" t="str">
        <f aca="false">IF(C608="","",C608/B608)</f>
        <v/>
      </c>
      <c r="G608" s="12" t="str">
        <f aca="false">IF(F608="","",IF(F608&lt;100,"Menos de 100 USD",IF(F608&lt;500,"100 a 500 USD",IF(F608&lt;2000,"500 a 2.000 USD","Más de 2.000 USD"))))</f>
        <v/>
      </c>
      <c r="H608" s="14" t="str">
        <f aca="false">IF(C608="","",MIN(D608,C608))</f>
        <v/>
      </c>
    </row>
    <row r="609" customFormat="false" ht="15" hidden="false" customHeight="true" outlineLevel="0" collapsed="false">
      <c r="A609" s="12" t="s">
        <v>1879</v>
      </c>
      <c r="B609" s="14" t="n">
        <v>18.885</v>
      </c>
      <c r="C609" s="14" t="str">
        <f aca="false">IF('MRR Conglomerado'!AH609&gt;0,'MRR Conglomerado'!AH609,"")</f>
        <v/>
      </c>
      <c r="D609" s="14" t="str">
        <f aca="false">IF(C609="","",'MRR Conglomerado'!AT609)</f>
        <v/>
      </c>
      <c r="E609" s="15" t="str">
        <f aca="false">IF(C609="","",D609/C609)</f>
        <v/>
      </c>
      <c r="F609" s="14" t="str">
        <f aca="false">IF(C609="","",C609/B609)</f>
        <v/>
      </c>
      <c r="G609" s="12" t="str">
        <f aca="false">IF(F609="","",IF(F609&lt;100,"Menos de 100 USD",IF(F609&lt;500,"100 a 500 USD",IF(F609&lt;2000,"500 a 2.000 USD","Más de 2.000 USD"))))</f>
        <v/>
      </c>
      <c r="H609" s="14" t="str">
        <f aca="false">IF(C609="","",MIN(D609,C609))</f>
        <v/>
      </c>
    </row>
    <row r="610" customFormat="false" ht="15" hidden="false" customHeight="true" outlineLevel="0" collapsed="false">
      <c r="A610" s="12" t="s">
        <v>1882</v>
      </c>
      <c r="B610" s="14" t="n">
        <v>18.885</v>
      </c>
      <c r="C610" s="14" t="n">
        <f aca="false">IF('MRR Conglomerado'!AH610&gt;0,'MRR Conglomerado'!AH610,"")</f>
        <v>1300.60995</v>
      </c>
      <c r="D610" s="14" t="n">
        <f aca="false">IF(C610="","",'MRR Conglomerado'!AT610)</f>
        <v>0</v>
      </c>
      <c r="E610" s="15" t="n">
        <f aca="false">IF(C610="","",D610/C610)</f>
        <v>0</v>
      </c>
      <c r="F610" s="14" t="n">
        <f aca="false">IF(C610="","",C610/B610)</f>
        <v>68.87</v>
      </c>
      <c r="G610" s="12" t="str">
        <f aca="false">IF(F610="","",IF(F610&lt;100,"Menos de 100 USD",IF(F610&lt;500,"100 a 500 USD",IF(F610&lt;2000,"500 a 2.000 USD","Más de 2.000 USD"))))</f>
        <v>Menos de 100 USD</v>
      </c>
      <c r="H610" s="14" t="n">
        <f aca="false">IF(C610="","",MIN(D610,C610))</f>
        <v>0</v>
      </c>
    </row>
    <row r="611" customFormat="false" ht="15" hidden="false" customHeight="true" outlineLevel="0" collapsed="false">
      <c r="A611" s="12" t="s">
        <v>1885</v>
      </c>
      <c r="B611" s="14" t="n">
        <v>18.885</v>
      </c>
      <c r="C611" s="14" t="n">
        <f aca="false">IF('MRR Conglomerado'!AH611&gt;0,'MRR Conglomerado'!AH611,"")</f>
        <v>9321.44715</v>
      </c>
      <c r="D611" s="14" t="n">
        <f aca="false">IF(C611="","",'MRR Conglomerado'!AT611)</f>
        <v>12125.98356</v>
      </c>
      <c r="E611" s="15" t="n">
        <f aca="false">IF(C611="","",D611/C611)</f>
        <v>1.30086920677333</v>
      </c>
      <c r="F611" s="14" t="n">
        <f aca="false">IF(C611="","",C611/B611)</f>
        <v>493.59</v>
      </c>
      <c r="G611" s="12" t="str">
        <f aca="false">IF(F611="","",IF(F611&lt;100,"Menos de 100 USD",IF(F611&lt;500,"100 a 500 USD",IF(F611&lt;2000,"500 a 2.000 USD","Más de 2.000 USD"))))</f>
        <v>100 a 500 USD</v>
      </c>
      <c r="H611" s="14" t="n">
        <f aca="false">IF(C611="","",MIN(D611,C611))</f>
        <v>9321.44715</v>
      </c>
    </row>
    <row r="612" customFormat="false" ht="15" hidden="false" customHeight="true" outlineLevel="0" collapsed="false">
      <c r="A612" s="12" t="s">
        <v>1888</v>
      </c>
      <c r="B612" s="14" t="n">
        <v>18.885</v>
      </c>
      <c r="C612" s="14" t="n">
        <f aca="false">IF('MRR Conglomerado'!AH612&gt;0,'MRR Conglomerado'!AH612,"")</f>
        <v>2006.90895</v>
      </c>
      <c r="D612" s="14" t="n">
        <f aca="false">IF(C612="","",'MRR Conglomerado'!AT612)</f>
        <v>2150.421592</v>
      </c>
      <c r="E612" s="15" t="n">
        <f aca="false">IF(C612="","",D612/C612)</f>
        <v>1.07150929393185</v>
      </c>
      <c r="F612" s="14" t="n">
        <f aca="false">IF(C612="","",C612/B612)</f>
        <v>106.27</v>
      </c>
      <c r="G612" s="12" t="str">
        <f aca="false">IF(F612="","",IF(F612&lt;100,"Menos de 100 USD",IF(F612&lt;500,"100 a 500 USD",IF(F612&lt;2000,"500 a 2.000 USD","Más de 2.000 USD"))))</f>
        <v>100 a 500 USD</v>
      </c>
      <c r="H612" s="14" t="n">
        <f aca="false">IF(C612="","",MIN(D612,C612))</f>
        <v>2006.90895</v>
      </c>
    </row>
    <row r="613" customFormat="false" ht="15" hidden="false" customHeight="true" outlineLevel="0" collapsed="false">
      <c r="A613" s="12" t="s">
        <v>1891</v>
      </c>
      <c r="B613" s="14" t="n">
        <v>18.885</v>
      </c>
      <c r="C613" s="14" t="str">
        <f aca="false">IF('MRR Conglomerado'!AH613&gt;0,'MRR Conglomerado'!AH613,"")</f>
        <v/>
      </c>
      <c r="D613" s="14" t="str">
        <f aca="false">IF(C613="","",'MRR Conglomerado'!AT613)</f>
        <v/>
      </c>
      <c r="E613" s="15" t="str">
        <f aca="false">IF(C613="","",D613/C613)</f>
        <v/>
      </c>
      <c r="F613" s="14" t="str">
        <f aca="false">IF(C613="","",C613/B613)</f>
        <v/>
      </c>
      <c r="G613" s="12" t="str">
        <f aca="false">IF(F613="","",IF(F613&lt;100,"Menos de 100 USD",IF(F613&lt;500,"100 a 500 USD",IF(F613&lt;2000,"500 a 2.000 USD","Más de 2.000 USD"))))</f>
        <v/>
      </c>
      <c r="H613" s="14" t="str">
        <f aca="false">IF(C613="","",MIN(D613,C613))</f>
        <v/>
      </c>
    </row>
    <row r="614" customFormat="false" ht="15" hidden="false" customHeight="true" outlineLevel="0" collapsed="false">
      <c r="A614" s="12" t="s">
        <v>1894</v>
      </c>
      <c r="B614" s="14" t="n">
        <v>18.885</v>
      </c>
      <c r="C614" s="14" t="str">
        <f aca="false">IF('MRR Conglomerado'!AH614&gt;0,'MRR Conglomerado'!AH614,"")</f>
        <v/>
      </c>
      <c r="D614" s="14" t="str">
        <f aca="false">IF(C614="","",'MRR Conglomerado'!AT614)</f>
        <v/>
      </c>
      <c r="E614" s="15" t="str">
        <f aca="false">IF(C614="","",D614/C614)</f>
        <v/>
      </c>
      <c r="F614" s="14" t="str">
        <f aca="false">IF(C614="","",C614/B614)</f>
        <v/>
      </c>
      <c r="G614" s="12" t="str">
        <f aca="false">IF(F614="","",IF(F614&lt;100,"Menos de 100 USD",IF(F614&lt;500,"100 a 500 USD",IF(F614&lt;2000,"500 a 2.000 USD","Más de 2.000 USD"))))</f>
        <v/>
      </c>
      <c r="H614" s="14" t="str">
        <f aca="false">IF(C614="","",MIN(D614,C614))</f>
        <v/>
      </c>
    </row>
    <row r="615" customFormat="false" ht="15" hidden="false" customHeight="true" outlineLevel="0" collapsed="false">
      <c r="A615" s="12" t="s">
        <v>1897</v>
      </c>
      <c r="B615" s="14" t="n">
        <v>18.885</v>
      </c>
      <c r="C615" s="14" t="str">
        <f aca="false">IF('MRR Conglomerado'!AH615&gt;0,'MRR Conglomerado'!AH615,"")</f>
        <v/>
      </c>
      <c r="D615" s="14" t="str">
        <f aca="false">IF(C615="","",'MRR Conglomerado'!AT615)</f>
        <v/>
      </c>
      <c r="E615" s="15" t="str">
        <f aca="false">IF(C615="","",D615/C615)</f>
        <v/>
      </c>
      <c r="F615" s="14" t="str">
        <f aca="false">IF(C615="","",C615/B615)</f>
        <v/>
      </c>
      <c r="G615" s="12" t="str">
        <f aca="false">IF(F615="","",IF(F615&lt;100,"Menos de 100 USD",IF(F615&lt;500,"100 a 500 USD",IF(F615&lt;2000,"500 a 2.000 USD","Más de 2.000 USD"))))</f>
        <v/>
      </c>
      <c r="H615" s="14" t="str">
        <f aca="false">IF(C615="","",MIN(D615,C615))</f>
        <v/>
      </c>
    </row>
    <row r="616" customFormat="false" ht="15" hidden="false" customHeight="true" outlineLevel="0" collapsed="false">
      <c r="A616" s="12" t="s">
        <v>1900</v>
      </c>
      <c r="B616" s="14" t="n">
        <v>18.885</v>
      </c>
      <c r="C616" s="14" t="n">
        <f aca="false">IF('MRR Conglomerado'!AH616&gt;0,'MRR Conglomerado'!AH616,"")</f>
        <v>781.65015</v>
      </c>
      <c r="D616" s="14" t="n">
        <f aca="false">IF(C616="","",'MRR Conglomerado'!AT616)</f>
        <v>810.499096</v>
      </c>
      <c r="E616" s="15" t="n">
        <f aca="false">IF(C616="","",D616/C616)</f>
        <v>1.03690774702723</v>
      </c>
      <c r="F616" s="14" t="n">
        <f aca="false">IF(C616="","",C616/B616)</f>
        <v>41.39</v>
      </c>
      <c r="G616" s="12" t="str">
        <f aca="false">IF(F616="","",IF(F616&lt;100,"Menos de 100 USD",IF(F616&lt;500,"100 a 500 USD",IF(F616&lt;2000,"500 a 2.000 USD","Más de 2.000 USD"))))</f>
        <v>Menos de 100 USD</v>
      </c>
      <c r="H616" s="14" t="n">
        <f aca="false">IF(C616="","",MIN(D616,C616))</f>
        <v>781.65015</v>
      </c>
    </row>
    <row r="617" customFormat="false" ht="15" hidden="false" customHeight="true" outlineLevel="0" collapsed="false">
      <c r="A617" s="12" t="s">
        <v>1903</v>
      </c>
      <c r="B617" s="14" t="n">
        <v>18.885</v>
      </c>
      <c r="C617" s="14" t="str">
        <f aca="false">IF('MRR Conglomerado'!AH617&gt;0,'MRR Conglomerado'!AH617,"")</f>
        <v/>
      </c>
      <c r="D617" s="14" t="str">
        <f aca="false">IF(C617="","",'MRR Conglomerado'!AT617)</f>
        <v/>
      </c>
      <c r="E617" s="15" t="str">
        <f aca="false">IF(C617="","",D617/C617)</f>
        <v/>
      </c>
      <c r="F617" s="14" t="str">
        <f aca="false">IF(C617="","",C617/B617)</f>
        <v/>
      </c>
      <c r="G617" s="12" t="str">
        <f aca="false">IF(F617="","",IF(F617&lt;100,"Menos de 100 USD",IF(F617&lt;500,"100 a 500 USD",IF(F617&lt;2000,"500 a 2.000 USD","Más de 2.000 USD"))))</f>
        <v/>
      </c>
      <c r="H617" s="14" t="str">
        <f aca="false">IF(C617="","",MIN(D617,C617))</f>
        <v/>
      </c>
    </row>
    <row r="618" customFormat="false" ht="15" hidden="false" customHeight="true" outlineLevel="0" collapsed="false">
      <c r="A618" s="12" t="s">
        <v>1906</v>
      </c>
      <c r="B618" s="14" t="n">
        <v>18.885</v>
      </c>
      <c r="C618" s="14" t="str">
        <f aca="false">IF('MRR Conglomerado'!AH618&gt;0,'MRR Conglomerado'!AH618,"")</f>
        <v/>
      </c>
      <c r="D618" s="14" t="str">
        <f aca="false">IF(C618="","",'MRR Conglomerado'!AT618)</f>
        <v/>
      </c>
      <c r="E618" s="15" t="str">
        <f aca="false">IF(C618="","",D618/C618)</f>
        <v/>
      </c>
      <c r="F618" s="14" t="str">
        <f aca="false">IF(C618="","",C618/B618)</f>
        <v/>
      </c>
      <c r="G618" s="12" t="str">
        <f aca="false">IF(F618="","",IF(F618&lt;100,"Menos de 100 USD",IF(F618&lt;500,"100 a 500 USD",IF(F618&lt;2000,"500 a 2.000 USD","Más de 2.000 USD"))))</f>
        <v/>
      </c>
      <c r="H618" s="14" t="str">
        <f aca="false">IF(C618="","",MIN(D618,C618))</f>
        <v/>
      </c>
    </row>
    <row r="619" customFormat="false" ht="15" hidden="false" customHeight="true" outlineLevel="0" collapsed="false">
      <c r="A619" s="12" t="s">
        <v>1909</v>
      </c>
      <c r="B619" s="14" t="n">
        <v>18.885</v>
      </c>
      <c r="C619" s="14" t="str">
        <f aca="false">IF('MRR Conglomerado'!AH619&gt;0,'MRR Conglomerado'!AH619,"")</f>
        <v/>
      </c>
      <c r="D619" s="14" t="str">
        <f aca="false">IF(C619="","",'MRR Conglomerado'!AT619)</f>
        <v/>
      </c>
      <c r="E619" s="15" t="str">
        <f aca="false">IF(C619="","",D619/C619)</f>
        <v/>
      </c>
      <c r="F619" s="14" t="str">
        <f aca="false">IF(C619="","",C619/B619)</f>
        <v/>
      </c>
      <c r="G619" s="12" t="str">
        <f aca="false">IF(F619="","",IF(F619&lt;100,"Menos de 100 USD",IF(F619&lt;500,"100 a 500 USD",IF(F619&lt;2000,"500 a 2.000 USD","Más de 2.000 USD"))))</f>
        <v/>
      </c>
      <c r="H619" s="14" t="str">
        <f aca="false">IF(C619="","",MIN(D619,C619))</f>
        <v/>
      </c>
    </row>
    <row r="620" customFormat="false" ht="15" hidden="false" customHeight="true" outlineLevel="0" collapsed="false">
      <c r="A620" s="12" t="s">
        <v>1912</v>
      </c>
      <c r="B620" s="14" t="n">
        <v>18.885</v>
      </c>
      <c r="C620" s="14" t="str">
        <f aca="false">IF('MRR Conglomerado'!AH620&gt;0,'MRR Conglomerado'!AH620,"")</f>
        <v/>
      </c>
      <c r="D620" s="14" t="str">
        <f aca="false">IF(C620="","",'MRR Conglomerado'!AT620)</f>
        <v/>
      </c>
      <c r="E620" s="15" t="str">
        <f aca="false">IF(C620="","",D620/C620)</f>
        <v/>
      </c>
      <c r="F620" s="14" t="str">
        <f aca="false">IF(C620="","",C620/B620)</f>
        <v/>
      </c>
      <c r="G620" s="12" t="str">
        <f aca="false">IF(F620="","",IF(F620&lt;100,"Menos de 100 USD",IF(F620&lt;500,"100 a 500 USD",IF(F620&lt;2000,"500 a 2.000 USD","Más de 2.000 USD"))))</f>
        <v/>
      </c>
      <c r="H620" s="14" t="str">
        <f aca="false">IF(C620="","",MIN(D620,C620))</f>
        <v/>
      </c>
    </row>
    <row r="621" customFormat="false" ht="15" hidden="false" customHeight="true" outlineLevel="0" collapsed="false">
      <c r="A621" s="12" t="s">
        <v>1915</v>
      </c>
      <c r="B621" s="14" t="n">
        <v>18.885</v>
      </c>
      <c r="C621" s="14" t="n">
        <f aca="false">IF('MRR Conglomerado'!AH621&gt;0,'MRR Conglomerado'!AH621,"")</f>
        <v>3524.3187</v>
      </c>
      <c r="D621" s="14" t="n">
        <f aca="false">IF(C621="","",'MRR Conglomerado'!AT621)</f>
        <v>739.092568</v>
      </c>
      <c r="E621" s="15" t="n">
        <f aca="false">IF(C621="","",D621/C621)</f>
        <v>0.209712182953261</v>
      </c>
      <c r="F621" s="14" t="n">
        <f aca="false">IF(C621="","",C621/B621)</f>
        <v>186.62</v>
      </c>
      <c r="G621" s="12" t="str">
        <f aca="false">IF(F621="","",IF(F621&lt;100,"Menos de 100 USD",IF(F621&lt;500,"100 a 500 USD",IF(F621&lt;2000,"500 a 2.000 USD","Más de 2.000 USD"))))</f>
        <v>100 a 500 USD</v>
      </c>
      <c r="H621" s="14" t="n">
        <f aca="false">IF(C621="","",MIN(D621,C621))</f>
        <v>739.092568</v>
      </c>
    </row>
    <row r="622" customFormat="false" ht="15" hidden="false" customHeight="true" outlineLevel="0" collapsed="false">
      <c r="A622" s="12" t="s">
        <v>1918</v>
      </c>
      <c r="B622" s="14" t="n">
        <v>18.885</v>
      </c>
      <c r="C622" s="14" t="str">
        <f aca="false">IF('MRR Conglomerado'!AH622&gt;0,'MRR Conglomerado'!AH622,"")</f>
        <v/>
      </c>
      <c r="D622" s="14" t="str">
        <f aca="false">IF(C622="","",'MRR Conglomerado'!AT622)</f>
        <v/>
      </c>
      <c r="E622" s="15" t="str">
        <f aca="false">IF(C622="","",D622/C622)</f>
        <v/>
      </c>
      <c r="F622" s="14" t="str">
        <f aca="false">IF(C622="","",C622/B622)</f>
        <v/>
      </c>
      <c r="G622" s="12" t="str">
        <f aca="false">IF(F622="","",IF(F622&lt;100,"Menos de 100 USD",IF(F622&lt;500,"100 a 500 USD",IF(F622&lt;2000,"500 a 2.000 USD","Más de 2.000 USD"))))</f>
        <v/>
      </c>
      <c r="H622" s="14" t="str">
        <f aca="false">IF(C622="","",MIN(D622,C622))</f>
        <v/>
      </c>
    </row>
    <row r="623" customFormat="false" ht="15" hidden="false" customHeight="true" outlineLevel="0" collapsed="false">
      <c r="A623" s="12" t="s">
        <v>1921</v>
      </c>
      <c r="B623" s="14" t="n">
        <v>18.885</v>
      </c>
      <c r="C623" s="14" t="str">
        <f aca="false">IF('MRR Conglomerado'!AH623&gt;0,'MRR Conglomerado'!AH623,"")</f>
        <v/>
      </c>
      <c r="D623" s="14" t="str">
        <f aca="false">IF(C623="","",'MRR Conglomerado'!AT623)</f>
        <v/>
      </c>
      <c r="E623" s="15" t="str">
        <f aca="false">IF(C623="","",D623/C623)</f>
        <v/>
      </c>
      <c r="F623" s="14" t="str">
        <f aca="false">IF(C623="","",C623/B623)</f>
        <v/>
      </c>
      <c r="G623" s="12" t="str">
        <f aca="false">IF(F623="","",IF(F623&lt;100,"Menos de 100 USD",IF(F623&lt;500,"100 a 500 USD",IF(F623&lt;2000,"500 a 2.000 USD","Más de 2.000 USD"))))</f>
        <v/>
      </c>
      <c r="H623" s="14" t="str">
        <f aca="false">IF(C623="","",MIN(D623,C623))</f>
        <v/>
      </c>
    </row>
    <row r="624" customFormat="false" ht="15" hidden="false" customHeight="true" outlineLevel="0" collapsed="false">
      <c r="A624" s="12" t="s">
        <v>1924</v>
      </c>
      <c r="B624" s="14" t="n">
        <v>18.885</v>
      </c>
      <c r="C624" s="14" t="str">
        <f aca="false">IF('MRR Conglomerado'!AH624&gt;0,'MRR Conglomerado'!AH624,"")</f>
        <v/>
      </c>
      <c r="D624" s="14" t="str">
        <f aca="false">IF(C624="","",'MRR Conglomerado'!AT624)</f>
        <v/>
      </c>
      <c r="E624" s="15" t="str">
        <f aca="false">IF(C624="","",D624/C624)</f>
        <v/>
      </c>
      <c r="F624" s="14" t="str">
        <f aca="false">IF(C624="","",C624/B624)</f>
        <v/>
      </c>
      <c r="G624" s="12" t="str">
        <f aca="false">IF(F624="","",IF(F624&lt;100,"Menos de 100 USD",IF(F624&lt;500,"100 a 500 USD",IF(F624&lt;2000,"500 a 2.000 USD","Más de 2.000 USD"))))</f>
        <v/>
      </c>
      <c r="H624" s="14" t="str">
        <f aca="false">IF(C624="","",MIN(D624,C624))</f>
        <v/>
      </c>
    </row>
    <row r="625" customFormat="false" ht="15" hidden="false" customHeight="true" outlineLevel="0" collapsed="false">
      <c r="A625" s="12" t="s">
        <v>1927</v>
      </c>
      <c r="B625" s="14" t="n">
        <v>18.885</v>
      </c>
      <c r="C625" s="14" t="n">
        <f aca="false">IF('MRR Conglomerado'!AH625&gt;0,'MRR Conglomerado'!AH625,"")</f>
        <v>521.03715</v>
      </c>
      <c r="D625" s="14" t="n">
        <f aca="false">IF(C625="","",'MRR Conglomerado'!AT625)</f>
        <v>0</v>
      </c>
      <c r="E625" s="15" t="n">
        <f aca="false">IF(C625="","",D625/C625)</f>
        <v>0</v>
      </c>
      <c r="F625" s="14" t="n">
        <f aca="false">IF(C625="","",C625/B625)</f>
        <v>27.59</v>
      </c>
      <c r="G625" s="12" t="str">
        <f aca="false">IF(F625="","",IF(F625&lt;100,"Menos de 100 USD",IF(F625&lt;500,"100 a 500 USD",IF(F625&lt;2000,"500 a 2.000 USD","Más de 2.000 USD"))))</f>
        <v>Menos de 100 USD</v>
      </c>
      <c r="H625" s="14" t="n">
        <f aca="false">IF(C625="","",MIN(D625,C625))</f>
        <v>0</v>
      </c>
    </row>
    <row r="626" customFormat="false" ht="15" hidden="false" customHeight="true" outlineLevel="0" collapsed="false">
      <c r="A626" s="12" t="s">
        <v>1930</v>
      </c>
      <c r="B626" s="14" t="n">
        <v>18.885</v>
      </c>
      <c r="C626" s="14" t="str">
        <f aca="false">IF('MRR Conglomerado'!AH626&gt;0,'MRR Conglomerado'!AH626,"")</f>
        <v/>
      </c>
      <c r="D626" s="14" t="str">
        <f aca="false">IF(C626="","",'MRR Conglomerado'!AT626)</f>
        <v/>
      </c>
      <c r="E626" s="15" t="str">
        <f aca="false">IF(C626="","",D626/C626)</f>
        <v/>
      </c>
      <c r="F626" s="14" t="str">
        <f aca="false">IF(C626="","",C626/B626)</f>
        <v/>
      </c>
      <c r="G626" s="12" t="str">
        <f aca="false">IF(F626="","",IF(F626&lt;100,"Menos de 100 USD",IF(F626&lt;500,"100 a 500 USD",IF(F626&lt;2000,"500 a 2.000 USD","Más de 2.000 USD"))))</f>
        <v/>
      </c>
      <c r="H626" s="14" t="str">
        <f aca="false">IF(C626="","",MIN(D626,C626))</f>
        <v/>
      </c>
    </row>
    <row r="627" customFormat="false" ht="15" hidden="false" customHeight="true" outlineLevel="0" collapsed="false">
      <c r="A627" s="12" t="s">
        <v>1933</v>
      </c>
      <c r="B627" s="14" t="n">
        <v>18.885</v>
      </c>
      <c r="C627" s="14" t="n">
        <f aca="false">IF('MRR Conglomerado'!AH627&gt;0,'MRR Conglomerado'!AH627,"")</f>
        <v>1797.66315</v>
      </c>
      <c r="D627" s="14" t="n">
        <f aca="false">IF(C627="","",'MRR Conglomerado'!AT627)</f>
        <v>1620.823176</v>
      </c>
      <c r="E627" s="15" t="n">
        <f aca="false">IF(C627="","",D627/C627)</f>
        <v>0.901627858367125</v>
      </c>
      <c r="F627" s="14" t="n">
        <f aca="false">IF(C627="","",C627/B627)</f>
        <v>95.19</v>
      </c>
      <c r="G627" s="12" t="str">
        <f aca="false">IF(F627="","",IF(F627&lt;100,"Menos de 100 USD",IF(F627&lt;500,"100 a 500 USD",IF(F627&lt;2000,"500 a 2.000 USD","Más de 2.000 USD"))))</f>
        <v>Menos de 100 USD</v>
      </c>
      <c r="H627" s="14" t="n">
        <f aca="false">IF(C627="","",MIN(D627,C627))</f>
        <v>1620.823176</v>
      </c>
    </row>
    <row r="628" customFormat="false" ht="15" hidden="false" customHeight="true" outlineLevel="0" collapsed="false">
      <c r="A628" s="12" t="s">
        <v>1936</v>
      </c>
      <c r="B628" s="14" t="n">
        <v>18.885</v>
      </c>
      <c r="C628" s="14" t="str">
        <f aca="false">IF('MRR Conglomerado'!AH628&gt;0,'MRR Conglomerado'!AH628,"")</f>
        <v/>
      </c>
      <c r="D628" s="14" t="str">
        <f aca="false">IF(C628="","",'MRR Conglomerado'!AT628)</f>
        <v/>
      </c>
      <c r="E628" s="15" t="str">
        <f aca="false">IF(C628="","",D628/C628)</f>
        <v/>
      </c>
      <c r="F628" s="14" t="str">
        <f aca="false">IF(C628="","",C628/B628)</f>
        <v/>
      </c>
      <c r="G628" s="12" t="str">
        <f aca="false">IF(F628="","",IF(F628&lt;100,"Menos de 100 USD",IF(F628&lt;500,"100 a 500 USD",IF(F628&lt;2000,"500 a 2.000 USD","Más de 2.000 USD"))))</f>
        <v/>
      </c>
      <c r="H628" s="14" t="str">
        <f aca="false">IF(C628="","",MIN(D628,C628))</f>
        <v/>
      </c>
    </row>
    <row r="629" customFormat="false" ht="15" hidden="false" customHeight="true" outlineLevel="0" collapsed="false">
      <c r="A629" s="12" t="s">
        <v>1939</v>
      </c>
      <c r="B629" s="14" t="n">
        <v>18.885</v>
      </c>
      <c r="C629" s="14" t="str">
        <f aca="false">IF('MRR Conglomerado'!AH629&gt;0,'MRR Conglomerado'!AH629,"")</f>
        <v/>
      </c>
      <c r="D629" s="14" t="str">
        <f aca="false">IF(C629="","",'MRR Conglomerado'!AT629)</f>
        <v/>
      </c>
      <c r="E629" s="15" t="str">
        <f aca="false">IF(C629="","",D629/C629)</f>
        <v/>
      </c>
      <c r="F629" s="14" t="str">
        <f aca="false">IF(C629="","",C629/B629)</f>
        <v/>
      </c>
      <c r="G629" s="12" t="str">
        <f aca="false">IF(F629="","",IF(F629&lt;100,"Menos de 100 USD",IF(F629&lt;500,"100 a 500 USD",IF(F629&lt;2000,"500 a 2.000 USD","Más de 2.000 USD"))))</f>
        <v/>
      </c>
      <c r="H629" s="14" t="str">
        <f aca="false">IF(C629="","",MIN(D629,C629))</f>
        <v/>
      </c>
    </row>
    <row r="630" customFormat="false" ht="15" hidden="false" customHeight="true" outlineLevel="0" collapsed="false">
      <c r="A630" s="12" t="s">
        <v>1942</v>
      </c>
      <c r="B630" s="14" t="n">
        <v>18.885</v>
      </c>
      <c r="C630" s="14" t="n">
        <f aca="false">IF('MRR Conglomerado'!AH630&gt;0,'MRR Conglomerado'!AH630,"")</f>
        <v>8693.1432</v>
      </c>
      <c r="D630" s="14" t="n">
        <f aca="false">IF(C630="","",'MRR Conglomerado'!AT630)</f>
        <v>0</v>
      </c>
      <c r="E630" s="15" t="n">
        <f aca="false">IF(C630="","",D630/C630)</f>
        <v>0</v>
      </c>
      <c r="F630" s="14" t="n">
        <f aca="false">IF(C630="","",C630/B630)</f>
        <v>460.32</v>
      </c>
      <c r="G630" s="12" t="str">
        <f aca="false">IF(F630="","",IF(F630&lt;100,"Menos de 100 USD",IF(F630&lt;500,"100 a 500 USD",IF(F630&lt;2000,"500 a 2.000 USD","Más de 2.000 USD"))))</f>
        <v>100 a 500 USD</v>
      </c>
      <c r="H630" s="14" t="n">
        <f aca="false">IF(C630="","",MIN(D630,C630))</f>
        <v>0</v>
      </c>
    </row>
    <row r="631" customFormat="false" ht="15" hidden="false" customHeight="true" outlineLevel="0" collapsed="false">
      <c r="A631" s="12" t="s">
        <v>1945</v>
      </c>
      <c r="B631" s="14" t="n">
        <v>18.885</v>
      </c>
      <c r="C631" s="14" t="n">
        <f aca="false">IF('MRR Conglomerado'!AH631&gt;0,'MRR Conglomerado'!AH631,"")</f>
        <v>599.97645</v>
      </c>
      <c r="D631" s="14" t="n">
        <f aca="false">IF(C631="","",'MRR Conglomerado'!AT631)</f>
        <v>0</v>
      </c>
      <c r="E631" s="15" t="n">
        <f aca="false">IF(C631="","",D631/C631)</f>
        <v>0</v>
      </c>
      <c r="F631" s="14" t="n">
        <f aca="false">IF(C631="","",C631/B631)</f>
        <v>31.77</v>
      </c>
      <c r="G631" s="12" t="str">
        <f aca="false">IF(F631="","",IF(F631&lt;100,"Menos de 100 USD",IF(F631&lt;500,"100 a 500 USD",IF(F631&lt;2000,"500 a 2.000 USD","Más de 2.000 USD"))))</f>
        <v>Menos de 100 USD</v>
      </c>
      <c r="H631" s="14" t="n">
        <f aca="false">IF(C631="","",MIN(D631,C631))</f>
        <v>0</v>
      </c>
    </row>
    <row r="632" customFormat="false" ht="15" hidden="false" customHeight="true" outlineLevel="0" collapsed="false">
      <c r="A632" s="12" t="s">
        <v>1948</v>
      </c>
      <c r="B632" s="14" t="n">
        <v>18.885</v>
      </c>
      <c r="C632" s="14" t="str">
        <f aca="false">IF('MRR Conglomerado'!AH632&gt;0,'MRR Conglomerado'!AH632,"")</f>
        <v/>
      </c>
      <c r="D632" s="14" t="str">
        <f aca="false">IF(C632="","",'MRR Conglomerado'!AT632)</f>
        <v/>
      </c>
      <c r="E632" s="15" t="str">
        <f aca="false">IF(C632="","",D632/C632)</f>
        <v/>
      </c>
      <c r="F632" s="14" t="str">
        <f aca="false">IF(C632="","",C632/B632)</f>
        <v/>
      </c>
      <c r="G632" s="12" t="str">
        <f aca="false">IF(F632="","",IF(F632&lt;100,"Menos de 100 USD",IF(F632&lt;500,"100 a 500 USD",IF(F632&lt;2000,"500 a 2.000 USD","Más de 2.000 USD"))))</f>
        <v/>
      </c>
      <c r="H632" s="14" t="str">
        <f aca="false">IF(C632="","",MIN(D632,C632))</f>
        <v/>
      </c>
    </row>
    <row r="633" customFormat="false" ht="15" hidden="false" customHeight="true" outlineLevel="0" collapsed="false">
      <c r="A633" s="12" t="s">
        <v>1951</v>
      </c>
      <c r="B633" s="14" t="n">
        <v>18.885</v>
      </c>
      <c r="C633" s="14" t="str">
        <f aca="false">IF('MRR Conglomerado'!AH633&gt;0,'MRR Conglomerado'!AH633,"")</f>
        <v/>
      </c>
      <c r="D633" s="14" t="str">
        <f aca="false">IF(C633="","",'MRR Conglomerado'!AT633)</f>
        <v/>
      </c>
      <c r="E633" s="15" t="str">
        <f aca="false">IF(C633="","",D633/C633)</f>
        <v/>
      </c>
      <c r="F633" s="14" t="str">
        <f aca="false">IF(C633="","",C633/B633)</f>
        <v/>
      </c>
      <c r="G633" s="12" t="str">
        <f aca="false">IF(F633="","",IF(F633&lt;100,"Menos de 100 USD",IF(F633&lt;500,"100 a 500 USD",IF(F633&lt;2000,"500 a 2.000 USD","Más de 2.000 USD"))))</f>
        <v/>
      </c>
      <c r="H633" s="14" t="str">
        <f aca="false">IF(C633="","",MIN(D633,C633))</f>
        <v/>
      </c>
    </row>
    <row r="634" customFormat="false" ht="15" hidden="false" customHeight="true" outlineLevel="0" collapsed="false">
      <c r="A634" s="12" t="s">
        <v>1954</v>
      </c>
      <c r="B634" s="14" t="n">
        <v>18.885</v>
      </c>
      <c r="C634" s="14" t="n">
        <f aca="false">IF('MRR Conglomerado'!AH634&gt;0,'MRR Conglomerado'!AH634,"")</f>
        <v>5395.0668</v>
      </c>
      <c r="D634" s="14" t="n">
        <f aca="false">IF(C634="","",'MRR Conglomerado'!AT634)</f>
        <v>0</v>
      </c>
      <c r="E634" s="15" t="n">
        <f aca="false">IF(C634="","",D634/C634)</f>
        <v>0</v>
      </c>
      <c r="F634" s="14" t="n">
        <f aca="false">IF(C634="","",C634/B634)</f>
        <v>285.68</v>
      </c>
      <c r="G634" s="12" t="str">
        <f aca="false">IF(F634="","",IF(F634&lt;100,"Menos de 100 USD",IF(F634&lt;500,"100 a 500 USD",IF(F634&lt;2000,"500 a 2.000 USD","Más de 2.000 USD"))))</f>
        <v>100 a 500 USD</v>
      </c>
      <c r="H634" s="14" t="n">
        <f aca="false">IF(C634="","",MIN(D634,C634))</f>
        <v>0</v>
      </c>
    </row>
    <row r="635" customFormat="false" ht="15" hidden="false" customHeight="true" outlineLevel="0" collapsed="false">
      <c r="A635" s="12" t="s">
        <v>1957</v>
      </c>
      <c r="B635" s="14" t="n">
        <v>18.885</v>
      </c>
      <c r="C635" s="14" t="str">
        <f aca="false">IF('MRR Conglomerado'!AH635&gt;0,'MRR Conglomerado'!AH635,"")</f>
        <v/>
      </c>
      <c r="D635" s="14" t="str">
        <f aca="false">IF(C635="","",'MRR Conglomerado'!AT635)</f>
        <v/>
      </c>
      <c r="E635" s="15" t="str">
        <f aca="false">IF(C635="","",D635/C635)</f>
        <v/>
      </c>
      <c r="F635" s="14" t="str">
        <f aca="false">IF(C635="","",C635/B635)</f>
        <v/>
      </c>
      <c r="G635" s="12" t="str">
        <f aca="false">IF(F635="","",IF(F635&lt;100,"Menos de 100 USD",IF(F635&lt;500,"100 a 500 USD",IF(F635&lt;2000,"500 a 2.000 USD","Más de 2.000 USD"))))</f>
        <v/>
      </c>
      <c r="H635" s="14" t="str">
        <f aca="false">IF(C635="","",MIN(D635,C635))</f>
        <v/>
      </c>
    </row>
    <row r="636" customFormat="false" ht="15" hidden="false" customHeight="true" outlineLevel="0" collapsed="false">
      <c r="A636" s="12" t="s">
        <v>1960</v>
      </c>
      <c r="B636" s="14" t="n">
        <v>18.885</v>
      </c>
      <c r="C636" s="14" t="n">
        <f aca="false">IF('MRR Conglomerado'!AH636&gt;0,'MRR Conglomerado'!AH636,"")</f>
        <v>1880.00175</v>
      </c>
      <c r="D636" s="14" t="n">
        <f aca="false">IF(C636="","",'MRR Conglomerado'!AT636)</f>
        <v>2160.047472</v>
      </c>
      <c r="E636" s="15" t="n">
        <f aca="false">IF(C636="","",D636/C636)</f>
        <v>1.14896035176563</v>
      </c>
      <c r="F636" s="14" t="n">
        <f aca="false">IF(C636="","",C636/B636)</f>
        <v>99.55</v>
      </c>
      <c r="G636" s="12" t="str">
        <f aca="false">IF(F636="","",IF(F636&lt;100,"Menos de 100 USD",IF(F636&lt;500,"100 a 500 USD",IF(F636&lt;2000,"500 a 2.000 USD","Más de 2.000 USD"))))</f>
        <v>Menos de 100 USD</v>
      </c>
      <c r="H636" s="14" t="n">
        <f aca="false">IF(C636="","",MIN(D636,C636))</f>
        <v>1880.00175</v>
      </c>
    </row>
    <row r="637" customFormat="false" ht="15" hidden="false" customHeight="true" outlineLevel="0" collapsed="false">
      <c r="A637" s="12" t="s">
        <v>1963</v>
      </c>
      <c r="B637" s="14" t="n">
        <v>18.885</v>
      </c>
      <c r="C637" s="14" t="str">
        <f aca="false">IF('MRR Conglomerado'!AH637&gt;0,'MRR Conglomerado'!AH637,"")</f>
        <v/>
      </c>
      <c r="D637" s="14" t="str">
        <f aca="false">IF(C637="","",'MRR Conglomerado'!AT637)</f>
        <v/>
      </c>
      <c r="E637" s="15" t="str">
        <f aca="false">IF(C637="","",D637/C637)</f>
        <v/>
      </c>
      <c r="F637" s="14" t="str">
        <f aca="false">IF(C637="","",C637/B637)</f>
        <v/>
      </c>
      <c r="G637" s="12" t="str">
        <f aca="false">IF(F637="","",IF(F637&lt;100,"Menos de 100 USD",IF(F637&lt;500,"100 a 500 USD",IF(F637&lt;2000,"500 a 2.000 USD","Más de 2.000 USD"))))</f>
        <v/>
      </c>
      <c r="H637" s="14" t="str">
        <f aca="false">IF(C637="","",MIN(D637,C637))</f>
        <v/>
      </c>
    </row>
    <row r="638" customFormat="false" ht="15" hidden="false" customHeight="true" outlineLevel="0" collapsed="false">
      <c r="A638" s="12" t="s">
        <v>1966</v>
      </c>
      <c r="B638" s="14" t="n">
        <v>18.885</v>
      </c>
      <c r="C638" s="14" t="n">
        <f aca="false">IF('MRR Conglomerado'!AH638&gt;0,'MRR Conglomerado'!AH638,"")</f>
        <v>1080.41085</v>
      </c>
      <c r="D638" s="14" t="n">
        <f aca="false">IF(C638="","",'MRR Conglomerado'!AT638)</f>
        <v>1120.277416</v>
      </c>
      <c r="E638" s="15" t="n">
        <f aca="false">IF(C638="","",D638/C638)</f>
        <v>1.03689944987132</v>
      </c>
      <c r="F638" s="14" t="n">
        <f aca="false">IF(C638="","",C638/B638)</f>
        <v>57.21</v>
      </c>
      <c r="G638" s="12" t="str">
        <f aca="false">IF(F638="","",IF(F638&lt;100,"Menos de 100 USD",IF(F638&lt;500,"100 a 500 USD",IF(F638&lt;2000,"500 a 2.000 USD","Más de 2.000 USD"))))</f>
        <v>Menos de 100 USD</v>
      </c>
      <c r="H638" s="14" t="n">
        <f aca="false">IF(C638="","",MIN(D638,C638))</f>
        <v>1080.41085</v>
      </c>
    </row>
    <row r="639" customFormat="false" ht="15" hidden="false" customHeight="true" outlineLevel="0" collapsed="false">
      <c r="A639" s="12" t="s">
        <v>1969</v>
      </c>
      <c r="B639" s="14" t="n">
        <v>18.885</v>
      </c>
      <c r="C639" s="14" t="str">
        <f aca="false">IF('MRR Conglomerado'!AH639&gt;0,'MRR Conglomerado'!AH639,"")</f>
        <v/>
      </c>
      <c r="D639" s="14" t="str">
        <f aca="false">IF(C639="","",'MRR Conglomerado'!AT639)</f>
        <v/>
      </c>
      <c r="E639" s="15" t="str">
        <f aca="false">IF(C639="","",D639/C639)</f>
        <v/>
      </c>
      <c r="F639" s="14" t="str">
        <f aca="false">IF(C639="","",C639/B639)</f>
        <v/>
      </c>
      <c r="G639" s="12" t="str">
        <f aca="false">IF(F639="","",IF(F639&lt;100,"Menos de 100 USD",IF(F639&lt;500,"100 a 500 USD",IF(F639&lt;2000,"500 a 2.000 USD","Más de 2.000 USD"))))</f>
        <v/>
      </c>
      <c r="H639" s="14" t="str">
        <f aca="false">IF(C639="","",MIN(D639,C639))</f>
        <v/>
      </c>
    </row>
    <row r="640" customFormat="false" ht="15" hidden="false" customHeight="true" outlineLevel="0" collapsed="false">
      <c r="A640" s="12" t="s">
        <v>1972</v>
      </c>
      <c r="B640" s="14" t="n">
        <v>18.885</v>
      </c>
      <c r="C640" s="14" t="n">
        <f aca="false">IF('MRR Conglomerado'!AH640&gt;0,'MRR Conglomerado'!AH640,"")</f>
        <v>33528.0513</v>
      </c>
      <c r="D640" s="14" t="n">
        <f aca="false">IF(C640="","",'MRR Conglomerado'!AT640)</f>
        <v>38347.405728</v>
      </c>
      <c r="E640" s="15" t="n">
        <f aca="false">IF(C640="","",D640/C640)</f>
        <v>1.14374096439061</v>
      </c>
      <c r="F640" s="14" t="n">
        <f aca="false">IF(C640="","",C640/B640)</f>
        <v>1775.38</v>
      </c>
      <c r="G640" s="12" t="str">
        <f aca="false">IF(F640="","",IF(F640&lt;100,"Menos de 100 USD",IF(F640&lt;500,"100 a 500 USD",IF(F640&lt;2000,"500 a 2.000 USD","Más de 2.000 USD"))))</f>
        <v>500 a 2.000 USD</v>
      </c>
      <c r="H640" s="14" t="n">
        <f aca="false">IF(C640="","",MIN(D640,C640))</f>
        <v>33528.0513</v>
      </c>
    </row>
    <row r="641" customFormat="false" ht="15" hidden="false" customHeight="true" outlineLevel="0" collapsed="false">
      <c r="A641" s="12" t="s">
        <v>1975</v>
      </c>
      <c r="B641" s="14" t="n">
        <v>18.885</v>
      </c>
      <c r="C641" s="14" t="str">
        <f aca="false">IF('MRR Conglomerado'!AH641&gt;0,'MRR Conglomerado'!AH641,"")</f>
        <v/>
      </c>
      <c r="D641" s="14" t="str">
        <f aca="false">IF(C641="","",'MRR Conglomerado'!AT641)</f>
        <v/>
      </c>
      <c r="E641" s="15" t="str">
        <f aca="false">IF(C641="","",D641/C641)</f>
        <v/>
      </c>
      <c r="F641" s="14" t="str">
        <f aca="false">IF(C641="","",C641/B641)</f>
        <v/>
      </c>
      <c r="G641" s="12" t="str">
        <f aca="false">IF(F641="","",IF(F641&lt;100,"Menos de 100 USD",IF(F641&lt;500,"100 a 500 USD",IF(F641&lt;2000,"500 a 2.000 USD","Más de 2.000 USD"))))</f>
        <v/>
      </c>
      <c r="H641" s="14" t="str">
        <f aca="false">IF(C641="","",MIN(D641,C641))</f>
        <v/>
      </c>
    </row>
    <row r="642" customFormat="false" ht="15" hidden="false" customHeight="true" outlineLevel="0" collapsed="false">
      <c r="A642" s="12" t="s">
        <v>1978</v>
      </c>
      <c r="B642" s="14" t="n">
        <v>18.885</v>
      </c>
      <c r="C642" s="14" t="n">
        <f aca="false">IF('MRR Conglomerado'!AH642&gt;0,'MRR Conglomerado'!AH642,"")</f>
        <v>704.0328</v>
      </c>
      <c r="D642" s="14" t="n">
        <f aca="false">IF(C642="","",'MRR Conglomerado'!AT642)</f>
        <v>0</v>
      </c>
      <c r="E642" s="15" t="n">
        <f aca="false">IF(C642="","",D642/C642)</f>
        <v>0</v>
      </c>
      <c r="F642" s="14" t="n">
        <f aca="false">IF(C642="","",C642/B642)</f>
        <v>37.28</v>
      </c>
      <c r="G642" s="12" t="str">
        <f aca="false">IF(F642="","",IF(F642&lt;100,"Menos de 100 USD",IF(F642&lt;500,"100 a 500 USD",IF(F642&lt;2000,"500 a 2.000 USD","Más de 2.000 USD"))))</f>
        <v>Menos de 100 USD</v>
      </c>
      <c r="H642" s="14" t="n">
        <f aca="false">IF(C642="","",MIN(D642,C642))</f>
        <v>0</v>
      </c>
    </row>
    <row r="643" customFormat="false" ht="15" hidden="false" customHeight="true" outlineLevel="0" collapsed="false">
      <c r="A643" s="12" t="s">
        <v>1981</v>
      </c>
      <c r="B643" s="14" t="n">
        <v>18.885</v>
      </c>
      <c r="C643" s="14" t="n">
        <f aca="false">IF('MRR Conglomerado'!AH643&gt;0,'MRR Conglomerado'!AH643,"")</f>
        <v>8958.09975</v>
      </c>
      <c r="D643" s="14" t="n">
        <f aca="false">IF(C643="","",'MRR Conglomerado'!AT643)</f>
        <v>10867.093472</v>
      </c>
      <c r="E643" s="15" t="n">
        <f aca="false">IF(C643="","",D643/C643)</f>
        <v>1.21310253014318</v>
      </c>
      <c r="F643" s="14" t="n">
        <f aca="false">IF(C643="","",C643/B643)</f>
        <v>474.35</v>
      </c>
      <c r="G643" s="12" t="str">
        <f aca="false">IF(F643="","",IF(F643&lt;100,"Menos de 100 USD",IF(F643&lt;500,"100 a 500 USD",IF(F643&lt;2000,"500 a 2.000 USD","Más de 2.000 USD"))))</f>
        <v>100 a 500 USD</v>
      </c>
      <c r="H643" s="14" t="n">
        <f aca="false">IF(C643="","",MIN(D643,C643))</f>
        <v>8958.09975</v>
      </c>
    </row>
    <row r="644" customFormat="false" ht="15" hidden="false" customHeight="true" outlineLevel="0" collapsed="false">
      <c r="A644" s="12" t="s">
        <v>1984</v>
      </c>
      <c r="B644" s="14" t="n">
        <v>18.885</v>
      </c>
      <c r="C644" s="14" t="str">
        <f aca="false">IF('MRR Conglomerado'!AH644&gt;0,'MRR Conglomerado'!AH644,"")</f>
        <v/>
      </c>
      <c r="D644" s="14" t="str">
        <f aca="false">IF(C644="","",'MRR Conglomerado'!AT644)</f>
        <v/>
      </c>
      <c r="E644" s="15" t="str">
        <f aca="false">IF(C644="","",D644/C644)</f>
        <v/>
      </c>
      <c r="F644" s="14" t="str">
        <f aca="false">IF(C644="","",C644/B644)</f>
        <v/>
      </c>
      <c r="G644" s="12" t="str">
        <f aca="false">IF(F644="","",IF(F644&lt;100,"Menos de 100 USD",IF(F644&lt;500,"100 a 500 USD",IF(F644&lt;2000,"500 a 2.000 USD","Más de 2.000 USD"))))</f>
        <v/>
      </c>
      <c r="H644" s="14" t="str">
        <f aca="false">IF(C644="","",MIN(D644,C644))</f>
        <v/>
      </c>
    </row>
    <row r="645" customFormat="false" ht="15" hidden="false" customHeight="true" outlineLevel="0" collapsed="false">
      <c r="A645" s="12" t="s">
        <v>1987</v>
      </c>
      <c r="B645" s="14" t="n">
        <v>18.885</v>
      </c>
      <c r="C645" s="14" t="n">
        <f aca="false">IF('MRR Conglomerado'!AH645&gt;0,'MRR Conglomerado'!AH645,"")</f>
        <v>878.1525</v>
      </c>
      <c r="D645" s="14" t="n">
        <f aca="false">IF(C645="","",'MRR Conglomerado'!AT645)</f>
        <v>910.433232</v>
      </c>
      <c r="E645" s="15" t="n">
        <f aca="false">IF(C645="","",D645/C645)</f>
        <v>1.0367598247457</v>
      </c>
      <c r="F645" s="14" t="n">
        <f aca="false">IF(C645="","",C645/B645)</f>
        <v>46.5</v>
      </c>
      <c r="G645" s="12" t="str">
        <f aca="false">IF(F645="","",IF(F645&lt;100,"Menos de 100 USD",IF(F645&lt;500,"100 a 500 USD",IF(F645&lt;2000,"500 a 2.000 USD","Más de 2.000 USD"))))</f>
        <v>Menos de 100 USD</v>
      </c>
      <c r="H645" s="14" t="n">
        <f aca="false">IF(C645="","",MIN(D645,C645))</f>
        <v>878.1525</v>
      </c>
    </row>
    <row r="646" customFormat="false" ht="15" hidden="false" customHeight="true" outlineLevel="0" collapsed="false">
      <c r="A646" s="12" t="s">
        <v>1990</v>
      </c>
      <c r="B646" s="14" t="n">
        <v>18.885</v>
      </c>
      <c r="C646" s="14" t="str">
        <f aca="false">IF('MRR Conglomerado'!AH646&gt;0,'MRR Conglomerado'!AH646,"")</f>
        <v/>
      </c>
      <c r="D646" s="14" t="str">
        <f aca="false">IF(C646="","",'MRR Conglomerado'!AT646)</f>
        <v/>
      </c>
      <c r="E646" s="15" t="str">
        <f aca="false">IF(C646="","",D646/C646)</f>
        <v/>
      </c>
      <c r="F646" s="14" t="str">
        <f aca="false">IF(C646="","",C646/B646)</f>
        <v/>
      </c>
      <c r="G646" s="12" t="str">
        <f aca="false">IF(F646="","",IF(F646&lt;100,"Menos de 100 USD",IF(F646&lt;500,"100 a 500 USD",IF(F646&lt;2000,"500 a 2.000 USD","Más de 2.000 USD"))))</f>
        <v/>
      </c>
      <c r="H646" s="14" t="str">
        <f aca="false">IF(C646="","",MIN(D646,C646))</f>
        <v/>
      </c>
    </row>
    <row r="647" customFormat="false" ht="15" hidden="false" customHeight="true" outlineLevel="0" collapsed="false">
      <c r="A647" s="12" t="s">
        <v>1993</v>
      </c>
      <c r="B647" s="14" t="n">
        <v>18.885</v>
      </c>
      <c r="C647" s="14" t="str">
        <f aca="false">IF('MRR Conglomerado'!AH647&gt;0,'MRR Conglomerado'!AH647,"")</f>
        <v/>
      </c>
      <c r="D647" s="14" t="str">
        <f aca="false">IF(C647="","",'MRR Conglomerado'!AT647)</f>
        <v/>
      </c>
      <c r="E647" s="15" t="str">
        <f aca="false">IF(C647="","",D647/C647)</f>
        <v/>
      </c>
      <c r="F647" s="14" t="str">
        <f aca="false">IF(C647="","",C647/B647)</f>
        <v/>
      </c>
      <c r="G647" s="12" t="str">
        <f aca="false">IF(F647="","",IF(F647&lt;100,"Menos de 100 USD",IF(F647&lt;500,"100 a 500 USD",IF(F647&lt;2000,"500 a 2.000 USD","Más de 2.000 USD"))))</f>
        <v/>
      </c>
      <c r="H647" s="14" t="str">
        <f aca="false">IF(C647="","",MIN(D647,C647))</f>
        <v/>
      </c>
    </row>
    <row r="648" customFormat="false" ht="15" hidden="false" customHeight="true" outlineLevel="0" collapsed="false">
      <c r="A648" s="12" t="s">
        <v>1996</v>
      </c>
      <c r="B648" s="14" t="n">
        <v>18.885</v>
      </c>
      <c r="C648" s="14" t="n">
        <f aca="false">IF('MRR Conglomerado'!AH648&gt;0,'MRR Conglomerado'!AH648,"")</f>
        <v>5752.7487</v>
      </c>
      <c r="D648" s="14" t="n">
        <f aca="false">IF(C648="","",'MRR Conglomerado'!AT648)</f>
        <v>6483.992768</v>
      </c>
      <c r="E648" s="15" t="n">
        <f aca="false">IF(C648="","",D648/C648)</f>
        <v>1.12711211737791</v>
      </c>
      <c r="F648" s="14" t="n">
        <f aca="false">IF(C648="","",C648/B648)</f>
        <v>304.62</v>
      </c>
      <c r="G648" s="12" t="str">
        <f aca="false">IF(F648="","",IF(F648&lt;100,"Menos de 100 USD",IF(F648&lt;500,"100 a 500 USD",IF(F648&lt;2000,"500 a 2.000 USD","Más de 2.000 USD"))))</f>
        <v>100 a 500 USD</v>
      </c>
      <c r="H648" s="14" t="n">
        <f aca="false">IF(C648="","",MIN(D648,C648))</f>
        <v>5752.7487</v>
      </c>
    </row>
    <row r="649" customFormat="false" ht="15" hidden="false" customHeight="true" outlineLevel="0" collapsed="false">
      <c r="A649" s="12" t="s">
        <v>1999</v>
      </c>
      <c r="B649" s="14" t="n">
        <v>18.885</v>
      </c>
      <c r="C649" s="14" t="n">
        <f aca="false">IF('MRR Conglomerado'!AH649&gt;0,'MRR Conglomerado'!AH649,"")</f>
        <v>749.92335</v>
      </c>
      <c r="D649" s="14" t="n">
        <f aca="false">IF(C649="","",'MRR Conglomerado'!AT649)</f>
        <v>1011.067432</v>
      </c>
      <c r="E649" s="15" t="n">
        <f aca="false">IF(C649="","",D649/C649)</f>
        <v>1.34822769820409</v>
      </c>
      <c r="F649" s="14" t="n">
        <f aca="false">IF(C649="","",C649/B649)</f>
        <v>39.71</v>
      </c>
      <c r="G649" s="12" t="str">
        <f aca="false">IF(F649="","",IF(F649&lt;100,"Menos de 100 USD",IF(F649&lt;500,"100 a 500 USD",IF(F649&lt;2000,"500 a 2.000 USD","Más de 2.000 USD"))))</f>
        <v>Menos de 100 USD</v>
      </c>
      <c r="H649" s="14" t="n">
        <f aca="false">IF(C649="","",MIN(D649,C649))</f>
        <v>749.92335</v>
      </c>
    </row>
    <row r="650" customFormat="false" ht="15" hidden="false" customHeight="true" outlineLevel="0" collapsed="false">
      <c r="A650" s="12" t="s">
        <v>2002</v>
      </c>
      <c r="B650" s="14" t="n">
        <v>18.885</v>
      </c>
      <c r="C650" s="14" t="n">
        <f aca="false">IF('MRR Conglomerado'!AH650&gt;0,'MRR Conglomerado'!AH650,"")</f>
        <v>461.9271</v>
      </c>
      <c r="D650" s="14" t="n">
        <f aca="false">IF(C650="","",'MRR Conglomerado'!AT650)</f>
        <v>0</v>
      </c>
      <c r="E650" s="15" t="n">
        <f aca="false">IF(C650="","",D650/C650)</f>
        <v>0</v>
      </c>
      <c r="F650" s="14" t="n">
        <f aca="false">IF(C650="","",C650/B650)</f>
        <v>24.46</v>
      </c>
      <c r="G650" s="12" t="str">
        <f aca="false">IF(F650="","",IF(F650&lt;100,"Menos de 100 USD",IF(F650&lt;500,"100 a 500 USD",IF(F650&lt;2000,"500 a 2.000 USD","Más de 2.000 USD"))))</f>
        <v>Menos de 100 USD</v>
      </c>
      <c r="H650" s="14" t="n">
        <f aca="false">IF(C650="","",MIN(D650,C650))</f>
        <v>0</v>
      </c>
    </row>
    <row r="651" customFormat="false" ht="15" hidden="false" customHeight="true" outlineLevel="0" collapsed="false">
      <c r="A651" s="12" t="s">
        <v>2004</v>
      </c>
      <c r="B651" s="14" t="n">
        <v>18.885</v>
      </c>
      <c r="C651" s="14" t="n">
        <f aca="false">IF('MRR Conglomerado'!AH651&gt;0,'MRR Conglomerado'!AH651,"")</f>
        <v>913.46745</v>
      </c>
      <c r="D651" s="14" t="n">
        <f aca="false">IF(C651="","",'MRR Conglomerado'!AT651)</f>
        <v>0</v>
      </c>
      <c r="E651" s="15" t="n">
        <f aca="false">IF(C651="","",D651/C651)</f>
        <v>0</v>
      </c>
      <c r="F651" s="14" t="n">
        <f aca="false">IF(C651="","",C651/B651)</f>
        <v>48.37</v>
      </c>
      <c r="G651" s="12" t="str">
        <f aca="false">IF(F651="","",IF(F651&lt;100,"Menos de 100 USD",IF(F651&lt;500,"100 a 500 USD",IF(F651&lt;2000,"500 a 2.000 USD","Más de 2.000 USD"))))</f>
        <v>Menos de 100 USD</v>
      </c>
      <c r="H651" s="14" t="n">
        <f aca="false">IF(C651="","",MIN(D651,C651))</f>
        <v>0</v>
      </c>
    </row>
    <row r="652" customFormat="false" ht="15" hidden="false" customHeight="true" outlineLevel="0" collapsed="false">
      <c r="A652" s="12" t="s">
        <v>2007</v>
      </c>
      <c r="B652" s="14" t="n">
        <v>18.885</v>
      </c>
      <c r="C652" s="14" t="str">
        <f aca="false">IF('MRR Conglomerado'!AH652&gt;0,'MRR Conglomerado'!AH652,"")</f>
        <v/>
      </c>
      <c r="D652" s="14" t="str">
        <f aca="false">IF(C652="","",'MRR Conglomerado'!AT652)</f>
        <v/>
      </c>
      <c r="E652" s="15" t="str">
        <f aca="false">IF(C652="","",D652/C652)</f>
        <v/>
      </c>
      <c r="F652" s="14" t="str">
        <f aca="false">IF(C652="","",C652/B652)</f>
        <v/>
      </c>
      <c r="G652" s="12" t="str">
        <f aca="false">IF(F652="","",IF(F652&lt;100,"Menos de 100 USD",IF(F652&lt;500,"100 a 500 USD",IF(F652&lt;2000,"500 a 2.000 USD","Más de 2.000 USD"))))</f>
        <v/>
      </c>
      <c r="H652" s="14" t="str">
        <f aca="false">IF(C652="","",MIN(D652,C652))</f>
        <v/>
      </c>
    </row>
    <row r="653" customFormat="false" ht="15" hidden="false" customHeight="true" outlineLevel="0" collapsed="false">
      <c r="A653" s="12" t="s">
        <v>2010</v>
      </c>
      <c r="B653" s="14" t="n">
        <v>18.885</v>
      </c>
      <c r="C653" s="14" t="str">
        <f aca="false">IF('MRR Conglomerado'!AH653&gt;0,'MRR Conglomerado'!AH653,"")</f>
        <v/>
      </c>
      <c r="D653" s="14" t="str">
        <f aca="false">IF(C653="","",'MRR Conglomerado'!AT653)</f>
        <v/>
      </c>
      <c r="E653" s="15" t="str">
        <f aca="false">IF(C653="","",D653/C653)</f>
        <v/>
      </c>
      <c r="F653" s="14" t="str">
        <f aca="false">IF(C653="","",C653/B653)</f>
        <v/>
      </c>
      <c r="G653" s="12" t="str">
        <f aca="false">IF(F653="","",IF(F653&lt;100,"Menos de 100 USD",IF(F653&lt;500,"100 a 500 USD",IF(F653&lt;2000,"500 a 2.000 USD","Más de 2.000 USD"))))</f>
        <v/>
      </c>
      <c r="H653" s="14" t="str">
        <f aca="false">IF(C653="","",MIN(D653,C653))</f>
        <v/>
      </c>
    </row>
    <row r="654" customFormat="false" ht="15" hidden="false" customHeight="true" outlineLevel="0" collapsed="false">
      <c r="A654" s="12" t="s">
        <v>2013</v>
      </c>
      <c r="B654" s="14" t="n">
        <v>18.885</v>
      </c>
      <c r="C654" s="14" t="n">
        <f aca="false">IF('MRR Conglomerado'!AH654&gt;0,'MRR Conglomerado'!AH654,"")</f>
        <v>2625.015</v>
      </c>
      <c r="D654" s="14" t="n">
        <f aca="false">IF(C654="","",'MRR Conglomerado'!AT654)</f>
        <v>0</v>
      </c>
      <c r="E654" s="15" t="n">
        <f aca="false">IF(C654="","",D654/C654)</f>
        <v>0</v>
      </c>
      <c r="F654" s="14" t="n">
        <f aca="false">IF(C654="","",C654/B654)</f>
        <v>139</v>
      </c>
      <c r="G654" s="12" t="str">
        <f aca="false">IF(F654="","",IF(F654&lt;100,"Menos de 100 USD",IF(F654&lt;500,"100 a 500 USD",IF(F654&lt;2000,"500 a 2.000 USD","Más de 2.000 USD"))))</f>
        <v>100 a 500 USD</v>
      </c>
      <c r="H654" s="14" t="n">
        <f aca="false">IF(C654="","",MIN(D654,C654))</f>
        <v>0</v>
      </c>
    </row>
    <row r="655" customFormat="false" ht="15" hidden="false" customHeight="true" outlineLevel="0" collapsed="false">
      <c r="A655" s="12" t="s">
        <v>2016</v>
      </c>
      <c r="B655" s="14" t="n">
        <v>18.885</v>
      </c>
      <c r="C655" s="14" t="str">
        <f aca="false">IF('MRR Conglomerado'!AH655&gt;0,'MRR Conglomerado'!AH655,"")</f>
        <v/>
      </c>
      <c r="D655" s="14" t="str">
        <f aca="false">IF(C655="","",'MRR Conglomerado'!AT655)</f>
        <v/>
      </c>
      <c r="E655" s="15" t="str">
        <f aca="false">IF(C655="","",D655/C655)</f>
        <v/>
      </c>
      <c r="F655" s="14" t="str">
        <f aca="false">IF(C655="","",C655/B655)</f>
        <v/>
      </c>
      <c r="G655" s="12" t="str">
        <f aca="false">IF(F655="","",IF(F655&lt;100,"Menos de 100 USD",IF(F655&lt;500,"100 a 500 USD",IF(F655&lt;2000,"500 a 2.000 USD","Más de 2.000 USD"))))</f>
        <v/>
      </c>
      <c r="H655" s="14" t="str">
        <f aca="false">IF(C655="","",MIN(D655,C655))</f>
        <v/>
      </c>
    </row>
    <row r="656" customFormat="false" ht="15" hidden="false" customHeight="true" outlineLevel="0" collapsed="false">
      <c r="A656" s="12" t="s">
        <v>2019</v>
      </c>
      <c r="B656" s="14" t="n">
        <v>18.885</v>
      </c>
      <c r="C656" s="14" t="n">
        <f aca="false">IF('MRR Conglomerado'!AH656&gt;0,'MRR Conglomerado'!AH656,"")</f>
        <v>4358.46915</v>
      </c>
      <c r="D656" s="14" t="n">
        <f aca="false">IF(C656="","",'MRR Conglomerado'!AT656)</f>
        <v>3404.236216</v>
      </c>
      <c r="E656" s="15" t="n">
        <f aca="false">IF(C656="","",D656/C656)</f>
        <v>0.78106236360535</v>
      </c>
      <c r="F656" s="14" t="n">
        <f aca="false">IF(C656="","",C656/B656)</f>
        <v>230.79</v>
      </c>
      <c r="G656" s="12" t="str">
        <f aca="false">IF(F656="","",IF(F656&lt;100,"Menos de 100 USD",IF(F656&lt;500,"100 a 500 USD",IF(F656&lt;2000,"500 a 2.000 USD","Más de 2.000 USD"))))</f>
        <v>100 a 500 USD</v>
      </c>
      <c r="H656" s="14" t="n">
        <f aca="false">IF(C656="","",MIN(D656,C656))</f>
        <v>3404.236216</v>
      </c>
    </row>
    <row r="657" customFormat="false" ht="15" hidden="false" customHeight="true" outlineLevel="0" collapsed="false">
      <c r="A657" s="12" t="s">
        <v>2022</v>
      </c>
      <c r="B657" s="14" t="n">
        <v>18.885</v>
      </c>
      <c r="C657" s="14" t="n">
        <f aca="false">IF('MRR Conglomerado'!AH657&gt;0,'MRR Conglomerado'!AH657,"")</f>
        <v>4024.96005</v>
      </c>
      <c r="D657" s="14" t="n">
        <f aca="false">IF(C657="","",'MRR Conglomerado'!AT657)</f>
        <v>3449.915392</v>
      </c>
      <c r="E657" s="15" t="n">
        <f aca="false">IF(C657="","",D657/C657)</f>
        <v>0.857130343939687</v>
      </c>
      <c r="F657" s="14" t="n">
        <f aca="false">IF(C657="","",C657/B657)</f>
        <v>213.13</v>
      </c>
      <c r="G657" s="12" t="str">
        <f aca="false">IF(F657="","",IF(F657&lt;100,"Menos de 100 USD",IF(F657&lt;500,"100 a 500 USD",IF(F657&lt;2000,"500 a 2.000 USD","Más de 2.000 USD"))))</f>
        <v>100 a 500 USD</v>
      </c>
      <c r="H657" s="14" t="n">
        <f aca="false">IF(C657="","",MIN(D657,C657))</f>
        <v>3449.915392</v>
      </c>
    </row>
    <row r="658" customFormat="false" ht="15" hidden="false" customHeight="true" outlineLevel="0" collapsed="false">
      <c r="A658" s="12" t="s">
        <v>2025</v>
      </c>
      <c r="B658" s="14" t="n">
        <v>18.885</v>
      </c>
      <c r="C658" s="14" t="str">
        <f aca="false">IF('MRR Conglomerado'!AH658&gt;0,'MRR Conglomerado'!AH658,"")</f>
        <v/>
      </c>
      <c r="D658" s="14" t="str">
        <f aca="false">IF(C658="","",'MRR Conglomerado'!AT658)</f>
        <v/>
      </c>
      <c r="E658" s="15" t="str">
        <f aca="false">IF(C658="","",D658/C658)</f>
        <v/>
      </c>
      <c r="F658" s="14" t="str">
        <f aca="false">IF(C658="","",C658/B658)</f>
        <v/>
      </c>
      <c r="G658" s="12" t="str">
        <f aca="false">IF(F658="","",IF(F658&lt;100,"Menos de 100 USD",IF(F658&lt;500,"100 a 500 USD",IF(F658&lt;2000,"500 a 2.000 USD","Más de 2.000 USD"))))</f>
        <v/>
      </c>
      <c r="H658" s="14" t="str">
        <f aca="false">IF(C658="","",MIN(D658,C658))</f>
        <v/>
      </c>
    </row>
    <row r="659" customFormat="false" ht="15" hidden="false" customHeight="true" outlineLevel="0" collapsed="false">
      <c r="A659" s="12" t="s">
        <v>2028</v>
      </c>
      <c r="B659" s="14" t="n">
        <v>18.885</v>
      </c>
      <c r="C659" s="14" t="str">
        <f aca="false">IF('MRR Conglomerado'!AH659&gt;0,'MRR Conglomerado'!AH659,"")</f>
        <v/>
      </c>
      <c r="D659" s="14" t="str">
        <f aca="false">IF(C659="","",'MRR Conglomerado'!AT659)</f>
        <v/>
      </c>
      <c r="E659" s="15" t="str">
        <f aca="false">IF(C659="","",D659/C659)</f>
        <v/>
      </c>
      <c r="F659" s="14" t="str">
        <f aca="false">IF(C659="","",C659/B659)</f>
        <v/>
      </c>
      <c r="G659" s="12" t="str">
        <f aca="false">IF(F659="","",IF(F659&lt;100,"Menos de 100 USD",IF(F659&lt;500,"100 a 500 USD",IF(F659&lt;2000,"500 a 2.000 USD","Más de 2.000 USD"))))</f>
        <v/>
      </c>
      <c r="H659" s="14" t="str">
        <f aca="false">IF(C659="","",MIN(D659,C659))</f>
        <v/>
      </c>
    </row>
    <row r="660" customFormat="false" ht="15" hidden="false" customHeight="true" outlineLevel="0" collapsed="false">
      <c r="A660" s="12" t="s">
        <v>2031</v>
      </c>
      <c r="B660" s="14" t="n">
        <v>18.885</v>
      </c>
      <c r="C660" s="14" t="str">
        <f aca="false">IF('MRR Conglomerado'!AH660&gt;0,'MRR Conglomerado'!AH660,"")</f>
        <v/>
      </c>
      <c r="D660" s="14" t="str">
        <f aca="false">IF(C660="","",'MRR Conglomerado'!AT660)</f>
        <v/>
      </c>
      <c r="E660" s="15" t="str">
        <f aca="false">IF(C660="","",D660/C660)</f>
        <v/>
      </c>
      <c r="F660" s="14" t="str">
        <f aca="false">IF(C660="","",C660/B660)</f>
        <v/>
      </c>
      <c r="G660" s="12" t="str">
        <f aca="false">IF(F660="","",IF(F660&lt;100,"Menos de 100 USD",IF(F660&lt;500,"100 a 500 USD",IF(F660&lt;2000,"500 a 2.000 USD","Más de 2.000 USD"))))</f>
        <v/>
      </c>
      <c r="H660" s="14" t="str">
        <f aca="false">IF(C660="","",MIN(D660,C660))</f>
        <v/>
      </c>
    </row>
    <row r="661" customFormat="false" ht="15" hidden="false" customHeight="true" outlineLevel="0" collapsed="false">
      <c r="A661" s="12" t="s">
        <v>2034</v>
      </c>
      <c r="B661" s="14" t="n">
        <v>18.885</v>
      </c>
      <c r="C661" s="14" t="str">
        <f aca="false">IF('MRR Conglomerado'!AH661&gt;0,'MRR Conglomerado'!AH661,"")</f>
        <v/>
      </c>
      <c r="D661" s="14" t="str">
        <f aca="false">IF(C661="","",'MRR Conglomerado'!AT661)</f>
        <v/>
      </c>
      <c r="E661" s="15" t="str">
        <f aca="false">IF(C661="","",D661/C661)</f>
        <v/>
      </c>
      <c r="F661" s="14" t="str">
        <f aca="false">IF(C661="","",C661/B661)</f>
        <v/>
      </c>
      <c r="G661" s="12" t="str">
        <f aca="false">IF(F661="","",IF(F661&lt;100,"Menos de 100 USD",IF(F661&lt;500,"100 a 500 USD",IF(F661&lt;2000,"500 a 2.000 USD","Más de 2.000 USD"))))</f>
        <v/>
      </c>
      <c r="H661" s="14" t="str">
        <f aca="false">IF(C661="","",MIN(D661,C661))</f>
        <v/>
      </c>
    </row>
    <row r="662" customFormat="false" ht="15" hidden="false" customHeight="true" outlineLevel="0" collapsed="false">
      <c r="A662" s="12" t="s">
        <v>2037</v>
      </c>
      <c r="B662" s="14" t="n">
        <v>18.885</v>
      </c>
      <c r="C662" s="14" t="str">
        <f aca="false">IF('MRR Conglomerado'!AH662&gt;0,'MRR Conglomerado'!AH662,"")</f>
        <v/>
      </c>
      <c r="D662" s="14" t="str">
        <f aca="false">IF(C662="","",'MRR Conglomerado'!AT662)</f>
        <v/>
      </c>
      <c r="E662" s="15" t="str">
        <f aca="false">IF(C662="","",D662/C662)</f>
        <v/>
      </c>
      <c r="F662" s="14" t="str">
        <f aca="false">IF(C662="","",C662/B662)</f>
        <v/>
      </c>
      <c r="G662" s="12" t="str">
        <f aca="false">IF(F662="","",IF(F662&lt;100,"Menos de 100 USD",IF(F662&lt;500,"100 a 500 USD",IF(F662&lt;2000,"500 a 2.000 USD","Más de 2.000 USD"))))</f>
        <v/>
      </c>
      <c r="H662" s="14" t="str">
        <f aca="false">IF(C662="","",MIN(D662,C662))</f>
        <v/>
      </c>
    </row>
    <row r="663" customFormat="false" ht="15" hidden="false" customHeight="true" outlineLevel="0" collapsed="false">
      <c r="A663" s="12" t="s">
        <v>2040</v>
      </c>
      <c r="B663" s="14" t="n">
        <v>18.885</v>
      </c>
      <c r="C663" s="14" t="str">
        <f aca="false">IF('MRR Conglomerado'!AH663&gt;0,'MRR Conglomerado'!AH663,"")</f>
        <v/>
      </c>
      <c r="D663" s="14" t="str">
        <f aca="false">IF(C663="","",'MRR Conglomerado'!AT663)</f>
        <v/>
      </c>
      <c r="E663" s="15" t="str">
        <f aca="false">IF(C663="","",D663/C663)</f>
        <v/>
      </c>
      <c r="F663" s="14" t="str">
        <f aca="false">IF(C663="","",C663/B663)</f>
        <v/>
      </c>
      <c r="G663" s="12" t="str">
        <f aca="false">IF(F663="","",IF(F663&lt;100,"Menos de 100 USD",IF(F663&lt;500,"100 a 500 USD",IF(F663&lt;2000,"500 a 2.000 USD","Más de 2.000 USD"))))</f>
        <v/>
      </c>
      <c r="H663" s="14" t="str">
        <f aca="false">IF(C663="","",MIN(D663,C663))</f>
        <v/>
      </c>
    </row>
    <row r="664" customFormat="false" ht="15" hidden="false" customHeight="true" outlineLevel="0" collapsed="false">
      <c r="A664" s="12" t="s">
        <v>2043</v>
      </c>
      <c r="B664" s="14" t="n">
        <v>18.885</v>
      </c>
      <c r="C664" s="14" t="str">
        <f aca="false">IF('MRR Conglomerado'!AH664&gt;0,'MRR Conglomerado'!AH664,"")</f>
        <v/>
      </c>
      <c r="D664" s="14" t="str">
        <f aca="false">IF(C664="","",'MRR Conglomerado'!AT664)</f>
        <v/>
      </c>
      <c r="E664" s="15" t="str">
        <f aca="false">IF(C664="","",D664/C664)</f>
        <v/>
      </c>
      <c r="F664" s="14" t="str">
        <f aca="false">IF(C664="","",C664/B664)</f>
        <v/>
      </c>
      <c r="G664" s="12" t="str">
        <f aca="false">IF(F664="","",IF(F664&lt;100,"Menos de 100 USD",IF(F664&lt;500,"100 a 500 USD",IF(F664&lt;2000,"500 a 2.000 USD","Más de 2.000 USD"))))</f>
        <v/>
      </c>
      <c r="H664" s="14" t="str">
        <f aca="false">IF(C664="","",MIN(D664,C664))</f>
        <v/>
      </c>
    </row>
    <row r="665" customFormat="false" ht="15" hidden="false" customHeight="true" outlineLevel="0" collapsed="false">
      <c r="A665" s="12" t="s">
        <v>2046</v>
      </c>
      <c r="B665" s="14" t="n">
        <v>18.885</v>
      </c>
      <c r="C665" s="14" t="n">
        <f aca="false">IF('MRR Conglomerado'!AH665&gt;0,'MRR Conglomerado'!AH665,"")</f>
        <v>306.3147</v>
      </c>
      <c r="D665" s="14" t="n">
        <f aca="false">IF(C665="","",'MRR Conglomerado'!AT665)</f>
        <v>0</v>
      </c>
      <c r="E665" s="15" t="n">
        <f aca="false">IF(C665="","",D665/C665)</f>
        <v>0</v>
      </c>
      <c r="F665" s="14" t="n">
        <f aca="false">IF(C665="","",C665/B665)</f>
        <v>16.22</v>
      </c>
      <c r="G665" s="12" t="str">
        <f aca="false">IF(F665="","",IF(F665&lt;100,"Menos de 100 USD",IF(F665&lt;500,"100 a 500 USD",IF(F665&lt;2000,"500 a 2.000 USD","Más de 2.000 USD"))))</f>
        <v>Menos de 100 USD</v>
      </c>
      <c r="H665" s="14" t="n">
        <f aca="false">IF(C665="","",MIN(D665,C665))</f>
        <v>0</v>
      </c>
    </row>
    <row r="666" customFormat="false" ht="15" hidden="false" customHeight="true" outlineLevel="0" collapsed="false">
      <c r="A666" s="12" t="s">
        <v>2049</v>
      </c>
      <c r="B666" s="14" t="n">
        <v>18.885</v>
      </c>
      <c r="C666" s="14" t="str">
        <f aca="false">IF('MRR Conglomerado'!AH666&gt;0,'MRR Conglomerado'!AH666,"")</f>
        <v/>
      </c>
      <c r="D666" s="14" t="str">
        <f aca="false">IF(C666="","",'MRR Conglomerado'!AT666)</f>
        <v/>
      </c>
      <c r="E666" s="15" t="str">
        <f aca="false">IF(C666="","",D666/C666)</f>
        <v/>
      </c>
      <c r="F666" s="14" t="str">
        <f aca="false">IF(C666="","",C666/B666)</f>
        <v/>
      </c>
      <c r="G666" s="12" t="str">
        <f aca="false">IF(F666="","",IF(F666&lt;100,"Menos de 100 USD",IF(F666&lt;500,"100 a 500 USD",IF(F666&lt;2000,"500 a 2.000 USD","Más de 2.000 USD"))))</f>
        <v/>
      </c>
      <c r="H666" s="14" t="str">
        <f aca="false">IF(C666="","",MIN(D666,C666))</f>
        <v/>
      </c>
    </row>
    <row r="667" customFormat="false" ht="15" hidden="false" customHeight="true" outlineLevel="0" collapsed="false">
      <c r="A667" s="12" t="s">
        <v>2052</v>
      </c>
      <c r="B667" s="14" t="n">
        <v>18.885</v>
      </c>
      <c r="C667" s="14" t="str">
        <f aca="false">IF('MRR Conglomerado'!AH667&gt;0,'MRR Conglomerado'!AH667,"")</f>
        <v/>
      </c>
      <c r="D667" s="14" t="str">
        <f aca="false">IF(C667="","",'MRR Conglomerado'!AT667)</f>
        <v/>
      </c>
      <c r="E667" s="15" t="str">
        <f aca="false">IF(C667="","",D667/C667)</f>
        <v/>
      </c>
      <c r="F667" s="14" t="str">
        <f aca="false">IF(C667="","",C667/B667)</f>
        <v/>
      </c>
      <c r="G667" s="12" t="str">
        <f aca="false">IF(F667="","",IF(F667&lt;100,"Menos de 100 USD",IF(F667&lt;500,"100 a 500 USD",IF(F667&lt;2000,"500 a 2.000 USD","Más de 2.000 USD"))))</f>
        <v/>
      </c>
      <c r="H667" s="14" t="str">
        <f aca="false">IF(C667="","",MIN(D667,C667))</f>
        <v/>
      </c>
    </row>
    <row r="668" customFormat="false" ht="15" hidden="false" customHeight="true" outlineLevel="0" collapsed="false">
      <c r="A668" s="12" t="s">
        <v>2055</v>
      </c>
      <c r="B668" s="14" t="n">
        <v>18.885</v>
      </c>
      <c r="C668" s="14" t="str">
        <f aca="false">IF('MRR Conglomerado'!AH668&gt;0,'MRR Conglomerado'!AH668,"")</f>
        <v/>
      </c>
      <c r="D668" s="14" t="str">
        <f aca="false">IF(C668="","",'MRR Conglomerado'!AT668)</f>
        <v/>
      </c>
      <c r="E668" s="15" t="str">
        <f aca="false">IF(C668="","",D668/C668)</f>
        <v/>
      </c>
      <c r="F668" s="14" t="str">
        <f aca="false">IF(C668="","",C668/B668)</f>
        <v/>
      </c>
      <c r="G668" s="12" t="str">
        <f aca="false">IF(F668="","",IF(F668&lt;100,"Menos de 100 USD",IF(F668&lt;500,"100 a 500 USD",IF(F668&lt;2000,"500 a 2.000 USD","Más de 2.000 USD"))))</f>
        <v/>
      </c>
      <c r="H668" s="14" t="str">
        <f aca="false">IF(C668="","",MIN(D668,C668))</f>
        <v/>
      </c>
    </row>
    <row r="669" customFormat="false" ht="15" hidden="false" customHeight="true" outlineLevel="0" collapsed="false">
      <c r="A669" s="12" t="s">
        <v>2058</v>
      </c>
      <c r="B669" s="14" t="n">
        <v>18.885</v>
      </c>
      <c r="C669" s="14" t="n">
        <f aca="false">IF('MRR Conglomerado'!AH669&gt;0,'MRR Conglomerado'!AH669,"")</f>
        <v>5789.95215</v>
      </c>
      <c r="D669" s="14" t="n">
        <f aca="false">IF(C669="","",'MRR Conglomerado'!AT669)</f>
        <v>0</v>
      </c>
      <c r="E669" s="15" t="n">
        <f aca="false">IF(C669="","",D669/C669)</f>
        <v>0</v>
      </c>
      <c r="F669" s="14" t="n">
        <f aca="false">IF(C669="","",C669/B669)</f>
        <v>306.59</v>
      </c>
      <c r="G669" s="12" t="str">
        <f aca="false">IF(F669="","",IF(F669&lt;100,"Menos de 100 USD",IF(F669&lt;500,"100 a 500 USD",IF(F669&lt;2000,"500 a 2.000 USD","Más de 2.000 USD"))))</f>
        <v>100 a 500 USD</v>
      </c>
      <c r="H669" s="14" t="n">
        <f aca="false">IF(C669="","",MIN(D669,C669))</f>
        <v>0</v>
      </c>
    </row>
    <row r="670" customFormat="false" ht="15" hidden="false" customHeight="true" outlineLevel="0" collapsed="false">
      <c r="A670" s="12" t="s">
        <v>2061</v>
      </c>
      <c r="B670" s="14" t="n">
        <v>18.885</v>
      </c>
      <c r="C670" s="14" t="n">
        <f aca="false">IF('MRR Conglomerado'!AH670&gt;0,'MRR Conglomerado'!AH670,"")</f>
        <v>2800.07895</v>
      </c>
      <c r="D670" s="14" t="n">
        <f aca="false">IF(C670="","",'MRR Conglomerado'!AT670)</f>
        <v>2800.080984</v>
      </c>
      <c r="E670" s="15" t="n">
        <f aca="false">IF(C670="","",D670/C670)</f>
        <v>1.00000072640809</v>
      </c>
      <c r="F670" s="14" t="n">
        <f aca="false">IF(C670="","",C670/B670)</f>
        <v>148.27</v>
      </c>
      <c r="G670" s="12" t="str">
        <f aca="false">IF(F670="","",IF(F670&lt;100,"Menos de 100 USD",IF(F670&lt;500,"100 a 500 USD",IF(F670&lt;2000,"500 a 2.000 USD","Más de 2.000 USD"))))</f>
        <v>100 a 500 USD</v>
      </c>
      <c r="H670" s="14" t="n">
        <f aca="false">IF(C670="","",MIN(D670,C670))</f>
        <v>2800.07895</v>
      </c>
    </row>
    <row r="671" customFormat="false" ht="15" hidden="false" customHeight="true" outlineLevel="0" collapsed="false">
      <c r="A671" s="12" t="s">
        <v>2064</v>
      </c>
      <c r="B671" s="14" t="n">
        <v>18.885</v>
      </c>
      <c r="C671" s="14" t="n">
        <f aca="false">IF('MRR Conglomerado'!AH671&gt;0,'MRR Conglomerado'!AH671,"")</f>
        <v>72999.5898</v>
      </c>
      <c r="D671" s="14" t="n">
        <f aca="false">IF(C671="","",'MRR Conglomerado'!AT671)</f>
        <v>73205.167432</v>
      </c>
      <c r="E671" s="15" t="n">
        <f aca="false">IF(C671="","",D671/C671)</f>
        <v>1.00281614776964</v>
      </c>
      <c r="F671" s="14" t="n">
        <f aca="false">IF(C671="","",C671/B671)</f>
        <v>3865.48</v>
      </c>
      <c r="G671" s="12" t="str">
        <f aca="false">IF(F671="","",IF(F671&lt;100,"Menos de 100 USD",IF(F671&lt;500,"100 a 500 USD",IF(F671&lt;2000,"500 a 2.000 USD","Más de 2.000 USD"))))</f>
        <v>Más de 2.000 USD</v>
      </c>
      <c r="H671" s="14" t="n">
        <f aca="false">IF(C671="","",MIN(D671,C671))</f>
        <v>72999.5898</v>
      </c>
    </row>
    <row r="672" customFormat="false" ht="15" hidden="false" customHeight="true" outlineLevel="0" collapsed="false">
      <c r="A672" s="12" t="s">
        <v>2067</v>
      </c>
      <c r="B672" s="14" t="n">
        <v>18.885</v>
      </c>
      <c r="C672" s="14" t="str">
        <f aca="false">IF('MRR Conglomerado'!AH672&gt;0,'MRR Conglomerado'!AH672,"")</f>
        <v/>
      </c>
      <c r="D672" s="14" t="str">
        <f aca="false">IF(C672="","",'MRR Conglomerado'!AT672)</f>
        <v/>
      </c>
      <c r="E672" s="15" t="str">
        <f aca="false">IF(C672="","",D672/C672)</f>
        <v/>
      </c>
      <c r="F672" s="14" t="str">
        <f aca="false">IF(C672="","",C672/B672)</f>
        <v/>
      </c>
      <c r="G672" s="12" t="str">
        <f aca="false">IF(F672="","",IF(F672&lt;100,"Menos de 100 USD",IF(F672&lt;500,"100 a 500 USD",IF(F672&lt;2000,"500 a 2.000 USD","Más de 2.000 USD"))))</f>
        <v/>
      </c>
      <c r="H672" s="14" t="str">
        <f aca="false">IF(C672="","",MIN(D672,C672))</f>
        <v/>
      </c>
    </row>
    <row r="673" customFormat="false" ht="15" hidden="false" customHeight="true" outlineLevel="0" collapsed="false">
      <c r="A673" s="12" t="s">
        <v>2070</v>
      </c>
      <c r="B673" s="14" t="n">
        <v>18.885</v>
      </c>
      <c r="C673" s="14" t="n">
        <f aca="false">IF('MRR Conglomerado'!AH673&gt;0,'MRR Conglomerado'!AH673,"")</f>
        <v>34500.6288</v>
      </c>
      <c r="D673" s="14" t="n">
        <f aca="false">IF(C673="","",'MRR Conglomerado'!AT673)</f>
        <v>44058.002792</v>
      </c>
      <c r="E673" s="15" t="n">
        <f aca="false">IF(C673="","",D673/C673)</f>
        <v>1.27702028410566</v>
      </c>
      <c r="F673" s="14" t="n">
        <f aca="false">IF(C673="","",C673/B673)</f>
        <v>1826.88</v>
      </c>
      <c r="G673" s="12" t="str">
        <f aca="false">IF(F673="","",IF(F673&lt;100,"Menos de 100 USD",IF(F673&lt;500,"100 a 500 USD",IF(F673&lt;2000,"500 a 2.000 USD","Más de 2.000 USD"))))</f>
        <v>500 a 2.000 USD</v>
      </c>
      <c r="H673" s="14" t="n">
        <f aca="false">IF(C673="","",MIN(D673,C673))</f>
        <v>34500.6288</v>
      </c>
    </row>
    <row r="674" customFormat="false" ht="15" hidden="false" customHeight="true" outlineLevel="0" collapsed="false">
      <c r="A674" s="12" t="s">
        <v>2073</v>
      </c>
      <c r="B674" s="14" t="n">
        <v>18.885</v>
      </c>
      <c r="C674" s="14" t="str">
        <f aca="false">IF('MRR Conglomerado'!AH674&gt;0,'MRR Conglomerado'!AH674,"")</f>
        <v/>
      </c>
      <c r="D674" s="14" t="str">
        <f aca="false">IF(C674="","",'MRR Conglomerado'!AT674)</f>
        <v/>
      </c>
      <c r="E674" s="15" t="str">
        <f aca="false">IF(C674="","",D674/C674)</f>
        <v/>
      </c>
      <c r="F674" s="14" t="str">
        <f aca="false">IF(C674="","",C674/B674)</f>
        <v/>
      </c>
      <c r="G674" s="12" t="str">
        <f aca="false">IF(F674="","",IF(F674&lt;100,"Menos de 100 USD",IF(F674&lt;500,"100 a 500 USD",IF(F674&lt;2000,"500 a 2.000 USD","Más de 2.000 USD"))))</f>
        <v/>
      </c>
      <c r="H674" s="14" t="str">
        <f aca="false">IF(C674="","",MIN(D674,C674))</f>
        <v/>
      </c>
    </row>
    <row r="675" customFormat="false" ht="15" hidden="false" customHeight="true" outlineLevel="0" collapsed="false">
      <c r="A675" s="12" t="s">
        <v>2076</v>
      </c>
      <c r="B675" s="14" t="n">
        <v>18.885</v>
      </c>
      <c r="C675" s="14" t="str">
        <f aca="false">IF('MRR Conglomerado'!AH675&gt;0,'MRR Conglomerado'!AH675,"")</f>
        <v/>
      </c>
      <c r="D675" s="14" t="str">
        <f aca="false">IF(C675="","",'MRR Conglomerado'!AT675)</f>
        <v/>
      </c>
      <c r="E675" s="15" t="str">
        <f aca="false">IF(C675="","",D675/C675)</f>
        <v/>
      </c>
      <c r="F675" s="14" t="str">
        <f aca="false">IF(C675="","",C675/B675)</f>
        <v/>
      </c>
      <c r="G675" s="12" t="str">
        <f aca="false">IF(F675="","",IF(F675&lt;100,"Menos de 100 USD",IF(F675&lt;500,"100 a 500 USD",IF(F675&lt;2000,"500 a 2.000 USD","Más de 2.000 USD"))))</f>
        <v/>
      </c>
      <c r="H675" s="14" t="str">
        <f aca="false">IF(C675="","",MIN(D675,C675))</f>
        <v/>
      </c>
    </row>
    <row r="676" customFormat="false" ht="15" hidden="false" customHeight="true" outlineLevel="0" collapsed="false">
      <c r="A676" s="12" t="s">
        <v>2079</v>
      </c>
      <c r="B676" s="14" t="n">
        <v>18.885</v>
      </c>
      <c r="C676" s="14" t="str">
        <f aca="false">IF('MRR Conglomerado'!AH676&gt;0,'MRR Conglomerado'!AH676,"")</f>
        <v/>
      </c>
      <c r="D676" s="14" t="str">
        <f aca="false">IF(C676="","",'MRR Conglomerado'!AT676)</f>
        <v/>
      </c>
      <c r="E676" s="15" t="str">
        <f aca="false">IF(C676="","",D676/C676)</f>
        <v/>
      </c>
      <c r="F676" s="14" t="str">
        <f aca="false">IF(C676="","",C676/B676)</f>
        <v/>
      </c>
      <c r="G676" s="12" t="str">
        <f aca="false">IF(F676="","",IF(F676&lt;100,"Menos de 100 USD",IF(F676&lt;500,"100 a 500 USD",IF(F676&lt;2000,"500 a 2.000 USD","Más de 2.000 USD"))))</f>
        <v/>
      </c>
      <c r="H676" s="14" t="str">
        <f aca="false">IF(C676="","",MIN(D676,C676))</f>
        <v/>
      </c>
    </row>
    <row r="677" customFormat="false" ht="15" hidden="false" customHeight="true" outlineLevel="0" collapsed="false">
      <c r="A677" s="12" t="s">
        <v>2082</v>
      </c>
      <c r="B677" s="14" t="n">
        <v>18.885</v>
      </c>
      <c r="C677" s="14" t="n">
        <f aca="false">IF('MRR Conglomerado'!AH677&gt;0,'MRR Conglomerado'!AH677,"")</f>
        <v>1022.24505</v>
      </c>
      <c r="D677" s="14" t="n">
        <f aca="false">IF(C677="","",'MRR Conglomerado'!AT677)</f>
        <v>923.734448</v>
      </c>
      <c r="E677" s="15" t="n">
        <f aca="false">IF(C677="","",D677/C677)</f>
        <v>0.903633084845948</v>
      </c>
      <c r="F677" s="14" t="n">
        <f aca="false">IF(C677="","",C677/B677)</f>
        <v>54.13</v>
      </c>
      <c r="G677" s="12" t="str">
        <f aca="false">IF(F677="","",IF(F677&lt;100,"Menos de 100 USD",IF(F677&lt;500,"100 a 500 USD",IF(F677&lt;2000,"500 a 2.000 USD","Más de 2.000 USD"))))</f>
        <v>Menos de 100 USD</v>
      </c>
      <c r="H677" s="14" t="n">
        <f aca="false">IF(C677="","",MIN(D677,C677))</f>
        <v>923.734448</v>
      </c>
    </row>
    <row r="678" customFormat="false" ht="15" hidden="false" customHeight="true" outlineLevel="0" collapsed="false">
      <c r="A678" s="12" t="s">
        <v>2085</v>
      </c>
      <c r="B678" s="14" t="n">
        <v>18.885</v>
      </c>
      <c r="C678" s="14" t="n">
        <f aca="false">IF('MRR Conglomerado'!AH678&gt;0,'MRR Conglomerado'!AH678,"")</f>
        <v>10199.97735</v>
      </c>
      <c r="D678" s="14" t="n">
        <f aca="false">IF(C678="","",'MRR Conglomerado'!AT678)</f>
        <v>10468.932072</v>
      </c>
      <c r="E678" s="15" t="n">
        <f aca="false">IF(C678="","",D678/C678)</f>
        <v>1.02636816855285</v>
      </c>
      <c r="F678" s="14" t="n">
        <f aca="false">IF(C678="","",C678/B678)</f>
        <v>540.11</v>
      </c>
      <c r="G678" s="12" t="str">
        <f aca="false">IF(F678="","",IF(F678&lt;100,"Menos de 100 USD",IF(F678&lt;500,"100 a 500 USD",IF(F678&lt;2000,"500 a 2.000 USD","Más de 2.000 USD"))))</f>
        <v>500 a 2.000 USD</v>
      </c>
      <c r="H678" s="14" t="n">
        <f aca="false">IF(C678="","",MIN(D678,C678))</f>
        <v>10199.97735</v>
      </c>
    </row>
    <row r="679" customFormat="false" ht="15" hidden="false" customHeight="true" outlineLevel="0" collapsed="false">
      <c r="A679" s="12" t="s">
        <v>2088</v>
      </c>
      <c r="B679" s="14" t="n">
        <v>18.885</v>
      </c>
      <c r="C679" s="14" t="n">
        <f aca="false">IF('MRR Conglomerado'!AH679&gt;0,'MRR Conglomerado'!AH679,"")</f>
        <v>2083.95975</v>
      </c>
      <c r="D679" s="14" t="n">
        <f aca="false">IF(C679="","",'MRR Conglomerado'!AT679)</f>
        <v>0</v>
      </c>
      <c r="E679" s="15" t="n">
        <f aca="false">IF(C679="","",D679/C679)</f>
        <v>0</v>
      </c>
      <c r="F679" s="14" t="n">
        <f aca="false">IF(C679="","",C679/B679)</f>
        <v>110.35</v>
      </c>
      <c r="G679" s="12" t="str">
        <f aca="false">IF(F679="","",IF(F679&lt;100,"Menos de 100 USD",IF(F679&lt;500,"100 a 500 USD",IF(F679&lt;2000,"500 a 2.000 USD","Más de 2.000 USD"))))</f>
        <v>100 a 500 USD</v>
      </c>
      <c r="H679" s="14" t="n">
        <f aca="false">IF(C679="","",MIN(D679,C679))</f>
        <v>0</v>
      </c>
    </row>
    <row r="680" customFormat="false" ht="15" hidden="false" customHeight="true" outlineLevel="0" collapsed="false">
      <c r="A680" s="12" t="s">
        <v>2091</v>
      </c>
      <c r="B680" s="14" t="n">
        <v>18.885</v>
      </c>
      <c r="C680" s="14" t="str">
        <f aca="false">IF('MRR Conglomerado'!AH680&gt;0,'MRR Conglomerado'!AH680,"")</f>
        <v/>
      </c>
      <c r="D680" s="14" t="str">
        <f aca="false">IF(C680="","",'MRR Conglomerado'!AT680)</f>
        <v/>
      </c>
      <c r="E680" s="15" t="str">
        <f aca="false">IF(C680="","",D680/C680)</f>
        <v/>
      </c>
      <c r="F680" s="14" t="str">
        <f aca="false">IF(C680="","",C680/B680)</f>
        <v/>
      </c>
      <c r="G680" s="12" t="str">
        <f aca="false">IF(F680="","",IF(F680&lt;100,"Menos de 100 USD",IF(F680&lt;500,"100 a 500 USD",IF(F680&lt;2000,"500 a 2.000 USD","Más de 2.000 USD"))))</f>
        <v/>
      </c>
      <c r="H680" s="14" t="str">
        <f aca="false">IF(C680="","",MIN(D680,C680))</f>
        <v/>
      </c>
    </row>
    <row r="681" customFormat="false" ht="15" hidden="false" customHeight="true" outlineLevel="0" collapsed="false">
      <c r="A681" s="12" t="s">
        <v>2094</v>
      </c>
      <c r="B681" s="14" t="n">
        <v>18.885</v>
      </c>
      <c r="C681" s="14" t="n">
        <f aca="false">IF('MRR Conglomerado'!AH681&gt;0,'MRR Conglomerado'!AH681,"")</f>
        <v>2701.3104</v>
      </c>
      <c r="D681" s="14" t="n">
        <f aca="false">IF(C681="","",'MRR Conglomerado'!AT681)</f>
        <v>3665.535104</v>
      </c>
      <c r="E681" s="15" t="n">
        <f aca="false">IF(C681="","",D681/C681)</f>
        <v>1.35694702245251</v>
      </c>
      <c r="F681" s="14" t="n">
        <f aca="false">IF(C681="","",C681/B681)</f>
        <v>143.04</v>
      </c>
      <c r="G681" s="12" t="str">
        <f aca="false">IF(F681="","",IF(F681&lt;100,"Menos de 100 USD",IF(F681&lt;500,"100 a 500 USD",IF(F681&lt;2000,"500 a 2.000 USD","Más de 2.000 USD"))))</f>
        <v>100 a 500 USD</v>
      </c>
      <c r="H681" s="14" t="n">
        <f aca="false">IF(C681="","",MIN(D681,C681))</f>
        <v>2701.3104</v>
      </c>
    </row>
    <row r="682" customFormat="false" ht="15" hidden="false" customHeight="true" outlineLevel="0" collapsed="false">
      <c r="A682" s="12" t="s">
        <v>2097</v>
      </c>
      <c r="B682" s="14" t="n">
        <v>18.885</v>
      </c>
      <c r="C682" s="14" t="n">
        <f aca="false">IF('MRR Conglomerado'!AH682&gt;0,'MRR Conglomerado'!AH682,"")</f>
        <v>8449.71555</v>
      </c>
      <c r="D682" s="14" t="n">
        <f aca="false">IF(C682="","",'MRR Conglomerado'!AT682)</f>
        <v>0</v>
      </c>
      <c r="E682" s="15" t="n">
        <f aca="false">IF(C682="","",D682/C682)</f>
        <v>0</v>
      </c>
      <c r="F682" s="14" t="n">
        <f aca="false">IF(C682="","",C682/B682)</f>
        <v>447.43</v>
      </c>
      <c r="G682" s="12" t="str">
        <f aca="false">IF(F682="","",IF(F682&lt;100,"Menos de 100 USD",IF(F682&lt;500,"100 a 500 USD",IF(F682&lt;2000,"500 a 2.000 USD","Más de 2.000 USD"))))</f>
        <v>100 a 500 USD</v>
      </c>
      <c r="H682" s="14" t="n">
        <f aca="false">IF(C682="","",MIN(D682,C682))</f>
        <v>0</v>
      </c>
    </row>
    <row r="683" customFormat="false" ht="15" hidden="false" customHeight="true" outlineLevel="0" collapsed="false">
      <c r="A683" s="12" t="s">
        <v>2100</v>
      </c>
      <c r="B683" s="14" t="n">
        <v>18.885</v>
      </c>
      <c r="C683" s="14" t="str">
        <f aca="false">IF('MRR Conglomerado'!AH683&gt;0,'MRR Conglomerado'!AH683,"")</f>
        <v/>
      </c>
      <c r="D683" s="14" t="str">
        <f aca="false">IF(C683="","",'MRR Conglomerado'!AT683)</f>
        <v/>
      </c>
      <c r="E683" s="15" t="str">
        <f aca="false">IF(C683="","",D683/C683)</f>
        <v/>
      </c>
      <c r="F683" s="14" t="str">
        <f aca="false">IF(C683="","",C683/B683)</f>
        <v/>
      </c>
      <c r="G683" s="12" t="str">
        <f aca="false">IF(F683="","",IF(F683&lt;100,"Menos de 100 USD",IF(F683&lt;500,"100 a 500 USD",IF(F683&lt;2000,"500 a 2.000 USD","Más de 2.000 USD"))))</f>
        <v/>
      </c>
      <c r="H683" s="14" t="str">
        <f aca="false">IF(C683="","",MIN(D683,C683))</f>
        <v/>
      </c>
    </row>
    <row r="684" customFormat="false" ht="15" hidden="false" customHeight="true" outlineLevel="0" collapsed="false">
      <c r="A684" s="12" t="s">
        <v>2103</v>
      </c>
      <c r="B684" s="14" t="n">
        <v>18.885</v>
      </c>
      <c r="C684" s="14" t="n">
        <f aca="false">IF('MRR Conglomerado'!AH684&gt;0,'MRR Conglomerado'!AH684,"")</f>
        <v>1117.992</v>
      </c>
      <c r="D684" s="14" t="n">
        <f aca="false">IF(C684="","",'MRR Conglomerado'!AT684)</f>
        <v>0</v>
      </c>
      <c r="E684" s="15" t="n">
        <f aca="false">IF(C684="","",D684/C684)</f>
        <v>0</v>
      </c>
      <c r="F684" s="14" t="n">
        <f aca="false">IF(C684="","",C684/B684)</f>
        <v>59.2</v>
      </c>
      <c r="G684" s="12" t="str">
        <f aca="false">IF(F684="","",IF(F684&lt;100,"Menos de 100 USD",IF(F684&lt;500,"100 a 500 USD",IF(F684&lt;2000,"500 a 2.000 USD","Más de 2.000 USD"))))</f>
        <v>Menos de 100 USD</v>
      </c>
      <c r="H684" s="14" t="n">
        <f aca="false">IF(C684="","",MIN(D684,C684))</f>
        <v>0</v>
      </c>
    </row>
    <row r="685" customFormat="false" ht="15" hidden="false" customHeight="true" outlineLevel="0" collapsed="false">
      <c r="A685" s="12" t="s">
        <v>2106</v>
      </c>
      <c r="B685" s="14" t="n">
        <v>18.885</v>
      </c>
      <c r="C685" s="14" t="str">
        <f aca="false">IF('MRR Conglomerado'!AH685&gt;0,'MRR Conglomerado'!AH685,"")</f>
        <v/>
      </c>
      <c r="D685" s="14" t="str">
        <f aca="false">IF(C685="","",'MRR Conglomerado'!AT685)</f>
        <v/>
      </c>
      <c r="E685" s="15" t="str">
        <f aca="false">IF(C685="","",D685/C685)</f>
        <v/>
      </c>
      <c r="F685" s="14" t="str">
        <f aca="false">IF(C685="","",C685/B685)</f>
        <v/>
      </c>
      <c r="G685" s="12" t="str">
        <f aca="false">IF(F685="","",IF(F685&lt;100,"Menos de 100 USD",IF(F685&lt;500,"100 a 500 USD",IF(F685&lt;2000,"500 a 2.000 USD","Más de 2.000 USD"))))</f>
        <v/>
      </c>
      <c r="H685" s="14" t="str">
        <f aca="false">IF(C685="","",MIN(D685,C685))</f>
        <v/>
      </c>
    </row>
    <row r="686" customFormat="false" ht="15" hidden="false" customHeight="true" outlineLevel="0" collapsed="false">
      <c r="A686" s="12" t="s">
        <v>2109</v>
      </c>
      <c r="B686" s="14" t="n">
        <v>18.885</v>
      </c>
      <c r="C686" s="14" t="n">
        <f aca="false">IF('MRR Conglomerado'!AH686&gt;0,'MRR Conglomerado'!AH686,"")</f>
        <v>420.0024</v>
      </c>
      <c r="D686" s="14" t="n">
        <f aca="false">IF(C686="","",'MRR Conglomerado'!AT686)</f>
        <v>248.872752</v>
      </c>
      <c r="E686" s="15" t="n">
        <f aca="false">IF(C686="","",D686/C686)</f>
        <v>0.592550785424083</v>
      </c>
      <c r="F686" s="14" t="n">
        <f aca="false">IF(C686="","",C686/B686)</f>
        <v>22.24</v>
      </c>
      <c r="G686" s="12" t="str">
        <f aca="false">IF(F686="","",IF(F686&lt;100,"Menos de 100 USD",IF(F686&lt;500,"100 a 500 USD",IF(F686&lt;2000,"500 a 2.000 USD","Más de 2.000 USD"))))</f>
        <v>Menos de 100 USD</v>
      </c>
      <c r="H686" s="14" t="n">
        <f aca="false">IF(C686="","",MIN(D686,C686))</f>
        <v>248.872752</v>
      </c>
    </row>
    <row r="687" customFormat="false" ht="15" hidden="false" customHeight="true" outlineLevel="0" collapsed="false">
      <c r="A687" s="12" t="s">
        <v>2112</v>
      </c>
      <c r="B687" s="14" t="n">
        <v>18.885</v>
      </c>
      <c r="C687" s="14" t="n">
        <f aca="false">IF('MRR Conglomerado'!AH687&gt;0,'MRR Conglomerado'!AH687,"")</f>
        <v>60554.94135</v>
      </c>
      <c r="D687" s="14" t="n">
        <f aca="false">IF(C687="","",'MRR Conglomerado'!AT687)</f>
        <v>92499.981368</v>
      </c>
      <c r="E687" s="15" t="n">
        <f aca="false">IF(C687="","",D687/C687)</f>
        <v>1.52753812167634</v>
      </c>
      <c r="F687" s="14" t="n">
        <f aca="false">IF(C687="","",C687/B687)</f>
        <v>3206.51</v>
      </c>
      <c r="G687" s="12" t="str">
        <f aca="false">IF(F687="","",IF(F687&lt;100,"Menos de 100 USD",IF(F687&lt;500,"100 a 500 USD",IF(F687&lt;2000,"500 a 2.000 USD","Más de 2.000 USD"))))</f>
        <v>Más de 2.000 USD</v>
      </c>
      <c r="H687" s="14" t="n">
        <f aca="false">IF(C687="","",MIN(D687,C687))</f>
        <v>60554.94135</v>
      </c>
    </row>
    <row r="688" customFormat="false" ht="15" hidden="false" customHeight="true" outlineLevel="0" collapsed="false">
      <c r="A688" s="12" t="s">
        <v>2115</v>
      </c>
      <c r="B688" s="14" t="n">
        <v>18.885</v>
      </c>
      <c r="C688" s="14" t="n">
        <f aca="false">IF('MRR Conglomerado'!AH688&gt;0,'MRR Conglomerado'!AH688,"")</f>
        <v>7606.68915</v>
      </c>
      <c r="D688" s="14" t="n">
        <f aca="false">IF(C688="","",'MRR Conglomerado'!AT688)</f>
        <v>7616.871336</v>
      </c>
      <c r="E688" s="15" t="n">
        <f aca="false">IF(C688="","",D688/C688)</f>
        <v>1.00133858316006</v>
      </c>
      <c r="F688" s="14" t="n">
        <f aca="false">IF(C688="","",C688/B688)</f>
        <v>402.79</v>
      </c>
      <c r="G688" s="12" t="str">
        <f aca="false">IF(F688="","",IF(F688&lt;100,"Menos de 100 USD",IF(F688&lt;500,"100 a 500 USD",IF(F688&lt;2000,"500 a 2.000 USD","Más de 2.000 USD"))))</f>
        <v>100 a 500 USD</v>
      </c>
      <c r="H688" s="14" t="n">
        <f aca="false">IF(C688="","",MIN(D688,C688))</f>
        <v>7606.68915</v>
      </c>
    </row>
    <row r="689" customFormat="false" ht="15" hidden="false" customHeight="true" outlineLevel="0" collapsed="false">
      <c r="A689" s="12" t="s">
        <v>2118</v>
      </c>
      <c r="B689" s="14" t="n">
        <v>18.885</v>
      </c>
      <c r="C689" s="14" t="n">
        <f aca="false">IF('MRR Conglomerado'!AH689&gt;0,'MRR Conglomerado'!AH689,"")</f>
        <v>896.09325</v>
      </c>
      <c r="D689" s="14" t="n">
        <f aca="false">IF(C689="","",'MRR Conglomerado'!AT689)</f>
        <v>1017.543024</v>
      </c>
      <c r="E689" s="15" t="n">
        <f aca="false">IF(C689="","",D689/C689)</f>
        <v>1.13553251740263</v>
      </c>
      <c r="F689" s="14" t="n">
        <f aca="false">IF(C689="","",C689/B689)</f>
        <v>47.45</v>
      </c>
      <c r="G689" s="12" t="str">
        <f aca="false">IF(F689="","",IF(F689&lt;100,"Menos de 100 USD",IF(F689&lt;500,"100 a 500 USD",IF(F689&lt;2000,"500 a 2.000 USD","Más de 2.000 USD"))))</f>
        <v>Menos de 100 USD</v>
      </c>
      <c r="H689" s="14" t="n">
        <f aca="false">IF(C689="","",MIN(D689,C689))</f>
        <v>896.09325</v>
      </c>
    </row>
    <row r="690" customFormat="false" ht="15" hidden="false" customHeight="true" outlineLevel="0" collapsed="false">
      <c r="A690" s="12" t="s">
        <v>2121</v>
      </c>
      <c r="B690" s="14" t="n">
        <v>18.885</v>
      </c>
      <c r="C690" s="14" t="str">
        <f aca="false">IF('MRR Conglomerado'!AH690&gt;0,'MRR Conglomerado'!AH690,"")</f>
        <v/>
      </c>
      <c r="D690" s="14" t="str">
        <f aca="false">IF(C690="","",'MRR Conglomerado'!AT690)</f>
        <v/>
      </c>
      <c r="E690" s="15" t="str">
        <f aca="false">IF(C690="","",D690/C690)</f>
        <v/>
      </c>
      <c r="F690" s="14" t="str">
        <f aca="false">IF(C690="","",C690/B690)</f>
        <v/>
      </c>
      <c r="G690" s="12" t="str">
        <f aca="false">IF(F690="","",IF(F690&lt;100,"Menos de 100 USD",IF(F690&lt;500,"100 a 500 USD",IF(F690&lt;2000,"500 a 2.000 USD","Más de 2.000 USD"))))</f>
        <v/>
      </c>
      <c r="H690" s="14" t="str">
        <f aca="false">IF(C690="","",MIN(D690,C690))</f>
        <v/>
      </c>
    </row>
    <row r="691" customFormat="false" ht="15" hidden="false" customHeight="true" outlineLevel="0" collapsed="false">
      <c r="A691" s="12" t="s">
        <v>2124</v>
      </c>
      <c r="B691" s="14" t="n">
        <v>18.885</v>
      </c>
      <c r="C691" s="14" t="n">
        <f aca="false">IF('MRR Conglomerado'!AH691&gt;0,'MRR Conglomerado'!AH691,"")</f>
        <v>17760.02055</v>
      </c>
      <c r="D691" s="14" t="n">
        <f aca="false">IF(C691="","",'MRR Conglomerado'!AT691)</f>
        <v>8585.059848</v>
      </c>
      <c r="E691" s="15" t="n">
        <f aca="false">IF(C691="","",D691/C691)</f>
        <v>0.483392450128668</v>
      </c>
      <c r="F691" s="14" t="n">
        <f aca="false">IF(C691="","",C691/B691)</f>
        <v>940.43</v>
      </c>
      <c r="G691" s="12" t="str">
        <f aca="false">IF(F691="","",IF(F691&lt;100,"Menos de 100 USD",IF(F691&lt;500,"100 a 500 USD",IF(F691&lt;2000,"500 a 2.000 USD","Más de 2.000 USD"))))</f>
        <v>500 a 2.000 USD</v>
      </c>
      <c r="H691" s="14" t="n">
        <f aca="false">IF(C691="","",MIN(D691,C691))</f>
        <v>8585.059848</v>
      </c>
    </row>
    <row r="692" customFormat="false" ht="15" hidden="false" customHeight="true" outlineLevel="0" collapsed="false">
      <c r="A692" s="12" t="s">
        <v>2126</v>
      </c>
      <c r="B692" s="14" t="n">
        <v>18.885</v>
      </c>
      <c r="C692" s="14" t="str">
        <f aca="false">IF('MRR Conglomerado'!AH692&gt;0,'MRR Conglomerado'!AH692,"")</f>
        <v/>
      </c>
      <c r="D692" s="14" t="str">
        <f aca="false">IF(C692="","",'MRR Conglomerado'!AT692)</f>
        <v/>
      </c>
      <c r="E692" s="15" t="str">
        <f aca="false">IF(C692="","",D692/C692)</f>
        <v/>
      </c>
      <c r="F692" s="14" t="str">
        <f aca="false">IF(C692="","",C692/B692)</f>
        <v/>
      </c>
      <c r="G692" s="12" t="str">
        <f aca="false">IF(F692="","",IF(F692&lt;100,"Menos de 100 USD",IF(F692&lt;500,"100 a 500 USD",IF(F692&lt;2000,"500 a 2.000 USD","Más de 2.000 USD"))))</f>
        <v/>
      </c>
      <c r="H692" s="14" t="str">
        <f aca="false">IF(C692="","",MIN(D692,C692))</f>
        <v/>
      </c>
    </row>
    <row r="693" customFormat="false" ht="15" hidden="false" customHeight="true" outlineLevel="0" collapsed="false">
      <c r="A693" s="12" t="s">
        <v>2129</v>
      </c>
      <c r="B693" s="14" t="n">
        <v>18.885</v>
      </c>
      <c r="C693" s="14" t="n">
        <f aca="false">IF('MRR Conglomerado'!AH693&gt;0,'MRR Conglomerado'!AH693,"")</f>
        <v>504.04065</v>
      </c>
      <c r="D693" s="14" t="n">
        <f aca="false">IF(C693="","",'MRR Conglomerado'!AT693)</f>
        <v>0</v>
      </c>
      <c r="E693" s="15" t="n">
        <f aca="false">IF(C693="","",D693/C693)</f>
        <v>0</v>
      </c>
      <c r="F693" s="14" t="n">
        <f aca="false">IF(C693="","",C693/B693)</f>
        <v>26.69</v>
      </c>
      <c r="G693" s="12" t="str">
        <f aca="false">IF(F693="","",IF(F693&lt;100,"Menos de 100 USD",IF(F693&lt;500,"100 a 500 USD",IF(F693&lt;2000,"500 a 2.000 USD","Más de 2.000 USD"))))</f>
        <v>Menos de 100 USD</v>
      </c>
      <c r="H693" s="14" t="n">
        <f aca="false">IF(C693="","",MIN(D693,C693))</f>
        <v>0</v>
      </c>
    </row>
    <row r="694" customFormat="false" ht="15" hidden="false" customHeight="true" outlineLevel="0" collapsed="false">
      <c r="A694" s="12" t="s">
        <v>2132</v>
      </c>
      <c r="B694" s="14" t="n">
        <v>18.885</v>
      </c>
      <c r="C694" s="14" t="n">
        <f aca="false">IF('MRR Conglomerado'!AH694&gt;0,'MRR Conglomerado'!AH694,"")</f>
        <v>2448.2514</v>
      </c>
      <c r="D694" s="14" t="n">
        <f aca="false">IF(C694="","",'MRR Conglomerado'!AT694)</f>
        <v>0</v>
      </c>
      <c r="E694" s="15" t="n">
        <f aca="false">IF(C694="","",D694/C694)</f>
        <v>0</v>
      </c>
      <c r="F694" s="14" t="n">
        <f aca="false">IF(C694="","",C694/B694)</f>
        <v>129.64</v>
      </c>
      <c r="G694" s="12" t="str">
        <f aca="false">IF(F694="","",IF(F694&lt;100,"Menos de 100 USD",IF(F694&lt;500,"100 a 500 USD",IF(F694&lt;2000,"500 a 2.000 USD","Más de 2.000 USD"))))</f>
        <v>100 a 500 USD</v>
      </c>
      <c r="H694" s="14" t="n">
        <f aca="false">IF(C694="","",MIN(D694,C694))</f>
        <v>0</v>
      </c>
    </row>
    <row r="695" customFormat="false" ht="15" hidden="false" customHeight="true" outlineLevel="0" collapsed="false">
      <c r="A695" s="12" t="s">
        <v>2135</v>
      </c>
      <c r="B695" s="14" t="n">
        <v>18.885</v>
      </c>
      <c r="C695" s="14" t="n">
        <f aca="false">IF('MRR Conglomerado'!AH695&gt;0,'MRR Conglomerado'!AH695,"")</f>
        <v>3083.35395</v>
      </c>
      <c r="D695" s="14" t="n">
        <f aca="false">IF(C695="","",'MRR Conglomerado'!AT695)</f>
        <v>2394.743928</v>
      </c>
      <c r="E695" s="15" t="n">
        <f aca="false">IF(C695="","",D695/C695)</f>
        <v>0.77666851319486</v>
      </c>
      <c r="F695" s="14" t="n">
        <f aca="false">IF(C695="","",C695/B695)</f>
        <v>163.27</v>
      </c>
      <c r="G695" s="12" t="str">
        <f aca="false">IF(F695="","",IF(F695&lt;100,"Menos de 100 USD",IF(F695&lt;500,"100 a 500 USD",IF(F695&lt;2000,"500 a 2.000 USD","Más de 2.000 USD"))))</f>
        <v>100 a 500 USD</v>
      </c>
      <c r="H695" s="14" t="n">
        <f aca="false">IF(C695="","",MIN(D695,C695))</f>
        <v>2394.743928</v>
      </c>
    </row>
    <row r="696" customFormat="false" ht="15" hidden="false" customHeight="true" outlineLevel="0" collapsed="false">
      <c r="A696" s="12" t="s">
        <v>2138</v>
      </c>
      <c r="B696" s="14" t="n">
        <v>18.885</v>
      </c>
      <c r="C696" s="14" t="str">
        <f aca="false">IF('MRR Conglomerado'!AH696&gt;0,'MRR Conglomerado'!AH696,"")</f>
        <v/>
      </c>
      <c r="D696" s="14" t="str">
        <f aca="false">IF(C696="","",'MRR Conglomerado'!AT696)</f>
        <v/>
      </c>
      <c r="E696" s="15" t="str">
        <f aca="false">IF(C696="","",D696/C696)</f>
        <v/>
      </c>
      <c r="F696" s="14" t="str">
        <f aca="false">IF(C696="","",C696/B696)</f>
        <v/>
      </c>
      <c r="G696" s="12" t="str">
        <f aca="false">IF(F696="","",IF(F696&lt;100,"Menos de 100 USD",IF(F696&lt;500,"100 a 500 USD",IF(F696&lt;2000,"500 a 2.000 USD","Más de 2.000 USD"))))</f>
        <v/>
      </c>
      <c r="H696" s="14" t="str">
        <f aca="false">IF(C696="","",MIN(D696,C696))</f>
        <v/>
      </c>
    </row>
    <row r="697" customFormat="false" ht="15" hidden="false" customHeight="true" outlineLevel="0" collapsed="false">
      <c r="A697" s="12" t="s">
        <v>2141</v>
      </c>
      <c r="B697" s="14" t="n">
        <v>18.885</v>
      </c>
      <c r="C697" s="14" t="str">
        <f aca="false">IF('MRR Conglomerado'!AH697&gt;0,'MRR Conglomerado'!AH697,"")</f>
        <v/>
      </c>
      <c r="D697" s="14" t="str">
        <f aca="false">IF(C697="","",'MRR Conglomerado'!AT697)</f>
        <v/>
      </c>
      <c r="E697" s="15" t="str">
        <f aca="false">IF(C697="","",D697/C697)</f>
        <v/>
      </c>
      <c r="F697" s="14" t="str">
        <f aca="false">IF(C697="","",C697/B697)</f>
        <v/>
      </c>
      <c r="G697" s="12" t="str">
        <f aca="false">IF(F697="","",IF(F697&lt;100,"Menos de 100 USD",IF(F697&lt;500,"100 a 500 USD",IF(F697&lt;2000,"500 a 2.000 USD","Más de 2.000 USD"))))</f>
        <v/>
      </c>
      <c r="H697" s="14" t="str">
        <f aca="false">IF(C697="","",MIN(D697,C697))</f>
        <v/>
      </c>
    </row>
    <row r="698" customFormat="false" ht="15" hidden="false" customHeight="true" outlineLevel="0" collapsed="false">
      <c r="A698" s="12" t="s">
        <v>2144</v>
      </c>
      <c r="B698" s="14" t="n">
        <v>18.885</v>
      </c>
      <c r="C698" s="14" t="n">
        <f aca="false">IF('MRR Conglomerado'!AH698&gt;0,'MRR Conglomerado'!AH698,"")</f>
        <v>2533.9893</v>
      </c>
      <c r="D698" s="14" t="n">
        <f aca="false">IF(C698="","",'MRR Conglomerado'!AT698)</f>
        <v>2254.031064</v>
      </c>
      <c r="E698" s="15" t="n">
        <f aca="false">IF(C698="","",D698/C698)</f>
        <v>0.88951877736816</v>
      </c>
      <c r="F698" s="14" t="n">
        <f aca="false">IF(C698="","",C698/B698)</f>
        <v>134.18</v>
      </c>
      <c r="G698" s="12" t="str">
        <f aca="false">IF(F698="","",IF(F698&lt;100,"Menos de 100 USD",IF(F698&lt;500,"100 a 500 USD",IF(F698&lt;2000,"500 a 2.000 USD","Más de 2.000 USD"))))</f>
        <v>100 a 500 USD</v>
      </c>
      <c r="H698" s="14" t="n">
        <f aca="false">IF(C698="","",MIN(D698,C698))</f>
        <v>2254.031064</v>
      </c>
    </row>
    <row r="699" customFormat="false" ht="15" hidden="false" customHeight="true" outlineLevel="0" collapsed="false">
      <c r="A699" s="12" t="s">
        <v>2147</v>
      </c>
      <c r="B699" s="14" t="n">
        <v>18.885</v>
      </c>
      <c r="C699" s="14" t="n">
        <f aca="false">IF('MRR Conglomerado'!AH699&gt;0,'MRR Conglomerado'!AH699,"")</f>
        <v>12297.72315</v>
      </c>
      <c r="D699" s="14" t="n">
        <f aca="false">IF(C699="","",'MRR Conglomerado'!AT699)</f>
        <v>0</v>
      </c>
      <c r="E699" s="15" t="n">
        <f aca="false">IF(C699="","",D699/C699)</f>
        <v>0</v>
      </c>
      <c r="F699" s="14" t="n">
        <f aca="false">IF(C699="","",C699/B699)</f>
        <v>651.19</v>
      </c>
      <c r="G699" s="12" t="str">
        <f aca="false">IF(F699="","",IF(F699&lt;100,"Menos de 100 USD",IF(F699&lt;500,"100 a 500 USD",IF(F699&lt;2000,"500 a 2.000 USD","Más de 2.000 USD"))))</f>
        <v>500 a 2.000 USD</v>
      </c>
      <c r="H699" s="14" t="n">
        <f aca="false">IF(C699="","",MIN(D699,C699))</f>
        <v>0</v>
      </c>
    </row>
    <row r="700" customFormat="false" ht="15" hidden="false" customHeight="true" outlineLevel="0" collapsed="false">
      <c r="A700" s="12" t="s">
        <v>2150</v>
      </c>
      <c r="B700" s="14" t="n">
        <v>18.885</v>
      </c>
      <c r="C700" s="14" t="str">
        <f aca="false">IF('MRR Conglomerado'!AH700&gt;0,'MRR Conglomerado'!AH700,"")</f>
        <v/>
      </c>
      <c r="D700" s="14" t="str">
        <f aca="false">IF(C700="","",'MRR Conglomerado'!AT700)</f>
        <v/>
      </c>
      <c r="E700" s="15" t="str">
        <f aca="false">IF(C700="","",D700/C700)</f>
        <v/>
      </c>
      <c r="F700" s="14" t="str">
        <f aca="false">IF(C700="","",C700/B700)</f>
        <v/>
      </c>
      <c r="G700" s="12" t="str">
        <f aca="false">IF(F700="","",IF(F700&lt;100,"Menos de 100 USD",IF(F700&lt;500,"100 a 500 USD",IF(F700&lt;2000,"500 a 2.000 USD","Más de 2.000 USD"))))</f>
        <v/>
      </c>
      <c r="H700" s="14" t="str">
        <f aca="false">IF(C700="","",MIN(D700,C700))</f>
        <v/>
      </c>
    </row>
    <row r="701" customFormat="false" ht="15" hidden="false" customHeight="true" outlineLevel="0" collapsed="false">
      <c r="A701" s="12" t="s">
        <v>2153</v>
      </c>
      <c r="B701" s="14" t="n">
        <v>18.885</v>
      </c>
      <c r="C701" s="14" t="str">
        <f aca="false">IF('MRR Conglomerado'!AH701&gt;0,'MRR Conglomerado'!AH701,"")</f>
        <v/>
      </c>
      <c r="D701" s="14" t="str">
        <f aca="false">IF(C701="","",'MRR Conglomerado'!AT701)</f>
        <v/>
      </c>
      <c r="E701" s="15" t="str">
        <f aca="false">IF(C701="","",D701/C701)</f>
        <v/>
      </c>
      <c r="F701" s="14" t="str">
        <f aca="false">IF(C701="","",C701/B701)</f>
        <v/>
      </c>
      <c r="G701" s="12" t="str">
        <f aca="false">IF(F701="","",IF(F701&lt;100,"Menos de 100 USD",IF(F701&lt;500,"100 a 500 USD",IF(F701&lt;2000,"500 a 2.000 USD","Más de 2.000 USD"))))</f>
        <v/>
      </c>
      <c r="H701" s="14" t="str">
        <f aca="false">IF(C701="","",MIN(D701,C701))</f>
        <v/>
      </c>
    </row>
    <row r="702" customFormat="false" ht="15" hidden="false" customHeight="true" outlineLevel="0" collapsed="false">
      <c r="A702" s="12" t="s">
        <v>2155</v>
      </c>
      <c r="B702" s="14" t="n">
        <v>18.885</v>
      </c>
      <c r="C702" s="14" t="str">
        <f aca="false">IF('MRR Conglomerado'!AH702&gt;0,'MRR Conglomerado'!AH702,"")</f>
        <v/>
      </c>
      <c r="D702" s="14" t="str">
        <f aca="false">IF(C702="","",'MRR Conglomerado'!AT702)</f>
        <v/>
      </c>
      <c r="E702" s="15" t="str">
        <f aca="false">IF(C702="","",D702/C702)</f>
        <v/>
      </c>
      <c r="F702" s="14" t="str">
        <f aca="false">IF(C702="","",C702/B702)</f>
        <v/>
      </c>
      <c r="G702" s="12" t="str">
        <f aca="false">IF(F702="","",IF(F702&lt;100,"Menos de 100 USD",IF(F702&lt;500,"100 a 500 USD",IF(F702&lt;2000,"500 a 2.000 USD","Más de 2.000 USD"))))</f>
        <v/>
      </c>
      <c r="H702" s="14" t="str">
        <f aca="false">IF(C702="","",MIN(D702,C702))</f>
        <v/>
      </c>
    </row>
    <row r="703" customFormat="false" ht="15" hidden="false" customHeight="true" outlineLevel="0" collapsed="false">
      <c r="A703" s="12" t="s">
        <v>2158</v>
      </c>
      <c r="B703" s="14" t="n">
        <v>18.885</v>
      </c>
      <c r="C703" s="14" t="str">
        <f aca="false">IF('MRR Conglomerado'!AH703&gt;0,'MRR Conglomerado'!AH703,"")</f>
        <v/>
      </c>
      <c r="D703" s="14" t="str">
        <f aca="false">IF(C703="","",'MRR Conglomerado'!AT703)</f>
        <v/>
      </c>
      <c r="E703" s="15" t="str">
        <f aca="false">IF(C703="","",D703/C703)</f>
        <v/>
      </c>
      <c r="F703" s="14" t="str">
        <f aca="false">IF(C703="","",C703/B703)</f>
        <v/>
      </c>
      <c r="G703" s="12" t="str">
        <f aca="false">IF(F703="","",IF(F703&lt;100,"Menos de 100 USD",IF(F703&lt;500,"100 a 500 USD",IF(F703&lt;2000,"500 a 2.000 USD","Más de 2.000 USD"))))</f>
        <v/>
      </c>
      <c r="H703" s="14" t="str">
        <f aca="false">IF(C703="","",MIN(D703,C703))</f>
        <v/>
      </c>
    </row>
    <row r="704" customFormat="false" ht="15" hidden="false" customHeight="true" outlineLevel="0" collapsed="false">
      <c r="A704" s="12" t="s">
        <v>2161</v>
      </c>
      <c r="B704" s="14" t="n">
        <v>18.885</v>
      </c>
      <c r="C704" s="14" t="n">
        <f aca="false">IF('MRR Conglomerado'!AH704&gt;0,'MRR Conglomerado'!AH704,"")</f>
        <v>7492.8126</v>
      </c>
      <c r="D704" s="14" t="n">
        <f aca="false">IF(C704="","",'MRR Conglomerado'!AT704)</f>
        <v>10058.694568</v>
      </c>
      <c r="E704" s="15" t="n">
        <f aca="false">IF(C704="","",D704/C704)</f>
        <v>1.34244576836207</v>
      </c>
      <c r="F704" s="14" t="n">
        <f aca="false">IF(C704="","",C704/B704)</f>
        <v>396.76</v>
      </c>
      <c r="G704" s="12" t="str">
        <f aca="false">IF(F704="","",IF(F704&lt;100,"Menos de 100 USD",IF(F704&lt;500,"100 a 500 USD",IF(F704&lt;2000,"500 a 2.000 USD","Más de 2.000 USD"))))</f>
        <v>100 a 500 USD</v>
      </c>
      <c r="H704" s="14" t="n">
        <f aca="false">IF(C704="","",MIN(D704,C704))</f>
        <v>7492.8126</v>
      </c>
    </row>
    <row r="705" customFormat="false" ht="15" hidden="false" customHeight="true" outlineLevel="0" collapsed="false">
      <c r="A705" s="12" t="s">
        <v>2164</v>
      </c>
      <c r="B705" s="14" t="n">
        <v>18.885</v>
      </c>
      <c r="C705" s="14" t="n">
        <f aca="false">IF('MRR Conglomerado'!AH705&gt;0,'MRR Conglomerado'!AH705,"")</f>
        <v>8703.90765</v>
      </c>
      <c r="D705" s="14" t="n">
        <f aca="false">IF(C705="","",'MRR Conglomerado'!AT705)</f>
        <v>9061.803432</v>
      </c>
      <c r="E705" s="15" t="n">
        <f aca="false">IF(C705="","",D705/C705)</f>
        <v>1.04111897740551</v>
      </c>
      <c r="F705" s="14" t="n">
        <f aca="false">IF(C705="","",C705/B705)</f>
        <v>460.89</v>
      </c>
      <c r="G705" s="12" t="str">
        <f aca="false">IF(F705="","",IF(F705&lt;100,"Menos de 100 USD",IF(F705&lt;500,"100 a 500 USD",IF(F705&lt;2000,"500 a 2.000 USD","Más de 2.000 USD"))))</f>
        <v>100 a 500 USD</v>
      </c>
      <c r="H705" s="14" t="n">
        <f aca="false">IF(C705="","",MIN(D705,C705))</f>
        <v>8703.90765</v>
      </c>
    </row>
    <row r="706" customFormat="false" ht="15" hidden="false" customHeight="true" outlineLevel="0" collapsed="false">
      <c r="A706" s="12" t="s">
        <v>2167</v>
      </c>
      <c r="B706" s="14" t="n">
        <v>18.885</v>
      </c>
      <c r="C706" s="14" t="str">
        <f aca="false">IF('MRR Conglomerado'!AH706&gt;0,'MRR Conglomerado'!AH706,"")</f>
        <v/>
      </c>
      <c r="D706" s="14" t="str">
        <f aca="false">IF(C706="","",'MRR Conglomerado'!AT706)</f>
        <v/>
      </c>
      <c r="E706" s="15" t="str">
        <f aca="false">IF(C706="","",D706/C706)</f>
        <v/>
      </c>
      <c r="F706" s="14" t="str">
        <f aca="false">IF(C706="","",C706/B706)</f>
        <v/>
      </c>
      <c r="G706" s="12" t="str">
        <f aca="false">IF(F706="","",IF(F706&lt;100,"Menos de 100 USD",IF(F706&lt;500,"100 a 500 USD",IF(F706&lt;2000,"500 a 2.000 USD","Más de 2.000 USD"))))</f>
        <v/>
      </c>
      <c r="H706" s="14" t="str">
        <f aca="false">IF(C706="","",MIN(D706,C706))</f>
        <v/>
      </c>
    </row>
    <row r="707" customFormat="false" ht="15" hidden="false" customHeight="true" outlineLevel="0" collapsed="false">
      <c r="A707" s="12" t="s">
        <v>2170</v>
      </c>
      <c r="B707" s="14" t="n">
        <v>18.885</v>
      </c>
      <c r="C707" s="14" t="n">
        <f aca="false">IF('MRR Conglomerado'!AH707&gt;0,'MRR Conglomerado'!AH707,"")</f>
        <v>2506.0395</v>
      </c>
      <c r="D707" s="14" t="n">
        <f aca="false">IF(C707="","",'MRR Conglomerado'!AT707)</f>
        <v>2492.052824</v>
      </c>
      <c r="E707" s="15" t="n">
        <f aca="false">IF(C707="","",D707/C707)</f>
        <v>0.994418812632443</v>
      </c>
      <c r="F707" s="14" t="n">
        <f aca="false">IF(C707="","",C707/B707)</f>
        <v>132.7</v>
      </c>
      <c r="G707" s="12" t="str">
        <f aca="false">IF(F707="","",IF(F707&lt;100,"Menos de 100 USD",IF(F707&lt;500,"100 a 500 USD",IF(F707&lt;2000,"500 a 2.000 USD","Más de 2.000 USD"))))</f>
        <v>100 a 500 USD</v>
      </c>
      <c r="H707" s="14" t="n">
        <f aca="false">IF(C707="","",MIN(D707,C707))</f>
        <v>2492.052824</v>
      </c>
    </row>
    <row r="708" customFormat="false" ht="15" hidden="false" customHeight="true" outlineLevel="0" collapsed="false">
      <c r="A708" s="12" t="s">
        <v>2173</v>
      </c>
      <c r="B708" s="14" t="n">
        <v>18.885</v>
      </c>
      <c r="C708" s="14" t="str">
        <f aca="false">IF('MRR Conglomerado'!AH708&gt;0,'MRR Conglomerado'!AH708,"")</f>
        <v/>
      </c>
      <c r="D708" s="14" t="str">
        <f aca="false">IF(C708="","",'MRR Conglomerado'!AT708)</f>
        <v/>
      </c>
      <c r="E708" s="15" t="str">
        <f aca="false">IF(C708="","",D708/C708)</f>
        <v/>
      </c>
      <c r="F708" s="14" t="str">
        <f aca="false">IF(C708="","",C708/B708)</f>
        <v/>
      </c>
      <c r="G708" s="12" t="str">
        <f aca="false">IF(F708="","",IF(F708&lt;100,"Menos de 100 USD",IF(F708&lt;500,"100 a 500 USD",IF(F708&lt;2000,"500 a 2.000 USD","Más de 2.000 USD"))))</f>
        <v/>
      </c>
      <c r="H708" s="14" t="str">
        <f aca="false">IF(C708="","",MIN(D708,C708))</f>
        <v/>
      </c>
    </row>
    <row r="709" customFormat="false" ht="15" hidden="false" customHeight="true" outlineLevel="0" collapsed="false">
      <c r="A709" s="12" t="s">
        <v>2176</v>
      </c>
      <c r="B709" s="14" t="n">
        <v>18.885</v>
      </c>
      <c r="C709" s="14" t="str">
        <f aca="false">IF('MRR Conglomerado'!AH709&gt;0,'MRR Conglomerado'!AH709,"")</f>
        <v/>
      </c>
      <c r="D709" s="14" t="str">
        <f aca="false">IF(C709="","",'MRR Conglomerado'!AT709)</f>
        <v/>
      </c>
      <c r="E709" s="15" t="str">
        <f aca="false">IF(C709="","",D709/C709)</f>
        <v/>
      </c>
      <c r="F709" s="14" t="str">
        <f aca="false">IF(C709="","",C709/B709)</f>
        <v/>
      </c>
      <c r="G709" s="12" t="str">
        <f aca="false">IF(F709="","",IF(F709&lt;100,"Menos de 100 USD",IF(F709&lt;500,"100 a 500 USD",IF(F709&lt;2000,"500 a 2.000 USD","Más de 2.000 USD"))))</f>
        <v/>
      </c>
      <c r="H709" s="14" t="str">
        <f aca="false">IF(C709="","",MIN(D709,C709))</f>
        <v/>
      </c>
    </row>
    <row r="710" customFormat="false" ht="15" hidden="false" customHeight="true" outlineLevel="0" collapsed="false">
      <c r="A710" s="12" t="s">
        <v>2179</v>
      </c>
      <c r="B710" s="14" t="n">
        <v>18.885</v>
      </c>
      <c r="C710" s="14" t="str">
        <f aca="false">IF('MRR Conglomerado'!AH710&gt;0,'MRR Conglomerado'!AH710,"")</f>
        <v/>
      </c>
      <c r="D710" s="14" t="str">
        <f aca="false">IF(C710="","",'MRR Conglomerado'!AT710)</f>
        <v/>
      </c>
      <c r="E710" s="15" t="str">
        <f aca="false">IF(C710="","",D710/C710)</f>
        <v/>
      </c>
      <c r="F710" s="14" t="str">
        <f aca="false">IF(C710="","",C710/B710)</f>
        <v/>
      </c>
      <c r="G710" s="12" t="str">
        <f aca="false">IF(F710="","",IF(F710&lt;100,"Menos de 100 USD",IF(F710&lt;500,"100 a 500 USD",IF(F710&lt;2000,"500 a 2.000 USD","Más de 2.000 USD"))))</f>
        <v/>
      </c>
      <c r="H710" s="14" t="str">
        <f aca="false">IF(C710="","",MIN(D710,C710))</f>
        <v/>
      </c>
    </row>
    <row r="711" customFormat="false" ht="15" hidden="false" customHeight="true" outlineLevel="0" collapsed="false">
      <c r="A711" s="12" t="s">
        <v>2182</v>
      </c>
      <c r="B711" s="14" t="n">
        <v>18.885</v>
      </c>
      <c r="C711" s="14" t="str">
        <f aca="false">IF('MRR Conglomerado'!AH711&gt;0,'MRR Conglomerado'!AH711,"")</f>
        <v/>
      </c>
      <c r="D711" s="14" t="str">
        <f aca="false">IF(C711="","",'MRR Conglomerado'!AT711)</f>
        <v/>
      </c>
      <c r="E711" s="15" t="str">
        <f aca="false">IF(C711="","",D711/C711)</f>
        <v/>
      </c>
      <c r="F711" s="14" t="str">
        <f aca="false">IF(C711="","",C711/B711)</f>
        <v/>
      </c>
      <c r="G711" s="12" t="str">
        <f aca="false">IF(F711="","",IF(F711&lt;100,"Menos de 100 USD",IF(F711&lt;500,"100 a 500 USD",IF(F711&lt;2000,"500 a 2.000 USD","Más de 2.000 USD"))))</f>
        <v/>
      </c>
      <c r="H711" s="14" t="str">
        <f aca="false">IF(C711="","",MIN(D711,C711))</f>
        <v/>
      </c>
    </row>
    <row r="712" customFormat="false" ht="15" hidden="false" customHeight="true" outlineLevel="0" collapsed="false">
      <c r="A712" s="12" t="s">
        <v>2185</v>
      </c>
      <c r="B712" s="14" t="n">
        <v>18.885</v>
      </c>
      <c r="C712" s="14" t="str">
        <f aca="false">IF('MRR Conglomerado'!AH712&gt;0,'MRR Conglomerado'!AH712,"")</f>
        <v/>
      </c>
      <c r="D712" s="14" t="str">
        <f aca="false">IF(C712="","",'MRR Conglomerado'!AT712)</f>
        <v/>
      </c>
      <c r="E712" s="15" t="str">
        <f aca="false">IF(C712="","",D712/C712)</f>
        <v/>
      </c>
      <c r="F712" s="14" t="str">
        <f aca="false">IF(C712="","",C712/B712)</f>
        <v/>
      </c>
      <c r="G712" s="12" t="str">
        <f aca="false">IF(F712="","",IF(F712&lt;100,"Menos de 100 USD",IF(F712&lt;500,"100 a 500 USD",IF(F712&lt;2000,"500 a 2.000 USD","Más de 2.000 USD"))))</f>
        <v/>
      </c>
      <c r="H712" s="14" t="str">
        <f aca="false">IF(C712="","",MIN(D712,C712))</f>
        <v/>
      </c>
    </row>
    <row r="713" customFormat="false" ht="15" hidden="false" customHeight="true" outlineLevel="0" collapsed="false">
      <c r="A713" s="12" t="s">
        <v>2188</v>
      </c>
      <c r="B713" s="14" t="n">
        <v>18.885</v>
      </c>
      <c r="C713" s="14" t="str">
        <f aca="false">IF('MRR Conglomerado'!AH713&gt;0,'MRR Conglomerado'!AH713,"")</f>
        <v/>
      </c>
      <c r="D713" s="14" t="str">
        <f aca="false">IF(C713="","",'MRR Conglomerado'!AT713)</f>
        <v/>
      </c>
      <c r="E713" s="15" t="str">
        <f aca="false">IF(C713="","",D713/C713)</f>
        <v/>
      </c>
      <c r="F713" s="14" t="str">
        <f aca="false">IF(C713="","",C713/B713)</f>
        <v/>
      </c>
      <c r="G713" s="12" t="str">
        <f aca="false">IF(F713="","",IF(F713&lt;100,"Menos de 100 USD",IF(F713&lt;500,"100 a 500 USD",IF(F713&lt;2000,"500 a 2.000 USD","Más de 2.000 USD"))))</f>
        <v/>
      </c>
      <c r="H713" s="14" t="str">
        <f aca="false">IF(C713="","",MIN(D713,C713))</f>
        <v/>
      </c>
    </row>
    <row r="714" customFormat="false" ht="15" hidden="false" customHeight="true" outlineLevel="0" collapsed="false">
      <c r="A714" s="12" t="s">
        <v>2191</v>
      </c>
      <c r="B714" s="14" t="n">
        <v>18.885</v>
      </c>
      <c r="C714" s="14" t="str">
        <f aca="false">IF('MRR Conglomerado'!AH714&gt;0,'MRR Conglomerado'!AH714,"")</f>
        <v/>
      </c>
      <c r="D714" s="14" t="str">
        <f aca="false">IF(C714="","",'MRR Conglomerado'!AT714)</f>
        <v/>
      </c>
      <c r="E714" s="15" t="str">
        <f aca="false">IF(C714="","",D714/C714)</f>
        <v/>
      </c>
      <c r="F714" s="14" t="str">
        <f aca="false">IF(C714="","",C714/B714)</f>
        <v/>
      </c>
      <c r="G714" s="12" t="str">
        <f aca="false">IF(F714="","",IF(F714&lt;100,"Menos de 100 USD",IF(F714&lt;500,"100 a 500 USD",IF(F714&lt;2000,"500 a 2.000 USD","Más de 2.000 USD"))))</f>
        <v/>
      </c>
      <c r="H714" s="14" t="str">
        <f aca="false">IF(C714="","",MIN(D714,C714))</f>
        <v/>
      </c>
    </row>
    <row r="715" customFormat="false" ht="15" hidden="false" customHeight="true" outlineLevel="0" collapsed="false">
      <c r="A715" s="12" t="s">
        <v>2194</v>
      </c>
      <c r="B715" s="14" t="n">
        <v>18.885</v>
      </c>
      <c r="C715" s="14" t="n">
        <f aca="false">IF('MRR Conglomerado'!AH715&gt;0,'MRR Conglomerado'!AH715,"")</f>
        <v>17000.08815</v>
      </c>
      <c r="D715" s="14" t="n">
        <f aca="false">IF(C715="","",'MRR Conglomerado'!AT715)</f>
        <v>26354.959376</v>
      </c>
      <c r="E715" s="15" t="n">
        <f aca="false">IF(C715="","",D715/C715)</f>
        <v>1.55028368932311</v>
      </c>
      <c r="F715" s="14" t="n">
        <f aca="false">IF(C715="","",C715/B715)</f>
        <v>900.19</v>
      </c>
      <c r="G715" s="12" t="str">
        <f aca="false">IF(F715="","",IF(F715&lt;100,"Menos de 100 USD",IF(F715&lt;500,"100 a 500 USD",IF(F715&lt;2000,"500 a 2.000 USD","Más de 2.000 USD"))))</f>
        <v>500 a 2.000 USD</v>
      </c>
      <c r="H715" s="14" t="n">
        <f aca="false">IF(C715="","",MIN(D715,C715))</f>
        <v>17000.08815</v>
      </c>
    </row>
    <row r="716" customFormat="false" ht="15" hidden="false" customHeight="true" outlineLevel="0" collapsed="false">
      <c r="A716" s="12" t="s">
        <v>2197</v>
      </c>
      <c r="B716" s="14" t="n">
        <v>18.885</v>
      </c>
      <c r="C716" s="14" t="str">
        <f aca="false">IF('MRR Conglomerado'!AH716&gt;0,'MRR Conglomerado'!AH716,"")</f>
        <v/>
      </c>
      <c r="D716" s="14" t="str">
        <f aca="false">IF(C716="","",'MRR Conglomerado'!AT716)</f>
        <v/>
      </c>
      <c r="E716" s="15" t="str">
        <f aca="false">IF(C716="","",D716/C716)</f>
        <v/>
      </c>
      <c r="F716" s="14" t="str">
        <f aca="false">IF(C716="","",C716/B716)</f>
        <v/>
      </c>
      <c r="G716" s="12" t="str">
        <f aca="false">IF(F716="","",IF(F716&lt;100,"Menos de 100 USD",IF(F716&lt;500,"100 a 500 USD",IF(F716&lt;2000,"500 a 2.000 USD","Más de 2.000 USD"))))</f>
        <v/>
      </c>
      <c r="H716" s="14" t="str">
        <f aca="false">IF(C716="","",MIN(D716,C716))</f>
        <v/>
      </c>
    </row>
    <row r="717" customFormat="false" ht="15" hidden="false" customHeight="true" outlineLevel="0" collapsed="false">
      <c r="A717" s="12" t="s">
        <v>2200</v>
      </c>
      <c r="B717" s="14" t="n">
        <v>18.885</v>
      </c>
      <c r="C717" s="14" t="n">
        <f aca="false">IF('MRR Conglomerado'!AH717&gt;0,'MRR Conglomerado'!AH717,"")</f>
        <v>3063.5247</v>
      </c>
      <c r="D717" s="14" t="n">
        <f aca="false">IF(C717="","",'MRR Conglomerado'!AT717)</f>
        <v>3565.600968</v>
      </c>
      <c r="E717" s="15" t="n">
        <f aca="false">IF(C717="","",D717/C717)</f>
        <v>1.16388843478233</v>
      </c>
      <c r="F717" s="14" t="n">
        <f aca="false">IF(C717="","",C717/B717)</f>
        <v>162.22</v>
      </c>
      <c r="G717" s="12" t="str">
        <f aca="false">IF(F717="","",IF(F717&lt;100,"Menos de 100 USD",IF(F717&lt;500,"100 a 500 USD",IF(F717&lt;2000,"500 a 2.000 USD","Más de 2.000 USD"))))</f>
        <v>100 a 500 USD</v>
      </c>
      <c r="H717" s="14" t="n">
        <f aca="false">IF(C717="","",MIN(D717,C717))</f>
        <v>3063.5247</v>
      </c>
    </row>
    <row r="718" customFormat="false" ht="15" hidden="false" customHeight="true" outlineLevel="0" collapsed="false">
      <c r="A718" s="12" t="s">
        <v>2203</v>
      </c>
      <c r="B718" s="14" t="n">
        <v>18.885</v>
      </c>
      <c r="C718" s="14" t="n">
        <f aca="false">IF('MRR Conglomerado'!AH718&gt;0,'MRR Conglomerado'!AH718,"")</f>
        <v>45570.07155</v>
      </c>
      <c r="D718" s="14" t="n">
        <f aca="false">IF(C718="","",'MRR Conglomerado'!AT718)</f>
        <v>61440.066864</v>
      </c>
      <c r="E718" s="15" t="n">
        <f aca="false">IF(C718="","",D718/C718)</f>
        <v>1.34825478157495</v>
      </c>
      <c r="F718" s="14" t="n">
        <f aca="false">IF(C718="","",C718/B718)</f>
        <v>2413.03</v>
      </c>
      <c r="G718" s="12" t="str">
        <f aca="false">IF(F718="","",IF(F718&lt;100,"Menos de 100 USD",IF(F718&lt;500,"100 a 500 USD",IF(F718&lt;2000,"500 a 2.000 USD","Más de 2.000 USD"))))</f>
        <v>Más de 2.000 USD</v>
      </c>
      <c r="H718" s="14" t="n">
        <f aca="false">IF(C718="","",MIN(D718,C718))</f>
        <v>45570.07155</v>
      </c>
    </row>
    <row r="719" customFormat="false" ht="15" hidden="false" customHeight="true" outlineLevel="0" collapsed="false">
      <c r="A719" s="12" t="s">
        <v>2206</v>
      </c>
      <c r="B719" s="14" t="n">
        <v>18.885</v>
      </c>
      <c r="C719" s="14" t="str">
        <f aca="false">IF('MRR Conglomerado'!AH719&gt;0,'MRR Conglomerado'!AH719,"")</f>
        <v/>
      </c>
      <c r="D719" s="14" t="str">
        <f aca="false">IF(C719="","",'MRR Conglomerado'!AT719)</f>
        <v/>
      </c>
      <c r="E719" s="15" t="str">
        <f aca="false">IF(C719="","",D719/C719)</f>
        <v/>
      </c>
      <c r="F719" s="14" t="str">
        <f aca="false">IF(C719="","",C719/B719)</f>
        <v/>
      </c>
      <c r="G719" s="12" t="str">
        <f aca="false">IF(F719="","",IF(F719&lt;100,"Menos de 100 USD",IF(F719&lt;500,"100 a 500 USD",IF(F719&lt;2000,"500 a 2.000 USD","Más de 2.000 USD"))))</f>
        <v/>
      </c>
      <c r="H719" s="14" t="str">
        <f aca="false">IF(C719="","",MIN(D719,C719))</f>
        <v/>
      </c>
    </row>
    <row r="720" customFormat="false" ht="15" hidden="false" customHeight="true" outlineLevel="0" collapsed="false">
      <c r="A720" s="12" t="s">
        <v>2209</v>
      </c>
      <c r="B720" s="14" t="n">
        <v>18.885</v>
      </c>
      <c r="C720" s="14" t="str">
        <f aca="false">IF('MRR Conglomerado'!AH720&gt;0,'MRR Conglomerado'!AH720,"")</f>
        <v/>
      </c>
      <c r="D720" s="14" t="str">
        <f aca="false">IF(C720="","",'MRR Conglomerado'!AT720)</f>
        <v/>
      </c>
      <c r="E720" s="15" t="str">
        <f aca="false">IF(C720="","",D720/C720)</f>
        <v/>
      </c>
      <c r="F720" s="14" t="str">
        <f aca="false">IF(C720="","",C720/B720)</f>
        <v/>
      </c>
      <c r="G720" s="12" t="str">
        <f aca="false">IF(F720="","",IF(F720&lt;100,"Menos de 100 USD",IF(F720&lt;500,"100 a 500 USD",IF(F720&lt;2000,"500 a 2.000 USD","Más de 2.000 USD"))))</f>
        <v/>
      </c>
      <c r="H720" s="14" t="str">
        <f aca="false">IF(C720="","",MIN(D720,C720))</f>
        <v/>
      </c>
    </row>
    <row r="721" customFormat="false" ht="15" hidden="false" customHeight="true" outlineLevel="0" collapsed="false">
      <c r="A721" s="12" t="s">
        <v>2212</v>
      </c>
      <c r="B721" s="14" t="n">
        <v>18.885</v>
      </c>
      <c r="C721" s="14" t="str">
        <f aca="false">IF('MRR Conglomerado'!AH721&gt;0,'MRR Conglomerado'!AH721,"")</f>
        <v/>
      </c>
      <c r="D721" s="14" t="str">
        <f aca="false">IF(C721="","",'MRR Conglomerado'!AT721)</f>
        <v/>
      </c>
      <c r="E721" s="15" t="str">
        <f aca="false">IF(C721="","",D721/C721)</f>
        <v/>
      </c>
      <c r="F721" s="14" t="str">
        <f aca="false">IF(C721="","",C721/B721)</f>
        <v/>
      </c>
      <c r="G721" s="12" t="str">
        <f aca="false">IF(F721="","",IF(F721&lt;100,"Menos de 100 USD",IF(F721&lt;500,"100 a 500 USD",IF(F721&lt;2000,"500 a 2.000 USD","Más de 2.000 USD"))))</f>
        <v/>
      </c>
      <c r="H721" s="14" t="str">
        <f aca="false">IF(C721="","",MIN(D721,C721))</f>
        <v/>
      </c>
    </row>
    <row r="722" customFormat="false" ht="15" hidden="false" customHeight="true" outlineLevel="0" collapsed="false">
      <c r="A722" s="12" t="s">
        <v>2215</v>
      </c>
      <c r="B722" s="14" t="n">
        <v>18.885</v>
      </c>
      <c r="C722" s="14" t="n">
        <f aca="false">IF('MRR Conglomerado'!AH722&gt;0,'MRR Conglomerado'!AH722,"")</f>
        <v>5974.4586</v>
      </c>
      <c r="D722" s="14" t="n">
        <f aca="false">IF(C722="","",'MRR Conglomerado'!AT722)</f>
        <v>6313.002136</v>
      </c>
      <c r="E722" s="15" t="n">
        <f aca="false">IF(C722="","",D722/C722)</f>
        <v>1.05666514050328</v>
      </c>
      <c r="F722" s="14" t="n">
        <f aca="false">IF(C722="","",C722/B722)</f>
        <v>316.36</v>
      </c>
      <c r="G722" s="12" t="str">
        <f aca="false">IF(F722="","",IF(F722&lt;100,"Menos de 100 USD",IF(F722&lt;500,"100 a 500 USD",IF(F722&lt;2000,"500 a 2.000 USD","Más de 2.000 USD"))))</f>
        <v>100 a 500 USD</v>
      </c>
      <c r="H722" s="14" t="n">
        <f aca="false">IF(C722="","",MIN(D722,C722))</f>
        <v>5974.4586</v>
      </c>
    </row>
    <row r="723" customFormat="false" ht="15" hidden="false" customHeight="true" outlineLevel="0" collapsed="false">
      <c r="A723" s="12" t="s">
        <v>2218</v>
      </c>
      <c r="B723" s="14" t="n">
        <v>18.885</v>
      </c>
      <c r="C723" s="14" t="n">
        <f aca="false">IF('MRR Conglomerado'!AH723&gt;0,'MRR Conglomerado'!AH723,"")</f>
        <v>15678.51585</v>
      </c>
      <c r="D723" s="14" t="n">
        <f aca="false">IF(C723="","",'MRR Conglomerado'!AT723)</f>
        <v>25684.648096</v>
      </c>
      <c r="E723" s="15" t="n">
        <f aca="false">IF(C723="","",D723/C723)</f>
        <v>1.63820659695924</v>
      </c>
      <c r="F723" s="14" t="n">
        <f aca="false">IF(C723="","",C723/B723)</f>
        <v>830.21</v>
      </c>
      <c r="G723" s="12" t="str">
        <f aca="false">IF(F723="","",IF(F723&lt;100,"Menos de 100 USD",IF(F723&lt;500,"100 a 500 USD",IF(F723&lt;2000,"500 a 2.000 USD","Más de 2.000 USD"))))</f>
        <v>500 a 2.000 USD</v>
      </c>
      <c r="H723" s="14" t="n">
        <f aca="false">IF(C723="","",MIN(D723,C723))</f>
        <v>15678.51585</v>
      </c>
    </row>
    <row r="724" customFormat="false" ht="15" hidden="false" customHeight="true" outlineLevel="0" collapsed="false">
      <c r="A724" s="12" t="s">
        <v>2221</v>
      </c>
      <c r="B724" s="14" t="n">
        <v>18.885</v>
      </c>
      <c r="C724" s="14" t="n">
        <f aca="false">IF('MRR Conglomerado'!AH724&gt;0,'MRR Conglomerado'!AH724,"")</f>
        <v>2140.8036</v>
      </c>
      <c r="D724" s="14" t="n">
        <f aca="false">IF(C724="","",'MRR Conglomerado'!AT724)</f>
        <v>2011.80892</v>
      </c>
      <c r="E724" s="15" t="n">
        <f aca="false">IF(C724="","",D724/C724)</f>
        <v>0.939744738844796</v>
      </c>
      <c r="F724" s="14" t="n">
        <f aca="false">IF(C724="","",C724/B724)</f>
        <v>113.36</v>
      </c>
      <c r="G724" s="12" t="str">
        <f aca="false">IF(F724="","",IF(F724&lt;100,"Menos de 100 USD",IF(F724&lt;500,"100 a 500 USD",IF(F724&lt;2000,"500 a 2.000 USD","Más de 2.000 USD"))))</f>
        <v>100 a 500 USD</v>
      </c>
      <c r="H724" s="14" t="n">
        <f aca="false">IF(C724="","",MIN(D724,C724))</f>
        <v>2011.80892</v>
      </c>
    </row>
    <row r="725" customFormat="false" ht="15" hidden="false" customHeight="true" outlineLevel="0" collapsed="false">
      <c r="A725" s="12" t="s">
        <v>2224</v>
      </c>
      <c r="B725" s="14" t="n">
        <v>18.885</v>
      </c>
      <c r="C725" s="14" t="str">
        <f aca="false">IF('MRR Conglomerado'!AH725&gt;0,'MRR Conglomerado'!AH725,"")</f>
        <v/>
      </c>
      <c r="D725" s="14" t="str">
        <f aca="false">IF(C725="","",'MRR Conglomerado'!AT725)</f>
        <v/>
      </c>
      <c r="E725" s="15" t="str">
        <f aca="false">IF(C725="","",D725/C725)</f>
        <v/>
      </c>
      <c r="F725" s="14" t="str">
        <f aca="false">IF(C725="","",C725/B725)</f>
        <v/>
      </c>
      <c r="G725" s="12" t="str">
        <f aca="false">IF(F725="","",IF(F725&lt;100,"Menos de 100 USD",IF(F725&lt;500,"100 a 500 USD",IF(F725&lt;2000,"500 a 2.000 USD","Más de 2.000 USD"))))</f>
        <v/>
      </c>
      <c r="H725" s="14" t="str">
        <f aca="false">IF(C725="","",MIN(D725,C725))</f>
        <v/>
      </c>
    </row>
    <row r="726" customFormat="false" ht="15" hidden="false" customHeight="true" outlineLevel="0" collapsed="false">
      <c r="A726" s="12" t="s">
        <v>2227</v>
      </c>
      <c r="B726" s="14" t="n">
        <v>18.885</v>
      </c>
      <c r="C726" s="14" t="n">
        <f aca="false">IF('MRR Conglomerado'!AH726&gt;0,'MRR Conglomerado'!AH726,"")</f>
        <v>16774.22355</v>
      </c>
      <c r="D726" s="14" t="n">
        <f aca="false">IF(C726="","",'MRR Conglomerado'!AT726)</f>
        <v>10782.210712</v>
      </c>
      <c r="E726" s="15" t="n">
        <f aca="false">IF(C726="","",D726/C726)</f>
        <v>0.642784488942858</v>
      </c>
      <c r="F726" s="14" t="n">
        <f aca="false">IF(C726="","",C726/B726)</f>
        <v>888.23</v>
      </c>
      <c r="G726" s="12" t="str">
        <f aca="false">IF(F726="","",IF(F726&lt;100,"Menos de 100 USD",IF(F726&lt;500,"100 a 500 USD",IF(F726&lt;2000,"500 a 2.000 USD","Más de 2.000 USD"))))</f>
        <v>500 a 2.000 USD</v>
      </c>
      <c r="H726" s="14" t="n">
        <f aca="false">IF(C726="","",MIN(D726,C726))</f>
        <v>10782.210712</v>
      </c>
    </row>
    <row r="727" customFormat="false" ht="15" hidden="false" customHeight="true" outlineLevel="0" collapsed="false">
      <c r="A727" s="12" t="s">
        <v>2230</v>
      </c>
      <c r="B727" s="14" t="n">
        <v>18.885</v>
      </c>
      <c r="C727" s="14" t="n">
        <f aca="false">IF('MRR Conglomerado'!AH727&gt;0,'MRR Conglomerado'!AH727,"")</f>
        <v>8981.51715</v>
      </c>
      <c r="D727" s="14" t="n">
        <f aca="false">IF(C727="","",'MRR Conglomerado'!AT727)</f>
        <v>7610.920792</v>
      </c>
      <c r="E727" s="15" t="n">
        <f aca="false">IF(C727="","",D727/C727)</f>
        <v>0.847398124937055</v>
      </c>
      <c r="F727" s="14" t="n">
        <f aca="false">IF(C727="","",C727/B727)</f>
        <v>475.59</v>
      </c>
      <c r="G727" s="12" t="str">
        <f aca="false">IF(F727="","",IF(F727&lt;100,"Menos de 100 USD",IF(F727&lt;500,"100 a 500 USD",IF(F727&lt;2000,"500 a 2.000 USD","Más de 2.000 USD"))))</f>
        <v>100 a 500 USD</v>
      </c>
      <c r="H727" s="14" t="n">
        <f aca="false">IF(C727="","",MIN(D727,C727))</f>
        <v>7610.920792</v>
      </c>
    </row>
    <row r="728" customFormat="false" ht="15" hidden="false" customHeight="true" outlineLevel="0" collapsed="false">
      <c r="A728" s="12" t="s">
        <v>2233</v>
      </c>
      <c r="B728" s="14" t="n">
        <v>18.885</v>
      </c>
      <c r="C728" s="14" t="str">
        <f aca="false">IF('MRR Conglomerado'!AH728&gt;0,'MRR Conglomerado'!AH728,"")</f>
        <v/>
      </c>
      <c r="D728" s="14" t="str">
        <f aca="false">IF(C728="","",'MRR Conglomerado'!AT728)</f>
        <v/>
      </c>
      <c r="E728" s="15" t="str">
        <f aca="false">IF(C728="","",D728/C728)</f>
        <v/>
      </c>
      <c r="F728" s="14" t="str">
        <f aca="false">IF(C728="","",C728/B728)</f>
        <v/>
      </c>
      <c r="G728" s="12" t="str">
        <f aca="false">IF(F728="","",IF(F728&lt;100,"Menos de 100 USD",IF(F728&lt;500,"100 a 500 USD",IF(F728&lt;2000,"500 a 2.000 USD","Más de 2.000 USD"))))</f>
        <v/>
      </c>
      <c r="H728" s="14" t="str">
        <f aca="false">IF(C728="","",MIN(D728,C728))</f>
        <v/>
      </c>
    </row>
    <row r="729" customFormat="false" ht="15" hidden="false" customHeight="true" outlineLevel="0" collapsed="false">
      <c r="A729" s="12" t="s">
        <v>2236</v>
      </c>
      <c r="B729" s="14" t="n">
        <v>18.885</v>
      </c>
      <c r="C729" s="14" t="n">
        <f aca="false">IF('MRR Conglomerado'!AH729&gt;0,'MRR Conglomerado'!AH729,"")</f>
        <v>9056.4906</v>
      </c>
      <c r="D729" s="14" t="n">
        <f aca="false">IF(C729="","",'MRR Conglomerado'!AT729)</f>
        <v>10461.406384</v>
      </c>
      <c r="E729" s="15" t="n">
        <f aca="false">IF(C729="","",D729/C729)</f>
        <v>1.15512805633564</v>
      </c>
      <c r="F729" s="14" t="n">
        <f aca="false">IF(C729="","",C729/B729)</f>
        <v>479.56</v>
      </c>
      <c r="G729" s="12" t="str">
        <f aca="false">IF(F729="","",IF(F729&lt;100,"Menos de 100 USD",IF(F729&lt;500,"100 a 500 USD",IF(F729&lt;2000,"500 a 2.000 USD","Más de 2.000 USD"))))</f>
        <v>100 a 500 USD</v>
      </c>
      <c r="H729" s="14" t="n">
        <f aca="false">IF(C729="","",MIN(D729,C729))</f>
        <v>9056.4906</v>
      </c>
    </row>
    <row r="730" customFormat="false" ht="15" hidden="false" customHeight="true" outlineLevel="0" collapsed="false">
      <c r="A730" s="12" t="s">
        <v>2239</v>
      </c>
      <c r="B730" s="14" t="n">
        <v>18.885</v>
      </c>
      <c r="C730" s="14" t="str">
        <f aca="false">IF('MRR Conglomerado'!AH730&gt;0,'MRR Conglomerado'!AH730,"")</f>
        <v/>
      </c>
      <c r="D730" s="14" t="str">
        <f aca="false">IF(C730="","",'MRR Conglomerado'!AT730)</f>
        <v/>
      </c>
      <c r="E730" s="15" t="str">
        <f aca="false">IF(C730="","",D730/C730)</f>
        <v/>
      </c>
      <c r="F730" s="14" t="str">
        <f aca="false">IF(C730="","",C730/B730)</f>
        <v/>
      </c>
      <c r="G730" s="12" t="str">
        <f aca="false">IF(F730="","",IF(F730&lt;100,"Menos de 100 USD",IF(F730&lt;500,"100 a 500 USD",IF(F730&lt;2000,"500 a 2.000 USD","Más de 2.000 USD"))))</f>
        <v/>
      </c>
      <c r="H730" s="14" t="str">
        <f aca="false">IF(C730="","",MIN(D730,C730))</f>
        <v/>
      </c>
    </row>
    <row r="731" customFormat="false" ht="15" hidden="false" customHeight="true" outlineLevel="0" collapsed="false">
      <c r="A731" s="12" t="s">
        <v>2242</v>
      </c>
      <c r="B731" s="14" t="n">
        <v>18.885</v>
      </c>
      <c r="C731" s="14" t="str">
        <f aca="false">IF('MRR Conglomerado'!AH731&gt;0,'MRR Conglomerado'!AH731,"")</f>
        <v/>
      </c>
      <c r="D731" s="14" t="str">
        <f aca="false">IF(C731="","",'MRR Conglomerado'!AT731)</f>
        <v/>
      </c>
      <c r="E731" s="15" t="str">
        <f aca="false">IF(C731="","",D731/C731)</f>
        <v/>
      </c>
      <c r="F731" s="14" t="str">
        <f aca="false">IF(C731="","",C731/B731)</f>
        <v/>
      </c>
      <c r="G731" s="12" t="str">
        <f aca="false">IF(F731="","",IF(F731&lt;100,"Menos de 100 USD",IF(F731&lt;500,"100 a 500 USD",IF(F731&lt;2000,"500 a 2.000 USD","Más de 2.000 USD"))))</f>
        <v/>
      </c>
      <c r="H731" s="14" t="str">
        <f aca="false">IF(C731="","",MIN(D731,C731))</f>
        <v/>
      </c>
    </row>
    <row r="732" customFormat="false" ht="15" hidden="false" customHeight="true" outlineLevel="0" collapsed="false">
      <c r="A732" s="12" t="s">
        <v>2245</v>
      </c>
      <c r="B732" s="14" t="n">
        <v>18.885</v>
      </c>
      <c r="C732" s="14" t="n">
        <f aca="false">IF('MRR Conglomerado'!AH732&gt;0,'MRR Conglomerado'!AH732,"")</f>
        <v>17237.8503</v>
      </c>
      <c r="D732" s="14" t="n">
        <f aca="false">IF(C732="","",'MRR Conglomerado'!AT732)</f>
        <v>15156.3856</v>
      </c>
      <c r="E732" s="15" t="n">
        <f aca="false">IF(C732="","",D732/C732)</f>
        <v>0.879250332044014</v>
      </c>
      <c r="F732" s="14" t="n">
        <f aca="false">IF(C732="","",C732/B732)</f>
        <v>912.78</v>
      </c>
      <c r="G732" s="12" t="str">
        <f aca="false">IF(F732="","",IF(F732&lt;100,"Menos de 100 USD",IF(F732&lt;500,"100 a 500 USD",IF(F732&lt;2000,"500 a 2.000 USD","Más de 2.000 USD"))))</f>
        <v>500 a 2.000 USD</v>
      </c>
      <c r="H732" s="14" t="n">
        <f aca="false">IF(C732="","",MIN(D732,C732))</f>
        <v>15156.3856</v>
      </c>
    </row>
    <row r="733" customFormat="false" ht="15" hidden="false" customHeight="true" outlineLevel="0" collapsed="false">
      <c r="A733" s="12" t="s">
        <v>2248</v>
      </c>
      <c r="B733" s="14" t="n">
        <v>18.885</v>
      </c>
      <c r="C733" s="14" t="str">
        <f aca="false">IF('MRR Conglomerado'!AH733&gt;0,'MRR Conglomerado'!AH733,"")</f>
        <v/>
      </c>
      <c r="D733" s="14" t="str">
        <f aca="false">IF(C733="","",'MRR Conglomerado'!AT733)</f>
        <v/>
      </c>
      <c r="E733" s="15" t="str">
        <f aca="false">IF(C733="","",D733/C733)</f>
        <v/>
      </c>
      <c r="F733" s="14" t="str">
        <f aca="false">IF(C733="","",C733/B733)</f>
        <v/>
      </c>
      <c r="G733" s="12" t="str">
        <f aca="false">IF(F733="","",IF(F733&lt;100,"Menos de 100 USD",IF(F733&lt;500,"100 a 500 USD",IF(F733&lt;2000,"500 a 2.000 USD","Más de 2.000 USD"))))</f>
        <v/>
      </c>
      <c r="H733" s="14" t="str">
        <f aca="false">IF(C733="","",MIN(D733,C733))</f>
        <v/>
      </c>
    </row>
    <row r="734" customFormat="false" ht="15" hidden="false" customHeight="true" outlineLevel="0" collapsed="false">
      <c r="A734" s="12" t="s">
        <v>2251</v>
      </c>
      <c r="B734" s="14" t="n">
        <v>18.885</v>
      </c>
      <c r="C734" s="14" t="str">
        <f aca="false">IF('MRR Conglomerado'!AH734&gt;0,'MRR Conglomerado'!AH734,"")</f>
        <v/>
      </c>
      <c r="D734" s="14" t="str">
        <f aca="false">IF(C734="","",'MRR Conglomerado'!AT734)</f>
        <v/>
      </c>
      <c r="E734" s="15" t="str">
        <f aca="false">IF(C734="","",D734/C734)</f>
        <v/>
      </c>
      <c r="F734" s="14" t="str">
        <f aca="false">IF(C734="","",C734/B734)</f>
        <v/>
      </c>
      <c r="G734" s="12" t="str">
        <f aca="false">IF(F734="","",IF(F734&lt;100,"Menos de 100 USD",IF(F734&lt;500,"100 a 500 USD",IF(F734&lt;2000,"500 a 2.000 USD","Más de 2.000 USD"))))</f>
        <v/>
      </c>
      <c r="H734" s="14" t="str">
        <f aca="false">IF(C734="","",MIN(D734,C734))</f>
        <v/>
      </c>
    </row>
    <row r="735" customFormat="false" ht="15" hidden="false" customHeight="true" outlineLevel="0" collapsed="false">
      <c r="A735" s="12" t="s">
        <v>2254</v>
      </c>
      <c r="B735" s="14" t="n">
        <v>18.885</v>
      </c>
      <c r="C735" s="14" t="str">
        <f aca="false">IF('MRR Conglomerado'!AH735&gt;0,'MRR Conglomerado'!AH735,"")</f>
        <v/>
      </c>
      <c r="D735" s="14" t="str">
        <f aca="false">IF(C735="","",'MRR Conglomerado'!AT735)</f>
        <v/>
      </c>
      <c r="E735" s="15" t="str">
        <f aca="false">IF(C735="","",D735/C735)</f>
        <v/>
      </c>
      <c r="F735" s="14" t="str">
        <f aca="false">IF(C735="","",C735/B735)</f>
        <v/>
      </c>
      <c r="G735" s="12" t="str">
        <f aca="false">IF(F735="","",IF(F735&lt;100,"Menos de 100 USD",IF(F735&lt;500,"100 a 500 USD",IF(F735&lt;2000,"500 a 2.000 USD","Más de 2.000 USD"))))</f>
        <v/>
      </c>
      <c r="H735" s="14" t="str">
        <f aca="false">IF(C735="","",MIN(D735,C735))</f>
        <v/>
      </c>
    </row>
    <row r="736" customFormat="false" ht="15" hidden="false" customHeight="true" outlineLevel="0" collapsed="false">
      <c r="A736" s="12" t="s">
        <v>2257</v>
      </c>
      <c r="B736" s="14" t="n">
        <v>18.885</v>
      </c>
      <c r="C736" s="14" t="str">
        <f aca="false">IF('MRR Conglomerado'!AH736&gt;0,'MRR Conglomerado'!AH736,"")</f>
        <v/>
      </c>
      <c r="D736" s="14" t="str">
        <f aca="false">IF(C736="","",'MRR Conglomerado'!AT736)</f>
        <v/>
      </c>
      <c r="E736" s="15" t="str">
        <f aca="false">IF(C736="","",D736/C736)</f>
        <v/>
      </c>
      <c r="F736" s="14" t="str">
        <f aca="false">IF(C736="","",C736/B736)</f>
        <v/>
      </c>
      <c r="G736" s="12" t="str">
        <f aca="false">IF(F736="","",IF(F736&lt;100,"Menos de 100 USD",IF(F736&lt;500,"100 a 500 USD",IF(F736&lt;2000,"500 a 2.000 USD","Más de 2.000 USD"))))</f>
        <v/>
      </c>
      <c r="H736" s="14" t="str">
        <f aca="false">IF(C736="","",MIN(D736,C736))</f>
        <v/>
      </c>
    </row>
    <row r="737" customFormat="false" ht="15" hidden="false" customHeight="true" outlineLevel="0" collapsed="false">
      <c r="A737" s="12" t="s">
        <v>2260</v>
      </c>
      <c r="B737" s="14" t="n">
        <v>18.885</v>
      </c>
      <c r="C737" s="14" t="str">
        <f aca="false">IF('MRR Conglomerado'!AH737&gt;0,'MRR Conglomerado'!AH737,"")</f>
        <v/>
      </c>
      <c r="D737" s="14" t="str">
        <f aca="false">IF(C737="","",'MRR Conglomerado'!AT737)</f>
        <v/>
      </c>
      <c r="E737" s="15" t="str">
        <f aca="false">IF(C737="","",D737/C737)</f>
        <v/>
      </c>
      <c r="F737" s="14" t="str">
        <f aca="false">IF(C737="","",C737/B737)</f>
        <v/>
      </c>
      <c r="G737" s="12" t="str">
        <f aca="false">IF(F737="","",IF(F737&lt;100,"Menos de 100 USD",IF(F737&lt;500,"100 a 500 USD",IF(F737&lt;2000,"500 a 2.000 USD","Más de 2.000 USD"))))</f>
        <v/>
      </c>
      <c r="H737" s="14" t="str">
        <f aca="false">IF(C737="","",MIN(D737,C737))</f>
        <v/>
      </c>
    </row>
    <row r="738" customFormat="false" ht="15" hidden="false" customHeight="true" outlineLevel="0" collapsed="false">
      <c r="A738" s="12" t="s">
        <v>2263</v>
      </c>
      <c r="B738" s="14" t="n">
        <v>18.885</v>
      </c>
      <c r="C738" s="14" t="str">
        <f aca="false">IF('MRR Conglomerado'!AH738&gt;0,'MRR Conglomerado'!AH738,"")</f>
        <v/>
      </c>
      <c r="D738" s="14" t="str">
        <f aca="false">IF(C738="","",'MRR Conglomerado'!AT738)</f>
        <v/>
      </c>
      <c r="E738" s="15" t="str">
        <f aca="false">IF(C738="","",D738/C738)</f>
        <v/>
      </c>
      <c r="F738" s="14" t="str">
        <f aca="false">IF(C738="","",C738/B738)</f>
        <v/>
      </c>
      <c r="G738" s="12" t="str">
        <f aca="false">IF(F738="","",IF(F738&lt;100,"Menos de 100 USD",IF(F738&lt;500,"100 a 500 USD",IF(F738&lt;2000,"500 a 2.000 USD","Más de 2.000 USD"))))</f>
        <v/>
      </c>
      <c r="H738" s="14" t="str">
        <f aca="false">IF(C738="","",MIN(D738,C738))</f>
        <v/>
      </c>
    </row>
    <row r="739" customFormat="false" ht="15" hidden="false" customHeight="true" outlineLevel="0" collapsed="false">
      <c r="A739" s="12" t="s">
        <v>2266</v>
      </c>
      <c r="B739" s="14" t="n">
        <v>18.885</v>
      </c>
      <c r="C739" s="14" t="n">
        <f aca="false">IF('MRR Conglomerado'!AH739&gt;0,'MRR Conglomerado'!AH739,"")</f>
        <v>5498.9343</v>
      </c>
      <c r="D739" s="14" t="n">
        <f aca="false">IF(C739="","",'MRR Conglomerado'!AT739)</f>
        <v>7796.787784</v>
      </c>
      <c r="E739" s="15" t="n">
        <f aca="false">IF(C739="","",D739/C739)</f>
        <v>1.41787251104273</v>
      </c>
      <c r="F739" s="14" t="n">
        <f aca="false">IF(C739="","",C739/B739)</f>
        <v>291.18</v>
      </c>
      <c r="G739" s="12" t="str">
        <f aca="false">IF(F739="","",IF(F739&lt;100,"Menos de 100 USD",IF(F739&lt;500,"100 a 500 USD",IF(F739&lt;2000,"500 a 2.000 USD","Más de 2.000 USD"))))</f>
        <v>100 a 500 USD</v>
      </c>
      <c r="H739" s="14" t="n">
        <f aca="false">IF(C739="","",MIN(D739,C739))</f>
        <v>5498.9343</v>
      </c>
    </row>
    <row r="740" customFormat="false" ht="15" hidden="false" customHeight="true" outlineLevel="0" collapsed="false">
      <c r="A740" s="12" t="s">
        <v>2269</v>
      </c>
      <c r="B740" s="14" t="n">
        <v>18.885</v>
      </c>
      <c r="C740" s="14" t="n">
        <f aca="false">IF('MRR Conglomerado'!AH740&gt;0,'MRR Conglomerado'!AH740,"")</f>
        <v>4814.35305</v>
      </c>
      <c r="D740" s="14" t="n">
        <f aca="false">IF(C740="","",'MRR Conglomerado'!AT740)</f>
        <v>6226.369216</v>
      </c>
      <c r="E740" s="15" t="n">
        <f aca="false">IF(C740="","",D740/C740)</f>
        <v>1.29329302428288</v>
      </c>
      <c r="F740" s="14" t="n">
        <f aca="false">IF(C740="","",C740/B740)</f>
        <v>254.93</v>
      </c>
      <c r="G740" s="12" t="str">
        <f aca="false">IF(F740="","",IF(F740&lt;100,"Menos de 100 USD",IF(F740&lt;500,"100 a 500 USD",IF(F740&lt;2000,"500 a 2.000 USD","Más de 2.000 USD"))))</f>
        <v>100 a 500 USD</v>
      </c>
      <c r="H740" s="14" t="n">
        <f aca="false">IF(C740="","",MIN(D740,C740))</f>
        <v>4814.35305</v>
      </c>
    </row>
    <row r="741" customFormat="false" ht="15" hidden="false" customHeight="true" outlineLevel="0" collapsed="false">
      <c r="A741" s="12" t="s">
        <v>2272</v>
      </c>
      <c r="B741" s="14" t="n">
        <v>18.885</v>
      </c>
      <c r="C741" s="14" t="n">
        <f aca="false">IF('MRR Conglomerado'!AH741&gt;0,'MRR Conglomerado'!AH741,"")</f>
        <v>2356.848</v>
      </c>
      <c r="D741" s="14" t="n">
        <f aca="false">IF(C741="","",'MRR Conglomerado'!AT741)</f>
        <v>2977.547208</v>
      </c>
      <c r="E741" s="15" t="n">
        <f aca="false">IF(C741="","",D741/C741)</f>
        <v>1.26335988065416</v>
      </c>
      <c r="F741" s="14" t="n">
        <f aca="false">IF(C741="","",C741/B741)</f>
        <v>124.8</v>
      </c>
      <c r="G741" s="12" t="str">
        <f aca="false">IF(F741="","",IF(F741&lt;100,"Menos de 100 USD",IF(F741&lt;500,"100 a 500 USD",IF(F741&lt;2000,"500 a 2.000 USD","Más de 2.000 USD"))))</f>
        <v>100 a 500 USD</v>
      </c>
      <c r="H741" s="14" t="n">
        <f aca="false">IF(C741="","",MIN(D741,C741))</f>
        <v>2356.848</v>
      </c>
    </row>
    <row r="742" customFormat="false" ht="15" hidden="false" customHeight="true" outlineLevel="0" collapsed="false">
      <c r="A742" s="12" t="s">
        <v>2275</v>
      </c>
      <c r="B742" s="14" t="n">
        <v>18.885</v>
      </c>
      <c r="C742" s="14" t="n">
        <f aca="false">IF('MRR Conglomerado'!AH742&gt;0,'MRR Conglomerado'!AH742,"")</f>
        <v>3875.9574</v>
      </c>
      <c r="D742" s="14" t="n">
        <f aca="false">IF(C742="","",'MRR Conglomerado'!AT742)</f>
        <v>0</v>
      </c>
      <c r="E742" s="15" t="n">
        <f aca="false">IF(C742="","",D742/C742)</f>
        <v>0</v>
      </c>
      <c r="F742" s="14" t="n">
        <f aca="false">IF(C742="","",C742/B742)</f>
        <v>205.24</v>
      </c>
      <c r="G742" s="12" t="str">
        <f aca="false">IF(F742="","",IF(F742&lt;100,"Menos de 100 USD",IF(F742&lt;500,"100 a 500 USD",IF(F742&lt;2000,"500 a 2.000 USD","Más de 2.000 USD"))))</f>
        <v>100 a 500 USD</v>
      </c>
      <c r="H742" s="14" t="n">
        <f aca="false">IF(C742="","",MIN(D742,C742))</f>
        <v>0</v>
      </c>
    </row>
    <row r="743" customFormat="false" ht="15" hidden="false" customHeight="true" outlineLevel="0" collapsed="false">
      <c r="A743" s="12" t="s">
        <v>2278</v>
      </c>
      <c r="B743" s="14" t="n">
        <v>18.885</v>
      </c>
      <c r="C743" s="14" t="n">
        <f aca="false">IF('MRR Conglomerado'!AH743&gt;0,'MRR Conglomerado'!AH743,"")</f>
        <v>21417.66735</v>
      </c>
      <c r="D743" s="14" t="n">
        <f aca="false">IF(C743="","",'MRR Conglomerado'!AT743)</f>
        <v>3378.858896</v>
      </c>
      <c r="E743" s="15" t="n">
        <f aca="false">IF(C743="","",D743/C743)</f>
        <v>0.157760359276474</v>
      </c>
      <c r="F743" s="14" t="n">
        <f aca="false">IF(C743="","",C743/B743)</f>
        <v>1134.11</v>
      </c>
      <c r="G743" s="12" t="str">
        <f aca="false">IF(F743="","",IF(F743&lt;100,"Menos de 100 USD",IF(F743&lt;500,"100 a 500 USD",IF(F743&lt;2000,"500 a 2.000 USD","Más de 2.000 USD"))))</f>
        <v>500 a 2.000 USD</v>
      </c>
      <c r="H743" s="14" t="n">
        <f aca="false">IF(C743="","",MIN(D743,C743))</f>
        <v>3378.858896</v>
      </c>
    </row>
    <row r="744" customFormat="false" ht="15" hidden="false" customHeight="true" outlineLevel="0" collapsed="false">
      <c r="A744" s="12" t="s">
        <v>2281</v>
      </c>
      <c r="B744" s="14" t="n">
        <v>18.885</v>
      </c>
      <c r="C744" s="14" t="str">
        <f aca="false">IF('MRR Conglomerado'!AH744&gt;0,'MRR Conglomerado'!AH744,"")</f>
        <v/>
      </c>
      <c r="D744" s="14" t="str">
        <f aca="false">IF(C744="","",'MRR Conglomerado'!AT744)</f>
        <v/>
      </c>
      <c r="E744" s="15" t="str">
        <f aca="false">IF(C744="","",D744/C744)</f>
        <v/>
      </c>
      <c r="F744" s="14" t="str">
        <f aca="false">IF(C744="","",C744/B744)</f>
        <v/>
      </c>
      <c r="G744" s="12" t="str">
        <f aca="false">IF(F744="","",IF(F744&lt;100,"Menos de 100 USD",IF(F744&lt;500,"100 a 500 USD",IF(F744&lt;2000,"500 a 2.000 USD","Más de 2.000 USD"))))</f>
        <v/>
      </c>
      <c r="H744" s="14" t="str">
        <f aca="false">IF(C744="","",MIN(D744,C744))</f>
        <v/>
      </c>
    </row>
    <row r="745" customFormat="false" ht="15" hidden="false" customHeight="true" outlineLevel="0" collapsed="false">
      <c r="A745" s="12" t="s">
        <v>2284</v>
      </c>
      <c r="B745" s="14" t="n">
        <v>18.885</v>
      </c>
      <c r="C745" s="14" t="n">
        <f aca="false">IF('MRR Conglomerado'!AH745&gt;0,'MRR Conglomerado'!AH745,"")</f>
        <v>8640.07635</v>
      </c>
      <c r="D745" s="14" t="n">
        <f aca="false">IF(C745="","",'MRR Conglomerado'!AT745)</f>
        <v>9042.726688</v>
      </c>
      <c r="E745" s="15" t="n">
        <f aca="false">IF(C745="","",D745/C745)</f>
        <v>1.04660263656119</v>
      </c>
      <c r="F745" s="14" t="n">
        <f aca="false">IF(C745="","",C745/B745)</f>
        <v>457.51</v>
      </c>
      <c r="G745" s="12" t="str">
        <f aca="false">IF(F745="","",IF(F745&lt;100,"Menos de 100 USD",IF(F745&lt;500,"100 a 500 USD",IF(F745&lt;2000,"500 a 2.000 USD","Más de 2.000 USD"))))</f>
        <v>100 a 500 USD</v>
      </c>
      <c r="H745" s="14" t="n">
        <f aca="false">IF(C745="","",MIN(D745,C745))</f>
        <v>8640.07635</v>
      </c>
    </row>
    <row r="746" customFormat="false" ht="15" hidden="false" customHeight="true" outlineLevel="0" collapsed="false">
      <c r="A746" s="12" t="s">
        <v>2287</v>
      </c>
      <c r="B746" s="14" t="n">
        <v>18.885</v>
      </c>
      <c r="C746" s="14" t="n">
        <f aca="false">IF('MRR Conglomerado'!AH746&gt;0,'MRR Conglomerado'!AH746,"")</f>
        <v>5626.78575</v>
      </c>
      <c r="D746" s="14" t="n">
        <f aca="false">IF(C746="","",'MRR Conglomerado'!AT746)</f>
        <v>4845.31796</v>
      </c>
      <c r="E746" s="15" t="n">
        <f aca="false">IF(C746="","",D746/C746)</f>
        <v>0.86111648377584</v>
      </c>
      <c r="F746" s="14" t="n">
        <f aca="false">IF(C746="","",C746/B746)</f>
        <v>297.95</v>
      </c>
      <c r="G746" s="12" t="str">
        <f aca="false">IF(F746="","",IF(F746&lt;100,"Menos de 100 USD",IF(F746&lt;500,"100 a 500 USD",IF(F746&lt;2000,"500 a 2.000 USD","Más de 2.000 USD"))))</f>
        <v>100 a 500 USD</v>
      </c>
      <c r="H746" s="14" t="n">
        <f aca="false">IF(C746="","",MIN(D746,C746))</f>
        <v>4845.31796</v>
      </c>
    </row>
    <row r="747" customFormat="false" ht="15" hidden="false" customHeight="true" outlineLevel="0" collapsed="false">
      <c r="A747" s="12" t="s">
        <v>2290</v>
      </c>
      <c r="B747" s="14" t="n">
        <v>18.885</v>
      </c>
      <c r="C747" s="14" t="str">
        <f aca="false">IF('MRR Conglomerado'!AH747&gt;0,'MRR Conglomerado'!AH747,"")</f>
        <v/>
      </c>
      <c r="D747" s="14" t="str">
        <f aca="false">IF(C747="","",'MRR Conglomerado'!AT747)</f>
        <v/>
      </c>
      <c r="E747" s="15" t="str">
        <f aca="false">IF(C747="","",D747/C747)</f>
        <v/>
      </c>
      <c r="F747" s="14" t="str">
        <f aca="false">IF(C747="","",C747/B747)</f>
        <v/>
      </c>
      <c r="G747" s="12" t="str">
        <f aca="false">IF(F747="","",IF(F747&lt;100,"Menos de 100 USD",IF(F747&lt;500,"100 a 500 USD",IF(F747&lt;2000,"500 a 2.000 USD","Más de 2.000 USD"))))</f>
        <v/>
      </c>
      <c r="H747" s="14" t="str">
        <f aca="false">IF(C747="","",MIN(D747,C747))</f>
        <v/>
      </c>
    </row>
    <row r="748" customFormat="false" ht="15" hidden="false" customHeight="true" outlineLevel="0" collapsed="false">
      <c r="A748" s="12" t="s">
        <v>2293</v>
      </c>
      <c r="B748" s="14" t="n">
        <v>18.885</v>
      </c>
      <c r="C748" s="14" t="str">
        <f aca="false">IF('MRR Conglomerado'!AH748&gt;0,'MRR Conglomerado'!AH748,"")</f>
        <v/>
      </c>
      <c r="D748" s="14" t="str">
        <f aca="false">IF(C748="","",'MRR Conglomerado'!AT748)</f>
        <v/>
      </c>
      <c r="E748" s="15" t="str">
        <f aca="false">IF(C748="","",D748/C748)</f>
        <v/>
      </c>
      <c r="F748" s="14" t="str">
        <f aca="false">IF(C748="","",C748/B748)</f>
        <v/>
      </c>
      <c r="G748" s="12" t="str">
        <f aca="false">IF(F748="","",IF(F748&lt;100,"Menos de 100 USD",IF(F748&lt;500,"100 a 500 USD",IF(F748&lt;2000,"500 a 2.000 USD","Más de 2.000 USD"))))</f>
        <v/>
      </c>
      <c r="H748" s="14" t="str">
        <f aca="false">IF(C748="","",MIN(D748,C748))</f>
        <v/>
      </c>
    </row>
    <row r="749" customFormat="false" ht="15" hidden="false" customHeight="true" outlineLevel="0" collapsed="false">
      <c r="A749" s="12" t="s">
        <v>2296</v>
      </c>
      <c r="B749" s="14" t="n">
        <v>18.885</v>
      </c>
      <c r="C749" s="14" t="n">
        <f aca="false">IF('MRR Conglomerado'!AH749&gt;0,'MRR Conglomerado'!AH749,"")</f>
        <v>1167.093</v>
      </c>
      <c r="D749" s="14" t="n">
        <f aca="false">IF(C749="","",'MRR Conglomerado'!AT749)</f>
        <v>994.09088</v>
      </c>
      <c r="E749" s="15" t="n">
        <f aca="false">IF(C749="","",D749/C749)</f>
        <v>0.851766637277406</v>
      </c>
      <c r="F749" s="14" t="n">
        <f aca="false">IF(C749="","",C749/B749)</f>
        <v>61.8</v>
      </c>
      <c r="G749" s="12" t="str">
        <f aca="false">IF(F749="","",IF(F749&lt;100,"Menos de 100 USD",IF(F749&lt;500,"100 a 500 USD",IF(F749&lt;2000,"500 a 2.000 USD","Más de 2.000 USD"))))</f>
        <v>Menos de 100 USD</v>
      </c>
      <c r="H749" s="14" t="n">
        <f aca="false">IF(C749="","",MIN(D749,C749))</f>
        <v>994.09088</v>
      </c>
    </row>
    <row r="750" customFormat="false" ht="15" hidden="false" customHeight="true" outlineLevel="0" collapsed="false">
      <c r="A750" s="12" t="s">
        <v>2299</v>
      </c>
      <c r="B750" s="14" t="n">
        <v>18.885</v>
      </c>
      <c r="C750" s="14" t="n">
        <f aca="false">IF('MRR Conglomerado'!AH750&gt;0,'MRR Conglomerado'!AH750,"")</f>
        <v>5619.60945</v>
      </c>
      <c r="D750" s="14" t="n">
        <f aca="false">IF(C750="","",'MRR Conglomerado'!AT750)</f>
        <v>0</v>
      </c>
      <c r="E750" s="15" t="n">
        <f aca="false">IF(C750="","",D750/C750)</f>
        <v>0</v>
      </c>
      <c r="F750" s="14" t="n">
        <f aca="false">IF(C750="","",C750/B750)</f>
        <v>297.57</v>
      </c>
      <c r="G750" s="12" t="str">
        <f aca="false">IF(F750="","",IF(F750&lt;100,"Menos de 100 USD",IF(F750&lt;500,"100 a 500 USD",IF(F750&lt;2000,"500 a 2.000 USD","Más de 2.000 USD"))))</f>
        <v>100 a 500 USD</v>
      </c>
      <c r="H750" s="14" t="n">
        <f aca="false">IF(C750="","",MIN(D750,C750))</f>
        <v>0</v>
      </c>
    </row>
    <row r="751" customFormat="false" ht="15" hidden="false" customHeight="true" outlineLevel="0" collapsed="false">
      <c r="A751" s="12" t="s">
        <v>2302</v>
      </c>
      <c r="B751" s="14" t="n">
        <v>18.885</v>
      </c>
      <c r="C751" s="14" t="n">
        <f aca="false">IF('MRR Conglomerado'!AH751&gt;0,'MRR Conglomerado'!AH751,"")</f>
        <v>930.84165</v>
      </c>
      <c r="D751" s="14" t="n">
        <f aca="false">IF(C751="","",'MRR Conglomerado'!AT751)</f>
        <v>965.21324</v>
      </c>
      <c r="E751" s="15" t="n">
        <f aca="false">IF(C751="","",D751/C751)</f>
        <v>1.03692528154493</v>
      </c>
      <c r="F751" s="14" t="n">
        <f aca="false">IF(C751="","",C751/B751)</f>
        <v>49.29</v>
      </c>
      <c r="G751" s="12" t="str">
        <f aca="false">IF(F751="","",IF(F751&lt;100,"Menos de 100 USD",IF(F751&lt;500,"100 a 500 USD",IF(F751&lt;2000,"500 a 2.000 USD","Más de 2.000 USD"))))</f>
        <v>Menos de 100 USD</v>
      </c>
      <c r="H751" s="14" t="n">
        <f aca="false">IF(C751="","",MIN(D751,C751))</f>
        <v>930.84165</v>
      </c>
    </row>
    <row r="752" customFormat="false" ht="15" hidden="false" customHeight="true" outlineLevel="0" collapsed="false">
      <c r="A752" s="12" t="s">
        <v>2305</v>
      </c>
      <c r="B752" s="14" t="n">
        <v>18.885</v>
      </c>
      <c r="C752" s="14" t="n">
        <f aca="false">IF('MRR Conglomerado'!AH752&gt;0,'MRR Conglomerado'!AH752,"")</f>
        <v>3319.983</v>
      </c>
      <c r="D752" s="14" t="n">
        <f aca="false">IF(C752="","",'MRR Conglomerado'!AT752)</f>
        <v>3279.974856</v>
      </c>
      <c r="E752" s="15" t="n">
        <f aca="false">IF(C752="","",D752/C752)</f>
        <v>0.987949292511438</v>
      </c>
      <c r="F752" s="14" t="n">
        <f aca="false">IF(C752="","",C752/B752)</f>
        <v>175.8</v>
      </c>
      <c r="G752" s="12" t="str">
        <f aca="false">IF(F752="","",IF(F752&lt;100,"Menos de 100 USD",IF(F752&lt;500,"100 a 500 USD",IF(F752&lt;2000,"500 a 2.000 USD","Más de 2.000 USD"))))</f>
        <v>100 a 500 USD</v>
      </c>
      <c r="H752" s="14" t="n">
        <f aca="false">IF(C752="","",MIN(D752,C752))</f>
        <v>3279.974856</v>
      </c>
    </row>
    <row r="753" customFormat="false" ht="15" hidden="false" customHeight="true" outlineLevel="0" collapsed="false">
      <c r="A753" s="12" t="s">
        <v>2308</v>
      </c>
      <c r="B753" s="14" t="n">
        <v>18.885</v>
      </c>
      <c r="C753" s="14" t="str">
        <f aca="false">IF('MRR Conglomerado'!AH753&gt;0,'MRR Conglomerado'!AH753,"")</f>
        <v/>
      </c>
      <c r="D753" s="14" t="str">
        <f aca="false">IF(C753="","",'MRR Conglomerado'!AT753)</f>
        <v/>
      </c>
      <c r="E753" s="15" t="str">
        <f aca="false">IF(C753="","",D753/C753)</f>
        <v/>
      </c>
      <c r="F753" s="14" t="str">
        <f aca="false">IF(C753="","",C753/B753)</f>
        <v/>
      </c>
      <c r="G753" s="12" t="str">
        <f aca="false">IF(F753="","",IF(F753&lt;100,"Menos de 100 USD",IF(F753&lt;500,"100 a 500 USD",IF(F753&lt;2000,"500 a 2.000 USD","Más de 2.000 USD"))))</f>
        <v/>
      </c>
      <c r="H753" s="14" t="str">
        <f aca="false">IF(C753="","",MIN(D753,C753))</f>
        <v/>
      </c>
    </row>
    <row r="754" customFormat="false" ht="15" hidden="false" customHeight="true" outlineLevel="0" collapsed="false">
      <c r="A754" s="12" t="s">
        <v>2311</v>
      </c>
      <c r="B754" s="14" t="n">
        <v>18.885</v>
      </c>
      <c r="C754" s="14" t="str">
        <f aca="false">IF('MRR Conglomerado'!AH754&gt;0,'MRR Conglomerado'!AH754,"")</f>
        <v/>
      </c>
      <c r="D754" s="14" t="str">
        <f aca="false">IF(C754="","",'MRR Conglomerado'!AT754)</f>
        <v/>
      </c>
      <c r="E754" s="15" t="str">
        <f aca="false">IF(C754="","",D754/C754)</f>
        <v/>
      </c>
      <c r="F754" s="14" t="str">
        <f aca="false">IF(C754="","",C754/B754)</f>
        <v/>
      </c>
      <c r="G754" s="12" t="str">
        <f aca="false">IF(F754="","",IF(F754&lt;100,"Menos de 100 USD",IF(F754&lt;500,"100 a 500 USD",IF(F754&lt;2000,"500 a 2.000 USD","Más de 2.000 USD"))))</f>
        <v/>
      </c>
      <c r="H754" s="14" t="str">
        <f aca="false">IF(C754="","",MIN(D754,C754))</f>
        <v/>
      </c>
    </row>
    <row r="755" customFormat="false" ht="15" hidden="false" customHeight="true" outlineLevel="0" collapsed="false">
      <c r="A755" s="12" t="s">
        <v>2314</v>
      </c>
      <c r="B755" s="14" t="n">
        <v>18.885</v>
      </c>
      <c r="C755" s="14" t="str">
        <f aca="false">IF('MRR Conglomerado'!AH755&gt;0,'MRR Conglomerado'!AH755,"")</f>
        <v/>
      </c>
      <c r="D755" s="14" t="str">
        <f aca="false">IF(C755="","",'MRR Conglomerado'!AT755)</f>
        <v/>
      </c>
      <c r="E755" s="15" t="str">
        <f aca="false">IF(C755="","",D755/C755)</f>
        <v/>
      </c>
      <c r="F755" s="14" t="str">
        <f aca="false">IF(C755="","",C755/B755)</f>
        <v/>
      </c>
      <c r="G755" s="12" t="str">
        <f aca="false">IF(F755="","",IF(F755&lt;100,"Menos de 100 USD",IF(F755&lt;500,"100 a 500 USD",IF(F755&lt;2000,"500 a 2.000 USD","Más de 2.000 USD"))))</f>
        <v/>
      </c>
      <c r="H755" s="14" t="str">
        <f aca="false">IF(C755="","",MIN(D755,C755))</f>
        <v/>
      </c>
    </row>
    <row r="756" customFormat="false" ht="15" hidden="false" customHeight="true" outlineLevel="0" collapsed="false">
      <c r="A756" s="12" t="s">
        <v>2317</v>
      </c>
      <c r="B756" s="14" t="n">
        <v>18.885</v>
      </c>
      <c r="C756" s="14" t="str">
        <f aca="false">IF('MRR Conglomerado'!AH756&gt;0,'MRR Conglomerado'!AH756,"")</f>
        <v/>
      </c>
      <c r="D756" s="14" t="str">
        <f aca="false">IF(C756="","",'MRR Conglomerado'!AT756)</f>
        <v/>
      </c>
      <c r="E756" s="15" t="str">
        <f aca="false">IF(C756="","",D756/C756)</f>
        <v/>
      </c>
      <c r="F756" s="14" t="str">
        <f aca="false">IF(C756="","",C756/B756)</f>
        <v/>
      </c>
      <c r="G756" s="12" t="str">
        <f aca="false">IF(F756="","",IF(F756&lt;100,"Menos de 100 USD",IF(F756&lt;500,"100 a 500 USD",IF(F756&lt;2000,"500 a 2.000 USD","Más de 2.000 USD"))))</f>
        <v/>
      </c>
      <c r="H756" s="14" t="str">
        <f aca="false">IF(C756="","",MIN(D756,C756))</f>
        <v/>
      </c>
    </row>
    <row r="757" customFormat="false" ht="15" hidden="false" customHeight="true" outlineLevel="0" collapsed="false">
      <c r="A757" s="12" t="s">
        <v>2320</v>
      </c>
      <c r="B757" s="14" t="n">
        <v>18.885</v>
      </c>
      <c r="C757" s="14" t="str">
        <f aca="false">IF('MRR Conglomerado'!AH757&gt;0,'MRR Conglomerado'!AH757,"")</f>
        <v/>
      </c>
      <c r="D757" s="14" t="str">
        <f aca="false">IF(C757="","",'MRR Conglomerado'!AT757)</f>
        <v/>
      </c>
      <c r="E757" s="15" t="str">
        <f aca="false">IF(C757="","",D757/C757)</f>
        <v/>
      </c>
      <c r="F757" s="14" t="str">
        <f aca="false">IF(C757="","",C757/B757)</f>
        <v/>
      </c>
      <c r="G757" s="12" t="str">
        <f aca="false">IF(F757="","",IF(F757&lt;100,"Menos de 100 USD",IF(F757&lt;500,"100 a 500 USD",IF(F757&lt;2000,"500 a 2.000 USD","Más de 2.000 USD"))))</f>
        <v/>
      </c>
      <c r="H757" s="14" t="str">
        <f aca="false">IF(C757="","",MIN(D757,C757))</f>
        <v/>
      </c>
    </row>
    <row r="758" customFormat="false" ht="15" hidden="false" customHeight="true" outlineLevel="0" collapsed="false">
      <c r="A758" s="12" t="s">
        <v>2323</v>
      </c>
      <c r="B758" s="14" t="n">
        <v>18.885</v>
      </c>
      <c r="C758" s="14" t="str">
        <f aca="false">IF('MRR Conglomerado'!AH758&gt;0,'MRR Conglomerado'!AH758,"")</f>
        <v/>
      </c>
      <c r="D758" s="14" t="str">
        <f aca="false">IF(C758="","",'MRR Conglomerado'!AT758)</f>
        <v/>
      </c>
      <c r="E758" s="15" t="str">
        <f aca="false">IF(C758="","",D758/C758)</f>
        <v/>
      </c>
      <c r="F758" s="14" t="str">
        <f aca="false">IF(C758="","",C758/B758)</f>
        <v/>
      </c>
      <c r="G758" s="12" t="str">
        <f aca="false">IF(F758="","",IF(F758&lt;100,"Menos de 100 USD",IF(F758&lt;500,"100 a 500 USD",IF(F758&lt;2000,"500 a 2.000 USD","Más de 2.000 USD"))))</f>
        <v/>
      </c>
      <c r="H758" s="14" t="str">
        <f aca="false">IF(C758="","",MIN(D758,C758))</f>
        <v/>
      </c>
    </row>
    <row r="759" customFormat="false" ht="15" hidden="false" customHeight="true" outlineLevel="0" collapsed="false">
      <c r="A759" s="12" t="s">
        <v>2326</v>
      </c>
      <c r="B759" s="14" t="n">
        <v>18.885</v>
      </c>
      <c r="C759" s="14" t="str">
        <f aca="false">IF('MRR Conglomerado'!AH759&gt;0,'MRR Conglomerado'!AH759,"")</f>
        <v/>
      </c>
      <c r="D759" s="14" t="str">
        <f aca="false">IF(C759="","",'MRR Conglomerado'!AT759)</f>
        <v/>
      </c>
      <c r="E759" s="15" t="str">
        <f aca="false">IF(C759="","",D759/C759)</f>
        <v/>
      </c>
      <c r="F759" s="14" t="str">
        <f aca="false">IF(C759="","",C759/B759)</f>
        <v/>
      </c>
      <c r="G759" s="12" t="str">
        <f aca="false">IF(F759="","",IF(F759&lt;100,"Menos de 100 USD",IF(F759&lt;500,"100 a 500 USD",IF(F759&lt;2000,"500 a 2.000 USD","Más de 2.000 USD"))))</f>
        <v/>
      </c>
      <c r="H759" s="14" t="str">
        <f aca="false">IF(C759="","",MIN(D759,C759))</f>
        <v/>
      </c>
    </row>
    <row r="760" customFormat="false" ht="15" hidden="false" customHeight="true" outlineLevel="0" collapsed="false">
      <c r="A760" s="12" t="s">
        <v>2329</v>
      </c>
      <c r="B760" s="14" t="n">
        <v>18.885</v>
      </c>
      <c r="C760" s="14" t="n">
        <f aca="false">IF('MRR Conglomerado'!AH760&gt;0,'MRR Conglomerado'!AH760,"")</f>
        <v>729.52755</v>
      </c>
      <c r="D760" s="14" t="n">
        <f aca="false">IF(C760="","",'MRR Conglomerado'!AT760)</f>
        <v>902.907544</v>
      </c>
      <c r="E760" s="15" t="n">
        <f aca="false">IF(C760="","",D760/C760)</f>
        <v>1.23766065311721</v>
      </c>
      <c r="F760" s="14" t="n">
        <f aca="false">IF(C760="","",C760/B760)</f>
        <v>38.63</v>
      </c>
      <c r="G760" s="12" t="str">
        <f aca="false">IF(F760="","",IF(F760&lt;100,"Menos de 100 USD",IF(F760&lt;500,"100 a 500 USD",IF(F760&lt;2000,"500 a 2.000 USD","Más de 2.000 USD"))))</f>
        <v>Menos de 100 USD</v>
      </c>
      <c r="H760" s="14" t="n">
        <f aca="false">IF(C760="","",MIN(D760,C760))</f>
        <v>729.52755</v>
      </c>
    </row>
    <row r="761" customFormat="false" ht="15" hidden="false" customHeight="true" outlineLevel="0" collapsed="false">
      <c r="A761" s="12" t="s">
        <v>2332</v>
      </c>
      <c r="B761" s="14" t="n">
        <v>18.885</v>
      </c>
      <c r="C761" s="14" t="n">
        <f aca="false">IF('MRR Conglomerado'!AH761&gt;0,'MRR Conglomerado'!AH761,"")</f>
        <v>9108.04665</v>
      </c>
      <c r="D761" s="14" t="n">
        <f aca="false">IF(C761="","",'MRR Conglomerado'!AT761)</f>
        <v>0</v>
      </c>
      <c r="E761" s="15" t="n">
        <f aca="false">IF(C761="","",D761/C761)</f>
        <v>0</v>
      </c>
      <c r="F761" s="14" t="n">
        <f aca="false">IF(C761="","",C761/B761)</f>
        <v>482.29</v>
      </c>
      <c r="G761" s="12" t="str">
        <f aca="false">IF(F761="","",IF(F761&lt;100,"Menos de 100 USD",IF(F761&lt;500,"100 a 500 USD",IF(F761&lt;2000,"500 a 2.000 USD","Más de 2.000 USD"))))</f>
        <v>100 a 500 USD</v>
      </c>
      <c r="H761" s="14" t="n">
        <f aca="false">IF(C761="","",MIN(D761,C761))</f>
        <v>0</v>
      </c>
    </row>
    <row r="762" customFormat="false" ht="15" hidden="false" customHeight="true" outlineLevel="0" collapsed="false">
      <c r="A762" s="12" t="s">
        <v>2335</v>
      </c>
      <c r="B762" s="14" t="n">
        <v>18.885</v>
      </c>
      <c r="C762" s="14" t="n">
        <f aca="false">IF('MRR Conglomerado'!AH762&gt;0,'MRR Conglomerado'!AH762,"")</f>
        <v>6108.9198</v>
      </c>
      <c r="D762" s="14" t="n">
        <f aca="false">IF(C762="","",'MRR Conglomerado'!AT762)</f>
        <v>5545.031928</v>
      </c>
      <c r="E762" s="15" t="n">
        <f aca="false">IF(C762="","",D762/C762)</f>
        <v>0.907694340331657</v>
      </c>
      <c r="F762" s="14" t="n">
        <f aca="false">IF(C762="","",C762/B762)</f>
        <v>323.48</v>
      </c>
      <c r="G762" s="12" t="str">
        <f aca="false">IF(F762="","",IF(F762&lt;100,"Menos de 100 USD",IF(F762&lt;500,"100 a 500 USD",IF(F762&lt;2000,"500 a 2.000 USD","Más de 2.000 USD"))))</f>
        <v>100 a 500 USD</v>
      </c>
      <c r="H762" s="14" t="n">
        <f aca="false">IF(C762="","",MIN(D762,C762))</f>
        <v>5545.031928</v>
      </c>
    </row>
    <row r="763" customFormat="false" ht="15" hidden="false" customHeight="true" outlineLevel="0" collapsed="false">
      <c r="A763" s="12" t="s">
        <v>2338</v>
      </c>
      <c r="B763" s="14" t="n">
        <v>18.885</v>
      </c>
      <c r="C763" s="14" t="str">
        <f aca="false">IF('MRR Conglomerado'!AH763&gt;0,'MRR Conglomerado'!AH763,"")</f>
        <v/>
      </c>
      <c r="D763" s="14" t="str">
        <f aca="false">IF(C763="","",'MRR Conglomerado'!AT763)</f>
        <v/>
      </c>
      <c r="E763" s="15" t="str">
        <f aca="false">IF(C763="","",D763/C763)</f>
        <v/>
      </c>
      <c r="F763" s="14" t="str">
        <f aca="false">IF(C763="","",C763/B763)</f>
        <v/>
      </c>
      <c r="G763" s="12" t="str">
        <f aca="false">IF(F763="","",IF(F763&lt;100,"Menos de 100 USD",IF(F763&lt;500,"100 a 500 USD",IF(F763&lt;2000,"500 a 2.000 USD","Más de 2.000 USD"))))</f>
        <v/>
      </c>
      <c r="H763" s="14" t="str">
        <f aca="false">IF(C763="","",MIN(D763,C763))</f>
        <v/>
      </c>
    </row>
    <row r="764" customFormat="false" ht="15" hidden="false" customHeight="true" outlineLevel="0" collapsed="false">
      <c r="A764" s="12" t="s">
        <v>2341</v>
      </c>
      <c r="B764" s="14" t="n">
        <v>18.885</v>
      </c>
      <c r="C764" s="14" t="str">
        <f aca="false">IF('MRR Conglomerado'!AH764&gt;0,'MRR Conglomerado'!AH764,"")</f>
        <v/>
      </c>
      <c r="D764" s="14" t="str">
        <f aca="false">IF(C764="","",'MRR Conglomerado'!AT764)</f>
        <v/>
      </c>
      <c r="E764" s="15" t="str">
        <f aca="false">IF(C764="","",D764/C764)</f>
        <v/>
      </c>
      <c r="F764" s="14" t="str">
        <f aca="false">IF(C764="","",C764/B764)</f>
        <v/>
      </c>
      <c r="G764" s="12" t="str">
        <f aca="false">IF(F764="","",IF(F764&lt;100,"Menos de 100 USD",IF(F764&lt;500,"100 a 500 USD",IF(F764&lt;2000,"500 a 2.000 USD","Más de 2.000 USD"))))</f>
        <v/>
      </c>
      <c r="H764" s="14" t="str">
        <f aca="false">IF(C764="","",MIN(D764,C764))</f>
        <v/>
      </c>
    </row>
    <row r="765" customFormat="false" ht="15" hidden="false" customHeight="true" outlineLevel="0" collapsed="false">
      <c r="A765" s="12" t="s">
        <v>2344</v>
      </c>
      <c r="B765" s="14" t="n">
        <v>18.885</v>
      </c>
      <c r="C765" s="14" t="n">
        <f aca="false">IF('MRR Conglomerado'!AH765&gt;0,'MRR Conglomerado'!AH765,"")</f>
        <v>6729.29205</v>
      </c>
      <c r="D765" s="14" t="n">
        <f aca="false">IF(C765="","",'MRR Conglomerado'!AT765)</f>
        <v>7148.003472</v>
      </c>
      <c r="E765" s="15" t="n">
        <f aca="false">IF(C765="","",D765/C765)</f>
        <v>1.06222220983855</v>
      </c>
      <c r="F765" s="14" t="n">
        <f aca="false">IF(C765="","",C765/B765)</f>
        <v>356.33</v>
      </c>
      <c r="G765" s="12" t="str">
        <f aca="false">IF(F765="","",IF(F765&lt;100,"Menos de 100 USD",IF(F765&lt;500,"100 a 500 USD",IF(F765&lt;2000,"500 a 2.000 USD","Más de 2.000 USD"))))</f>
        <v>100 a 500 USD</v>
      </c>
      <c r="H765" s="14" t="n">
        <f aca="false">IF(C765="","",MIN(D765,C765))</f>
        <v>6729.29205</v>
      </c>
    </row>
    <row r="766" customFormat="false" ht="15" hidden="false" customHeight="true" outlineLevel="0" collapsed="false">
      <c r="A766" s="12" t="s">
        <v>2347</v>
      </c>
      <c r="B766" s="14" t="n">
        <v>18.885</v>
      </c>
      <c r="C766" s="14" t="n">
        <f aca="false">IF('MRR Conglomerado'!AH766&gt;0,'MRR Conglomerado'!AH766,"")</f>
        <v>158.44515</v>
      </c>
      <c r="D766" s="14" t="n">
        <f aca="false">IF(C766="","",'MRR Conglomerado'!AT766)</f>
        <v>0</v>
      </c>
      <c r="E766" s="15" t="n">
        <f aca="false">IF(C766="","",D766/C766)</f>
        <v>0</v>
      </c>
      <c r="F766" s="14" t="n">
        <f aca="false">IF(C766="","",C766/B766)</f>
        <v>8.39</v>
      </c>
      <c r="G766" s="12" t="str">
        <f aca="false">IF(F766="","",IF(F766&lt;100,"Menos de 100 USD",IF(F766&lt;500,"100 a 500 USD",IF(F766&lt;2000,"500 a 2.000 USD","Más de 2.000 USD"))))</f>
        <v>Menos de 100 USD</v>
      </c>
      <c r="H766" s="14" t="n">
        <f aca="false">IF(C766="","",MIN(D766,C766))</f>
        <v>0</v>
      </c>
    </row>
    <row r="767" customFormat="false" ht="15" hidden="false" customHeight="true" outlineLevel="0" collapsed="false">
      <c r="A767" s="12" t="s">
        <v>2350</v>
      </c>
      <c r="B767" s="14" t="n">
        <v>18.885</v>
      </c>
      <c r="C767" s="14" t="str">
        <f aca="false">IF('MRR Conglomerado'!AH767&gt;0,'MRR Conglomerado'!AH767,"")</f>
        <v/>
      </c>
      <c r="D767" s="14" t="str">
        <f aca="false">IF(C767="","",'MRR Conglomerado'!AT767)</f>
        <v/>
      </c>
      <c r="E767" s="15" t="str">
        <f aca="false">IF(C767="","",D767/C767)</f>
        <v/>
      </c>
      <c r="F767" s="14" t="str">
        <f aca="false">IF(C767="","",C767/B767)</f>
        <v/>
      </c>
      <c r="G767" s="12" t="str">
        <f aca="false">IF(F767="","",IF(F767&lt;100,"Menos de 100 USD",IF(F767&lt;500,"100 a 500 USD",IF(F767&lt;2000,"500 a 2.000 USD","Más de 2.000 USD"))))</f>
        <v/>
      </c>
      <c r="H767" s="14" t="str">
        <f aca="false">IF(C767="","",MIN(D767,C767))</f>
        <v/>
      </c>
    </row>
    <row r="768" customFormat="false" ht="15" hidden="false" customHeight="true" outlineLevel="0" collapsed="false">
      <c r="A768" s="12" t="s">
        <v>2353</v>
      </c>
      <c r="B768" s="14" t="n">
        <v>18.885</v>
      </c>
      <c r="C768" s="14" t="n">
        <f aca="false">IF('MRR Conglomerado'!AH768&gt;0,'MRR Conglomerado'!AH768,"")</f>
        <v>118.78665</v>
      </c>
      <c r="D768" s="14" t="n">
        <f aca="false">IF(C768="","",'MRR Conglomerado'!AT768)</f>
        <v>0</v>
      </c>
      <c r="E768" s="15" t="n">
        <f aca="false">IF(C768="","",D768/C768)</f>
        <v>0</v>
      </c>
      <c r="F768" s="14" t="n">
        <f aca="false">IF(C768="","",C768/B768)</f>
        <v>6.29</v>
      </c>
      <c r="G768" s="12" t="str">
        <f aca="false">IF(F768="","",IF(F768&lt;100,"Menos de 100 USD",IF(F768&lt;500,"100 a 500 USD",IF(F768&lt;2000,"500 a 2.000 USD","Más de 2.000 USD"))))</f>
        <v>Menos de 100 USD</v>
      </c>
      <c r="H768" s="14" t="n">
        <f aca="false">IF(C768="","",MIN(D768,C768))</f>
        <v>0</v>
      </c>
    </row>
    <row r="769" customFormat="false" ht="15" hidden="false" customHeight="true" outlineLevel="0" collapsed="false">
      <c r="A769" s="12" t="s">
        <v>2356</v>
      </c>
      <c r="B769" s="14" t="n">
        <v>18.885</v>
      </c>
      <c r="C769" s="14" t="str">
        <f aca="false">IF('MRR Conglomerado'!AH769&gt;0,'MRR Conglomerado'!AH769,"")</f>
        <v/>
      </c>
      <c r="D769" s="14" t="str">
        <f aca="false">IF(C769="","",'MRR Conglomerado'!AT769)</f>
        <v/>
      </c>
      <c r="E769" s="15" t="str">
        <f aca="false">IF(C769="","",D769/C769)</f>
        <v/>
      </c>
      <c r="F769" s="14" t="str">
        <f aca="false">IF(C769="","",C769/B769)</f>
        <v/>
      </c>
      <c r="G769" s="12" t="str">
        <f aca="false">IF(F769="","",IF(F769&lt;100,"Menos de 100 USD",IF(F769&lt;500,"100 a 500 USD",IF(F769&lt;2000,"500 a 2.000 USD","Más de 2.000 USD"))))</f>
        <v/>
      </c>
      <c r="H769" s="14" t="str">
        <f aca="false">IF(C769="","",MIN(D769,C769))</f>
        <v/>
      </c>
    </row>
    <row r="770" customFormat="false" ht="15" hidden="false" customHeight="true" outlineLevel="0" collapsed="false">
      <c r="A770" s="12" t="s">
        <v>2359</v>
      </c>
      <c r="B770" s="14" t="n">
        <v>18.885</v>
      </c>
      <c r="C770" s="14" t="str">
        <f aca="false">IF('MRR Conglomerado'!AH770&gt;0,'MRR Conglomerado'!AH770,"")</f>
        <v/>
      </c>
      <c r="D770" s="14" t="str">
        <f aca="false">IF(C770="","",'MRR Conglomerado'!AT770)</f>
        <v/>
      </c>
      <c r="E770" s="15" t="str">
        <f aca="false">IF(C770="","",D770/C770)</f>
        <v/>
      </c>
      <c r="F770" s="14" t="str">
        <f aca="false">IF(C770="","",C770/B770)</f>
        <v/>
      </c>
      <c r="G770" s="12" t="str">
        <f aca="false">IF(F770="","",IF(F770&lt;100,"Menos de 100 USD",IF(F770&lt;500,"100 a 500 USD",IF(F770&lt;2000,"500 a 2.000 USD","Más de 2.000 USD"))))</f>
        <v/>
      </c>
      <c r="H770" s="14" t="str">
        <f aca="false">IF(C770="","",MIN(D770,C770))</f>
        <v/>
      </c>
    </row>
    <row r="771" customFormat="false" ht="15" hidden="false" customHeight="true" outlineLevel="0" collapsed="false">
      <c r="A771" s="12" t="s">
        <v>2362</v>
      </c>
      <c r="B771" s="14" t="n">
        <v>18.885</v>
      </c>
      <c r="C771" s="14" t="n">
        <f aca="false">IF('MRR Conglomerado'!AH771&gt;0,'MRR Conglomerado'!AH771,"")</f>
        <v>2222.95335</v>
      </c>
      <c r="D771" s="14" t="n">
        <f aca="false">IF(C771="","",'MRR Conglomerado'!AT771)</f>
        <v>2723.949024</v>
      </c>
      <c r="E771" s="15" t="n">
        <f aca="false">IF(C771="","",D771/C771)</f>
        <v>1.22537390359541</v>
      </c>
      <c r="F771" s="14" t="n">
        <f aca="false">IF(C771="","",C771/B771)</f>
        <v>117.71</v>
      </c>
      <c r="G771" s="12" t="str">
        <f aca="false">IF(F771="","",IF(F771&lt;100,"Menos de 100 USD",IF(F771&lt;500,"100 a 500 USD",IF(F771&lt;2000,"500 a 2.000 USD","Más de 2.000 USD"))))</f>
        <v>100 a 500 USD</v>
      </c>
      <c r="H771" s="14" t="n">
        <f aca="false">IF(C771="","",MIN(D771,C771))</f>
        <v>2222.95335</v>
      </c>
    </row>
    <row r="772" customFormat="false" ht="15" hidden="false" customHeight="true" outlineLevel="0" collapsed="false">
      <c r="A772" s="12" t="s">
        <v>2365</v>
      </c>
      <c r="B772" s="14" t="n">
        <v>18.885</v>
      </c>
      <c r="C772" s="14" t="str">
        <f aca="false">IF('MRR Conglomerado'!AH772&gt;0,'MRR Conglomerado'!AH772,"")</f>
        <v/>
      </c>
      <c r="D772" s="14" t="str">
        <f aca="false">IF(C772="","",'MRR Conglomerado'!AT772)</f>
        <v/>
      </c>
      <c r="E772" s="15" t="str">
        <f aca="false">IF(C772="","",D772/C772)</f>
        <v/>
      </c>
      <c r="F772" s="14" t="str">
        <f aca="false">IF(C772="","",C772/B772)</f>
        <v/>
      </c>
      <c r="G772" s="12" t="str">
        <f aca="false">IF(F772="","",IF(F772&lt;100,"Menos de 100 USD",IF(F772&lt;500,"100 a 500 USD",IF(F772&lt;2000,"500 a 2.000 USD","Más de 2.000 USD"))))</f>
        <v/>
      </c>
      <c r="H772" s="14" t="str">
        <f aca="false">IF(C772="","",MIN(D772,C772))</f>
        <v/>
      </c>
    </row>
    <row r="773" customFormat="false" ht="15" hidden="false" customHeight="true" outlineLevel="0" collapsed="false">
      <c r="A773" s="12" t="s">
        <v>2368</v>
      </c>
      <c r="B773" s="14" t="n">
        <v>18.885</v>
      </c>
      <c r="C773" s="14" t="str">
        <f aca="false">IF('MRR Conglomerado'!AH773&gt;0,'MRR Conglomerado'!AH773,"")</f>
        <v/>
      </c>
      <c r="D773" s="14" t="str">
        <f aca="false">IF(C773="","",'MRR Conglomerado'!AT773)</f>
        <v/>
      </c>
      <c r="E773" s="15" t="str">
        <f aca="false">IF(C773="","",D773/C773)</f>
        <v/>
      </c>
      <c r="F773" s="14" t="str">
        <f aca="false">IF(C773="","",C773/B773)</f>
        <v/>
      </c>
      <c r="G773" s="12" t="str">
        <f aca="false">IF(F773="","",IF(F773&lt;100,"Menos de 100 USD",IF(F773&lt;500,"100 a 500 USD",IF(F773&lt;2000,"500 a 2.000 USD","Más de 2.000 USD"))))</f>
        <v/>
      </c>
      <c r="H773" s="14" t="str">
        <f aca="false">IF(C773="","",MIN(D773,C773))</f>
        <v/>
      </c>
    </row>
    <row r="774" customFormat="false" ht="15" hidden="false" customHeight="true" outlineLevel="0" collapsed="false">
      <c r="A774" s="12" t="s">
        <v>2371</v>
      </c>
      <c r="B774" s="14" t="n">
        <v>18.885</v>
      </c>
      <c r="C774" s="14" t="n">
        <f aca="false">IF('MRR Conglomerado'!AH774&gt;0,'MRR Conglomerado'!AH774,"")</f>
        <v>4662.89535</v>
      </c>
      <c r="D774" s="14" t="n">
        <f aca="false">IF(C774="","",'MRR Conglomerado'!AT774)</f>
        <v>7316.193848</v>
      </c>
      <c r="E774" s="15" t="n">
        <f aca="false">IF(C774="","",D774/C774)</f>
        <v>1.56902381435603</v>
      </c>
      <c r="F774" s="14" t="n">
        <f aca="false">IF(C774="","",C774/B774)</f>
        <v>246.91</v>
      </c>
      <c r="G774" s="12" t="str">
        <f aca="false">IF(F774="","",IF(F774&lt;100,"Menos de 100 USD",IF(F774&lt;500,"100 a 500 USD",IF(F774&lt;2000,"500 a 2.000 USD","Más de 2.000 USD"))))</f>
        <v>100 a 500 USD</v>
      </c>
      <c r="H774" s="14" t="n">
        <f aca="false">IF(C774="","",MIN(D774,C774))</f>
        <v>4662.89535</v>
      </c>
    </row>
    <row r="775" customFormat="false" ht="15" hidden="false" customHeight="true" outlineLevel="0" collapsed="false">
      <c r="A775" s="12" t="s">
        <v>2374</v>
      </c>
      <c r="B775" s="14" t="n">
        <v>18.885</v>
      </c>
      <c r="C775" s="14" t="str">
        <f aca="false">IF('MRR Conglomerado'!AH775&gt;0,'MRR Conglomerado'!AH775,"")</f>
        <v/>
      </c>
      <c r="D775" s="14" t="str">
        <f aca="false">IF(C775="","",'MRR Conglomerado'!AT775)</f>
        <v/>
      </c>
      <c r="E775" s="15" t="str">
        <f aca="false">IF(C775="","",D775/C775)</f>
        <v/>
      </c>
      <c r="F775" s="14" t="str">
        <f aca="false">IF(C775="","",C775/B775)</f>
        <v/>
      </c>
      <c r="G775" s="12" t="str">
        <f aca="false">IF(F775="","",IF(F775&lt;100,"Menos de 100 USD",IF(F775&lt;500,"100 a 500 USD",IF(F775&lt;2000,"500 a 2.000 USD","Más de 2.000 USD"))))</f>
        <v/>
      </c>
      <c r="H775" s="14" t="str">
        <f aca="false">IF(C775="","",MIN(D775,C775))</f>
        <v/>
      </c>
    </row>
    <row r="776" customFormat="false" ht="15" hidden="false" customHeight="true" outlineLevel="0" collapsed="false">
      <c r="A776" s="12" t="s">
        <v>2377</v>
      </c>
      <c r="B776" s="14" t="n">
        <v>18.885</v>
      </c>
      <c r="C776" s="14" t="str">
        <f aca="false">IF('MRR Conglomerado'!AH776&gt;0,'MRR Conglomerado'!AH776,"")</f>
        <v/>
      </c>
      <c r="D776" s="14" t="str">
        <f aca="false">IF(C776="","",'MRR Conglomerado'!AT776)</f>
        <v/>
      </c>
      <c r="E776" s="15" t="str">
        <f aca="false">IF(C776="","",D776/C776)</f>
        <v/>
      </c>
      <c r="F776" s="14" t="str">
        <f aca="false">IF(C776="","",C776/B776)</f>
        <v/>
      </c>
      <c r="G776" s="12" t="str">
        <f aca="false">IF(F776="","",IF(F776&lt;100,"Menos de 100 USD",IF(F776&lt;500,"100 a 500 USD",IF(F776&lt;2000,"500 a 2.000 USD","Más de 2.000 USD"))))</f>
        <v/>
      </c>
      <c r="H776" s="14" t="str">
        <f aca="false">IF(C776="","",MIN(D776,C776))</f>
        <v/>
      </c>
    </row>
    <row r="777" customFormat="false" ht="15" hidden="false" customHeight="true" outlineLevel="0" collapsed="false">
      <c r="A777" s="12" t="s">
        <v>2380</v>
      </c>
      <c r="B777" s="14" t="n">
        <v>18.885</v>
      </c>
      <c r="C777" s="14" t="str">
        <f aca="false">IF('MRR Conglomerado'!AH777&gt;0,'MRR Conglomerado'!AH777,"")</f>
        <v/>
      </c>
      <c r="D777" s="14" t="str">
        <f aca="false">IF(C777="","",'MRR Conglomerado'!AT777)</f>
        <v/>
      </c>
      <c r="E777" s="15" t="str">
        <f aca="false">IF(C777="","",D777/C777)</f>
        <v/>
      </c>
      <c r="F777" s="14" t="str">
        <f aca="false">IF(C777="","",C777/B777)</f>
        <v/>
      </c>
      <c r="G777" s="12" t="str">
        <f aca="false">IF(F777="","",IF(F777&lt;100,"Menos de 100 USD",IF(F777&lt;500,"100 a 500 USD",IF(F777&lt;2000,"500 a 2.000 USD","Más de 2.000 USD"))))</f>
        <v/>
      </c>
      <c r="H777" s="14" t="str">
        <f aca="false">IF(C777="","",MIN(D777,C777))</f>
        <v/>
      </c>
    </row>
    <row r="778" customFormat="false" ht="15" hidden="false" customHeight="true" outlineLevel="0" collapsed="false">
      <c r="A778" s="12" t="s">
        <v>2383</v>
      </c>
      <c r="B778" s="14" t="n">
        <v>18.885</v>
      </c>
      <c r="C778" s="14" t="n">
        <f aca="false">IF('MRR Conglomerado'!AH778&gt;0,'MRR Conglomerado'!AH778,"")</f>
        <v>7814.613</v>
      </c>
      <c r="D778" s="14" t="n">
        <f aca="false">IF(C778="","",'MRR Conglomerado'!AT778)</f>
        <v>587.878744</v>
      </c>
      <c r="E778" s="15" t="n">
        <f aca="false">IF(C778="","",D778/C778)</f>
        <v>0.0752281327303092</v>
      </c>
      <c r="F778" s="14" t="n">
        <f aca="false">IF(C778="","",C778/B778)</f>
        <v>413.8</v>
      </c>
      <c r="G778" s="12" t="str">
        <f aca="false">IF(F778="","",IF(F778&lt;100,"Menos de 100 USD",IF(F778&lt;500,"100 a 500 USD",IF(F778&lt;2000,"500 a 2.000 USD","Más de 2.000 USD"))))</f>
        <v>100 a 500 USD</v>
      </c>
      <c r="H778" s="14" t="n">
        <f aca="false">IF(C778="","",MIN(D778,C778))</f>
        <v>587.878744</v>
      </c>
    </row>
    <row r="779" customFormat="false" ht="15" hidden="false" customHeight="true" outlineLevel="0" collapsed="false">
      <c r="A779" s="12" t="s">
        <v>2386</v>
      </c>
      <c r="B779" s="14" t="n">
        <v>18.885</v>
      </c>
      <c r="C779" s="14" t="str">
        <f aca="false">IF('MRR Conglomerado'!AH779&gt;0,'MRR Conglomerado'!AH779,"")</f>
        <v/>
      </c>
      <c r="D779" s="14" t="str">
        <f aca="false">IF(C779="","",'MRR Conglomerado'!AT779)</f>
        <v/>
      </c>
      <c r="E779" s="15" t="str">
        <f aca="false">IF(C779="","",D779/C779)</f>
        <v/>
      </c>
      <c r="F779" s="14" t="str">
        <f aca="false">IF(C779="","",C779/B779)</f>
        <v/>
      </c>
      <c r="G779" s="12" t="str">
        <f aca="false">IF(F779="","",IF(F779&lt;100,"Menos de 100 USD",IF(F779&lt;500,"100 a 500 USD",IF(F779&lt;2000,"500 a 2.000 USD","Más de 2.000 USD"))))</f>
        <v/>
      </c>
      <c r="H779" s="14" t="str">
        <f aca="false">IF(C779="","",MIN(D779,C779))</f>
        <v/>
      </c>
    </row>
    <row r="780" customFormat="false" ht="15" hidden="false" customHeight="true" outlineLevel="0" collapsed="false">
      <c r="A780" s="12" t="s">
        <v>2389</v>
      </c>
      <c r="B780" s="14" t="n">
        <v>18.885</v>
      </c>
      <c r="C780" s="14" t="str">
        <f aca="false">IF('MRR Conglomerado'!AH780&gt;0,'MRR Conglomerado'!AH780,"")</f>
        <v/>
      </c>
      <c r="D780" s="14" t="str">
        <f aca="false">IF(C780="","",'MRR Conglomerado'!AT780)</f>
        <v/>
      </c>
      <c r="E780" s="15" t="str">
        <f aca="false">IF(C780="","",D780/C780)</f>
        <v/>
      </c>
      <c r="F780" s="14" t="str">
        <f aca="false">IF(C780="","",C780/B780)</f>
        <v/>
      </c>
      <c r="G780" s="12" t="str">
        <f aca="false">IF(F780="","",IF(F780&lt;100,"Menos de 100 USD",IF(F780&lt;500,"100 a 500 USD",IF(F780&lt;2000,"500 a 2.000 USD","Más de 2.000 USD"))))</f>
        <v/>
      </c>
      <c r="H780" s="14" t="str">
        <f aca="false">IF(C780="","",MIN(D780,C780))</f>
        <v/>
      </c>
    </row>
    <row r="781" customFormat="false" ht="15" hidden="false" customHeight="true" outlineLevel="0" collapsed="false">
      <c r="A781" s="12" t="s">
        <v>2392</v>
      </c>
      <c r="B781" s="14" t="n">
        <v>18.885</v>
      </c>
      <c r="C781" s="14" t="str">
        <f aca="false">IF('MRR Conglomerado'!AH781&gt;0,'MRR Conglomerado'!AH781,"")</f>
        <v/>
      </c>
      <c r="D781" s="14" t="str">
        <f aca="false">IF(C781="","",'MRR Conglomerado'!AT781)</f>
        <v/>
      </c>
      <c r="E781" s="15" t="str">
        <f aca="false">IF(C781="","",D781/C781)</f>
        <v/>
      </c>
      <c r="F781" s="14" t="str">
        <f aca="false">IF(C781="","",C781/B781)</f>
        <v/>
      </c>
      <c r="G781" s="12" t="str">
        <f aca="false">IF(F781="","",IF(F781&lt;100,"Menos de 100 USD",IF(F781&lt;500,"100 a 500 USD",IF(F781&lt;2000,"500 a 2.000 USD","Más de 2.000 USD"))))</f>
        <v/>
      </c>
      <c r="H781" s="14" t="str">
        <f aca="false">IF(C781="","",MIN(D781,C781))</f>
        <v/>
      </c>
    </row>
    <row r="782" customFormat="false" ht="15" hidden="false" customHeight="true" outlineLevel="0" collapsed="false">
      <c r="A782" s="12" t="s">
        <v>2395</v>
      </c>
      <c r="B782" s="14" t="n">
        <v>18.885</v>
      </c>
      <c r="C782" s="14" t="n">
        <f aca="false">IF('MRR Conglomerado'!AH782&gt;0,'MRR Conglomerado'!AH782,"")</f>
        <v>4339.96185</v>
      </c>
      <c r="D782" s="14" t="n">
        <f aca="false">IF(C782="","",'MRR Conglomerado'!AT782)</f>
        <v>4718.956408</v>
      </c>
      <c r="E782" s="15" t="n">
        <f aca="false">IF(C782="","",D782/C782)</f>
        <v>1.08732670265293</v>
      </c>
      <c r="F782" s="14" t="n">
        <f aca="false">IF(C782="","",C782/B782)</f>
        <v>229.81</v>
      </c>
      <c r="G782" s="12" t="str">
        <f aca="false">IF(F782="","",IF(F782&lt;100,"Menos de 100 USD",IF(F782&lt;500,"100 a 500 USD",IF(F782&lt;2000,"500 a 2.000 USD","Más de 2.000 USD"))))</f>
        <v>100 a 500 USD</v>
      </c>
      <c r="H782" s="14" t="n">
        <f aca="false">IF(C782="","",MIN(D782,C782))</f>
        <v>4339.96185</v>
      </c>
    </row>
    <row r="783" customFormat="false" ht="15" hidden="false" customHeight="true" outlineLevel="0" collapsed="false">
      <c r="A783" s="12" t="s">
        <v>2398</v>
      </c>
      <c r="B783" s="14" t="n">
        <v>18.885</v>
      </c>
      <c r="C783" s="14" t="n">
        <f aca="false">IF('MRR Conglomerado'!AH783&gt;0,'MRR Conglomerado'!AH783,"")</f>
        <v>2043.92355</v>
      </c>
      <c r="D783" s="14" t="n">
        <f aca="false">IF(C783="","",'MRR Conglomerado'!AT783)</f>
        <v>2641.691504</v>
      </c>
      <c r="E783" s="15" t="n">
        <f aca="false">IF(C783="","",D783/C783)</f>
        <v>1.29246101401395</v>
      </c>
      <c r="F783" s="14" t="n">
        <f aca="false">IF(C783="","",C783/B783)</f>
        <v>108.23</v>
      </c>
      <c r="G783" s="12" t="str">
        <f aca="false">IF(F783="","",IF(F783&lt;100,"Menos de 100 USD",IF(F783&lt;500,"100 a 500 USD",IF(F783&lt;2000,"500 a 2.000 USD","Más de 2.000 USD"))))</f>
        <v>100 a 500 USD</v>
      </c>
      <c r="H783" s="14" t="n">
        <f aca="false">IF(C783="","",MIN(D783,C783))</f>
        <v>2043.92355</v>
      </c>
    </row>
    <row r="784" customFormat="false" ht="15" hidden="false" customHeight="true" outlineLevel="0" collapsed="false">
      <c r="A784" s="12" t="s">
        <v>2401</v>
      </c>
      <c r="B784" s="14" t="n">
        <v>18.885</v>
      </c>
      <c r="C784" s="14" t="n">
        <f aca="false">IF('MRR Conglomerado'!AH784&gt;0,'MRR Conglomerado'!AH784,"")</f>
        <v>7199.90625</v>
      </c>
      <c r="D784" s="14" t="n">
        <f aca="false">IF(C784="","",'MRR Conglomerado'!AT784)</f>
        <v>0</v>
      </c>
      <c r="E784" s="15" t="n">
        <f aca="false">IF(C784="","",D784/C784)</f>
        <v>0</v>
      </c>
      <c r="F784" s="14" t="n">
        <f aca="false">IF(C784="","",C784/B784)</f>
        <v>381.25</v>
      </c>
      <c r="G784" s="12" t="str">
        <f aca="false">IF(F784="","",IF(F784&lt;100,"Menos de 100 USD",IF(F784&lt;500,"100 a 500 USD",IF(F784&lt;2000,"500 a 2.000 USD","Más de 2.000 USD"))))</f>
        <v>100 a 500 USD</v>
      </c>
      <c r="H784" s="14" t="n">
        <f aca="false">IF(C784="","",MIN(D784,C784))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28.35" hidden="false" customHeight="false" outlineLevel="0" collapsed="false">
      <c r="A1" s="11" t="s">
        <v>14</v>
      </c>
      <c r="B1" s="11" t="s">
        <v>2410</v>
      </c>
      <c r="C1" s="11" t="s">
        <v>2411</v>
      </c>
      <c r="D1" s="11" t="s">
        <v>2412</v>
      </c>
      <c r="E1" s="11" t="s">
        <v>3</v>
      </c>
      <c r="F1" s="11" t="s">
        <v>2413</v>
      </c>
      <c r="G1" s="11" t="s">
        <v>2414</v>
      </c>
      <c r="H1" s="11" t="s">
        <v>2415</v>
      </c>
      <c r="J1" s="16" t="s">
        <v>2416</v>
      </c>
      <c r="K1" s="16" t="n">
        <v>18.885</v>
      </c>
    </row>
    <row r="2" customFormat="false" ht="15" hidden="false" customHeight="false" outlineLevel="0" collapsed="false">
      <c r="A2" s="17" t="str">
        <f aca="false">'MRR Conglomerado'!A61</f>
        <v>ATE100413UD</v>
      </c>
      <c r="B2" s="17" t="str">
        <f aca="false">'MRR Conglomerado'!B61</f>
        <v>ALIADOS EN TECNOLOGIA</v>
      </c>
      <c r="C2" s="18" t="n">
        <f aca="false">'MRR Conglomerado'!AH61</f>
        <v>25999.92375</v>
      </c>
      <c r="D2" s="19" t="n">
        <f aca="false">C2/$K$1</f>
        <v>1376.75</v>
      </c>
      <c r="E2" s="17" t="str">
        <f aca="false">IF(D2&lt;100,"Menos de 100 USD",IF(D2&lt;500,"100 a 500 USD",IF(D2&lt;2000,"500 a 2.000 USD","Más de 2.000 USD")))</f>
        <v>500 a 2.000 USD</v>
      </c>
      <c r="F2" s="17" t="str">
        <f aca="false">LOOKUP(2,1/('MRR Conglomerado'!E61:AT61&gt;0),'MRR Conglomerado'!$E$1:$AT$1)</f>
        <v>2025-09</v>
      </c>
      <c r="G2" s="17" t="n">
        <f aca="false">COUNTIF('MRR Conglomerado'!E61:AT61,"&gt;0")</f>
        <v>4</v>
      </c>
      <c r="H2" s="18" t="n">
        <f aca="false">'MRR Conglomerado'!AT61</f>
        <v>0</v>
      </c>
    </row>
    <row r="3" customFormat="false" ht="15" hidden="false" customHeight="false" outlineLevel="0" collapsed="false">
      <c r="A3" s="17" t="str">
        <f aca="false">'MRR Conglomerado'!A238</f>
        <v>EHM910503BW</v>
      </c>
      <c r="B3" s="17" t="str">
        <f aca="false">'MRR Conglomerado'!B238</f>
        <v>EQUIPOS HIDROMECANICOS MC</v>
      </c>
      <c r="C3" s="18" t="n">
        <f aca="false">'MRR Conglomerado'!AH238</f>
        <v>15678.51585</v>
      </c>
      <c r="D3" s="19" t="n">
        <f aca="false">C3/$K$1</f>
        <v>830.21</v>
      </c>
      <c r="E3" s="17" t="str">
        <f aca="false">IF(D3&lt;100,"Menos de 100 USD",IF(D3&lt;500,"100 a 500 USD",IF(D3&lt;2000,"500 a 2.000 USD","Más de 2.000 USD")))</f>
        <v>500 a 2.000 USD</v>
      </c>
      <c r="F3" s="17" t="str">
        <f aca="false">LOOKUP(2,1/('MRR Conglomerado'!E238:AT238&gt;0),'MRR Conglomerado'!$E$1:$AT$1)</f>
        <v>2025-11</v>
      </c>
      <c r="G3" s="17" t="n">
        <f aca="false">COUNTIF('MRR Conglomerado'!E238:AT238,"&gt;0")</f>
        <v>35</v>
      </c>
      <c r="H3" s="18" t="n">
        <f aca="false">'MRR Conglomerado'!AT238</f>
        <v>0</v>
      </c>
    </row>
    <row r="4" customFormat="false" ht="15" hidden="false" customHeight="false" outlineLevel="0" collapsed="false">
      <c r="A4" s="17" t="str">
        <f aca="false">'MRR Conglomerado'!A497</f>
        <v>MSP981215H4</v>
      </c>
      <c r="B4" s="17" t="str">
        <f aca="false">'MRR Conglomerado'!B497</f>
        <v>MERCURIO SEGURIDAD PRIVADA</v>
      </c>
      <c r="C4" s="18" t="n">
        <f aca="false">'MRR Conglomerado'!AH497</f>
        <v>15361.4367</v>
      </c>
      <c r="D4" s="19" t="n">
        <f aca="false">C4/$K$1</f>
        <v>813.42</v>
      </c>
      <c r="E4" s="17" t="str">
        <f aca="false">IF(D4&lt;100,"Menos de 100 USD",IF(D4&lt;500,"100 a 500 USD",IF(D4&lt;2000,"500 a 2.000 USD","Más de 2.000 USD")))</f>
        <v>500 a 2.000 USD</v>
      </c>
      <c r="F4" s="17" t="str">
        <f aca="false">LOOKUP(2,1/('MRR Conglomerado'!E497:AT497&gt;0),'MRR Conglomerado'!$E$1:$AT$1)</f>
        <v>2025-10</v>
      </c>
      <c r="G4" s="17" t="n">
        <f aca="false">COUNTIF('MRR Conglomerado'!E497:AT497,"&gt;0")</f>
        <v>8</v>
      </c>
      <c r="H4" s="18" t="n">
        <f aca="false">'MRR Conglomerado'!AT497</f>
        <v>0</v>
      </c>
    </row>
    <row r="5" customFormat="false" ht="15" hidden="false" customHeight="false" outlineLevel="0" collapsed="false">
      <c r="A5" s="17" t="str">
        <f aca="false">'MRR Conglomerado'!A570</f>
        <v>PLO2310139T</v>
      </c>
      <c r="B5" s="17" t="str">
        <f aca="false">'MRR Conglomerado'!B570</f>
        <v>PROXIMIDAD Y LOGISTICA</v>
      </c>
      <c r="C5" s="18" t="n">
        <f aca="false">'MRR Conglomerado'!AH570</f>
        <v>15023.0175</v>
      </c>
      <c r="D5" s="19" t="n">
        <f aca="false">C5/$K$1</f>
        <v>795.5</v>
      </c>
      <c r="E5" s="17" t="str">
        <f aca="false">IF(D5&lt;100,"Menos de 100 USD",IF(D5&lt;500,"100 a 500 USD",IF(D5&lt;2000,"500 a 2.000 USD","Más de 2.000 USD")))</f>
        <v>500 a 2.000 USD</v>
      </c>
      <c r="F5" s="17" t="str">
        <f aca="false">LOOKUP(2,1/('MRR Conglomerado'!E570:AT570&gt;0),'MRR Conglomerado'!$E$1:$AT$1)</f>
        <v>2025-10</v>
      </c>
      <c r="G5" s="17" t="n">
        <f aca="false">COUNTIF('MRR Conglomerado'!E570:AT570,"&gt;0")</f>
        <v>22</v>
      </c>
      <c r="H5" s="18" t="n">
        <f aca="false">'MRR Conglomerado'!AT570</f>
        <v>0</v>
      </c>
    </row>
    <row r="6" customFormat="false" ht="15" hidden="false" customHeight="false" outlineLevel="0" collapsed="false">
      <c r="A6" s="17" t="str">
        <f aca="false">'MRR Conglomerado'!A699</f>
        <v>TAD140205H9</v>
      </c>
      <c r="B6" s="17" t="str">
        <f aca="false">'MRR Conglomerado'!B699</f>
        <v>TIENDAS ADITIVO</v>
      </c>
      <c r="C6" s="18" t="n">
        <f aca="false">'MRR Conglomerado'!AH699</f>
        <v>12297.72315</v>
      </c>
      <c r="D6" s="19" t="n">
        <f aca="false">C6/$K$1</f>
        <v>651.19</v>
      </c>
      <c r="E6" s="17" t="str">
        <f aca="false">IF(D6&lt;100,"Menos de 100 USD",IF(D6&lt;500,"100 a 500 USD",IF(D6&lt;2000,"500 a 2.000 USD","Más de 2.000 USD")))</f>
        <v>500 a 2.000 USD</v>
      </c>
      <c r="F6" s="17" t="str">
        <f aca="false">LOOKUP(2,1/('MRR Conglomerado'!E699:AT699&gt;0),'MRR Conglomerado'!$E$1:$AT$1)</f>
        <v>2026-05</v>
      </c>
      <c r="G6" s="17" t="n">
        <f aca="false">COUNTIF('MRR Conglomerado'!E699:AT699,"&gt;0")</f>
        <v>41</v>
      </c>
      <c r="H6" s="18" t="n">
        <f aca="false">'MRR Conglomerado'!AT699</f>
        <v>0</v>
      </c>
    </row>
    <row r="7" customFormat="false" ht="15" hidden="false" customHeight="false" outlineLevel="0" collapsed="false">
      <c r="A7" s="17" t="str">
        <f aca="false">'MRR Conglomerado'!A311</f>
        <v>GCA6601031M</v>
      </c>
      <c r="B7" s="17" t="str">
        <f aca="false">'MRR Conglomerado'!B311</f>
        <v>GRUPO COMERCIAL ATLAS</v>
      </c>
      <c r="C7" s="18" t="n">
        <f aca="false">'MRR Conglomerado'!AH311</f>
        <v>11393.3205</v>
      </c>
      <c r="D7" s="19" t="n">
        <f aca="false">C7/$K$1</f>
        <v>603.3</v>
      </c>
      <c r="E7" s="17" t="str">
        <f aca="false">IF(D7&lt;100,"Menos de 100 USD",IF(D7&lt;500,"100 a 500 USD",IF(D7&lt;2000,"500 a 2.000 USD","Más de 2.000 USD")))</f>
        <v>500 a 2.000 USD</v>
      </c>
      <c r="F7" s="17" t="str">
        <f aca="false">LOOKUP(2,1/('MRR Conglomerado'!E311:AT311&gt;0),'MRR Conglomerado'!$E$1:$AT$1)</f>
        <v>2025-10</v>
      </c>
      <c r="G7" s="17" t="n">
        <f aca="false">COUNTIF('MRR Conglomerado'!E311:AT311,"&gt;0")</f>
        <v>34</v>
      </c>
      <c r="H7" s="18" t="n">
        <f aca="false">'MRR Conglomerado'!AT311</f>
        <v>0</v>
      </c>
    </row>
    <row r="8" customFormat="false" ht="15" hidden="false" customHeight="false" outlineLevel="0" collapsed="false">
      <c r="A8" s="17" t="str">
        <f aca="false">'MRR Conglomerado'!A415</f>
        <v>ITM100309S9</v>
      </c>
      <c r="B8" s="17" t="str">
        <f aca="false">'MRR Conglomerado'!B415</f>
        <v>INSTALACIONES DE TELECOMUNICACIONES DE MEXICO</v>
      </c>
      <c r="C8" s="18" t="n">
        <f aca="false">'MRR Conglomerado'!AH415</f>
        <v>11280.0105</v>
      </c>
      <c r="D8" s="19" t="n">
        <f aca="false">C8/$K$1</f>
        <v>597.3</v>
      </c>
      <c r="E8" s="17" t="str">
        <f aca="false">IF(D8&lt;100,"Menos de 100 USD",IF(D8&lt;500,"100 a 500 USD",IF(D8&lt;2000,"500 a 2.000 USD","Más de 2.000 USD")))</f>
        <v>500 a 2.000 USD</v>
      </c>
      <c r="F8" s="17" t="str">
        <f aca="false">LOOKUP(2,1/('MRR Conglomerado'!E415:AT415&gt;0),'MRR Conglomerado'!$E$1:$AT$1)</f>
        <v>2025-10</v>
      </c>
      <c r="G8" s="17" t="n">
        <f aca="false">COUNTIF('MRR Conglomerado'!E415:AT415,"&gt;0")</f>
        <v>6</v>
      </c>
      <c r="H8" s="18" t="n">
        <f aca="false">'MRR Conglomerado'!AT415</f>
        <v>0</v>
      </c>
    </row>
    <row r="9" customFormat="false" ht="15" hidden="false" customHeight="false" outlineLevel="0" collapsed="false">
      <c r="A9" s="17" t="str">
        <f aca="false">'MRR Conglomerado'!A140</f>
        <v>CIC991005MS</v>
      </c>
      <c r="B9" s="17" t="str">
        <f aca="false">'MRR Conglomerado'!B140</f>
        <v>CONSTRUCTORA E INMOBILIARIA CAROME</v>
      </c>
      <c r="C9" s="18" t="n">
        <f aca="false">'MRR Conglomerado'!AH140</f>
        <v>9846.82785</v>
      </c>
      <c r="D9" s="19" t="n">
        <f aca="false">C9/$K$1</f>
        <v>521.41</v>
      </c>
      <c r="E9" s="17" t="str">
        <f aca="false">IF(D9&lt;100,"Menos de 100 USD",IF(D9&lt;500,"100 a 500 USD",IF(D9&lt;2000,"500 a 2.000 USD","Más de 2.000 USD")))</f>
        <v>500 a 2.000 USD</v>
      </c>
      <c r="F9" s="17" t="str">
        <f aca="false">LOOKUP(2,1/('MRR Conglomerado'!E140:AT140&gt;0),'MRR Conglomerado'!$E$1:$AT$1)</f>
        <v>2026-01</v>
      </c>
      <c r="G9" s="17" t="n">
        <f aca="false">COUNTIF('MRR Conglomerado'!E140:AT140,"&gt;0")</f>
        <v>19</v>
      </c>
      <c r="H9" s="18" t="n">
        <f aca="false">'MRR Conglomerado'!AT140</f>
        <v>0</v>
      </c>
    </row>
    <row r="10" customFormat="false" ht="15" hidden="false" customHeight="false" outlineLevel="0" collapsed="false">
      <c r="A10" s="17" t="str">
        <f aca="false">'MRR Conglomerado'!A317</f>
        <v>GCP831026IG</v>
      </c>
      <c r="B10" s="17" t="str">
        <f aca="false">'MRR Conglomerado'!B317</f>
        <v>GRAN CAFE DE LA PARROQUIA DE VERACRUZ</v>
      </c>
      <c r="C10" s="18" t="n">
        <f aca="false">'MRR Conglomerado'!AH317</f>
        <v>9460.06305</v>
      </c>
      <c r="D10" s="19" t="n">
        <f aca="false">C10/$K$1</f>
        <v>500.93</v>
      </c>
      <c r="E10" s="17" t="str">
        <f aca="false">IF(D10&lt;100,"Menos de 100 USD",IF(D10&lt;500,"100 a 500 USD",IF(D10&lt;2000,"500 a 2.000 USD","Más de 2.000 USD")))</f>
        <v>500 a 2.000 USD</v>
      </c>
      <c r="F10" s="17" t="str">
        <f aca="false">LOOKUP(2,1/('MRR Conglomerado'!E317:AT317&gt;0),'MRR Conglomerado'!$E$1:$AT$1)</f>
        <v>2025-07</v>
      </c>
      <c r="G10" s="17" t="n">
        <f aca="false">COUNTIF('MRR Conglomerado'!E317:AT317,"&gt;0")</f>
        <v>12</v>
      </c>
      <c r="H10" s="18" t="n">
        <f aca="false">'MRR Conglomerado'!AT317</f>
        <v>0</v>
      </c>
    </row>
    <row r="11" customFormat="false" ht="15" hidden="false" customHeight="false" outlineLevel="0" collapsed="false">
      <c r="A11" s="17" t="str">
        <f aca="false">'MRR Conglomerado'!A563</f>
        <v>PIM88041917</v>
      </c>
      <c r="B11" s="17" t="str">
        <f aca="false">'MRR Conglomerado'!B563</f>
        <v>PLASTICOS INDUSTRIALES DE MONTERREY</v>
      </c>
      <c r="C11" s="18" t="n">
        <f aca="false">'MRR Conglomerado'!AH563</f>
        <v>9192.0849</v>
      </c>
      <c r="D11" s="19" t="n">
        <f aca="false">C11/$K$1</f>
        <v>486.74</v>
      </c>
      <c r="E11" s="17" t="str">
        <f aca="false">IF(D11&lt;100,"Menos de 100 USD",IF(D11&lt;500,"100 a 500 USD",IF(D11&lt;2000,"500 a 2.000 USD","Más de 2.000 USD")))</f>
        <v>100 a 500 USD</v>
      </c>
      <c r="F11" s="17" t="str">
        <f aca="false">LOOKUP(2,1/('MRR Conglomerado'!E563:AT563&gt;0),'MRR Conglomerado'!$E$1:$AT$1)</f>
        <v>2026-05</v>
      </c>
      <c r="G11" s="17" t="n">
        <f aca="false">COUNTIF('MRR Conglomerado'!E563:AT563,"&gt;0")</f>
        <v>29</v>
      </c>
      <c r="H11" s="18" t="n">
        <f aca="false">'MRR Conglomerado'!AT563</f>
        <v>0</v>
      </c>
    </row>
    <row r="12" customFormat="false" ht="15" hidden="false" customHeight="false" outlineLevel="0" collapsed="false">
      <c r="A12" s="17" t="str">
        <f aca="false">'MRR Conglomerado'!A761</f>
        <v>VJU981123KB</v>
      </c>
      <c r="B12" s="17" t="str">
        <f aca="false">'MRR Conglomerado'!B761</f>
        <v>VILLAGOMEZ JURADO</v>
      </c>
      <c r="C12" s="18" t="n">
        <f aca="false">'MRR Conglomerado'!AH761</f>
        <v>9108.04665</v>
      </c>
      <c r="D12" s="19" t="n">
        <f aca="false">C12/$K$1</f>
        <v>482.29</v>
      </c>
      <c r="E12" s="17" t="str">
        <f aca="false">IF(D12&lt;100,"Menos de 100 USD",IF(D12&lt;500,"100 a 500 USD",IF(D12&lt;2000,"500 a 2.000 USD","Más de 2.000 USD")))</f>
        <v>100 a 500 USD</v>
      </c>
      <c r="F12" s="17" t="str">
        <f aca="false">LOOKUP(2,1/('MRR Conglomerado'!E761:AT761&gt;0),'MRR Conglomerado'!$E$1:$AT$1)</f>
        <v>2026-04</v>
      </c>
      <c r="G12" s="17" t="n">
        <f aca="false">COUNTIF('MRR Conglomerado'!E761:AT761,"&gt;0")</f>
        <v>36</v>
      </c>
      <c r="H12" s="18" t="n">
        <f aca="false">'MRR Conglomerado'!AT761</f>
        <v>0</v>
      </c>
    </row>
    <row r="13" customFormat="false" ht="15" hidden="false" customHeight="false" outlineLevel="0" collapsed="false">
      <c r="A13" s="17" t="str">
        <f aca="false">'MRR Conglomerado'!A630</f>
        <v>RTD220308U2</v>
      </c>
      <c r="B13" s="17" t="str">
        <f aca="false">'MRR Conglomerado'!B630</f>
        <v>RM TEAM 2022</v>
      </c>
      <c r="C13" s="18" t="n">
        <f aca="false">'MRR Conglomerado'!AH630</f>
        <v>8693.1432</v>
      </c>
      <c r="D13" s="19" t="n">
        <f aca="false">C13/$K$1</f>
        <v>460.32</v>
      </c>
      <c r="E13" s="17" t="str">
        <f aca="false">IF(D13&lt;100,"Menos de 100 USD",IF(D13&lt;500,"100 a 500 USD",IF(D13&lt;2000,"500 a 2.000 USD","Más de 2.000 USD")))</f>
        <v>100 a 500 USD</v>
      </c>
      <c r="F13" s="17" t="str">
        <f aca="false">LOOKUP(2,1/('MRR Conglomerado'!E630:AT630&gt;0),'MRR Conglomerado'!$E$1:$AT$1)</f>
        <v>2025-08</v>
      </c>
      <c r="G13" s="17" t="n">
        <f aca="false">COUNTIF('MRR Conglomerado'!E630:AT630,"&gt;0")</f>
        <v>32</v>
      </c>
      <c r="H13" s="18" t="n">
        <f aca="false">'MRR Conglomerado'!AT630</f>
        <v>0</v>
      </c>
    </row>
    <row r="14" customFormat="false" ht="15" hidden="false" customHeight="false" outlineLevel="0" collapsed="false">
      <c r="A14" s="17" t="str">
        <f aca="false">'MRR Conglomerado'!A682</f>
        <v>SNO0202153Z</v>
      </c>
      <c r="B14" s="17" t="str">
        <f aca="false">'MRR Conglomerado'!B682</f>
        <v>SIMILARES DEL NORESTE</v>
      </c>
      <c r="C14" s="18" t="n">
        <f aca="false">'MRR Conglomerado'!AH682</f>
        <v>8449.71555</v>
      </c>
      <c r="D14" s="19" t="n">
        <f aca="false">C14/$K$1</f>
        <v>447.43</v>
      </c>
      <c r="E14" s="17" t="str">
        <f aca="false">IF(D14&lt;100,"Menos de 100 USD",IF(D14&lt;500,"100 a 500 USD",IF(D14&lt;2000,"500 a 2.000 USD","Más de 2.000 USD")))</f>
        <v>100 a 500 USD</v>
      </c>
      <c r="F14" s="17" t="str">
        <f aca="false">LOOKUP(2,1/('MRR Conglomerado'!E682:AT682&gt;0),'MRR Conglomerado'!$E$1:$AT$1)</f>
        <v>2025-10</v>
      </c>
      <c r="G14" s="17" t="n">
        <f aca="false">COUNTIF('MRR Conglomerado'!E682:AT682,"&gt;0")</f>
        <v>12</v>
      </c>
      <c r="H14" s="18" t="n">
        <f aca="false">'MRR Conglomerado'!AT682</f>
        <v>0</v>
      </c>
    </row>
    <row r="15" customFormat="false" ht="15" hidden="false" customHeight="false" outlineLevel="0" collapsed="false">
      <c r="A15" s="17" t="str">
        <f aca="false">'MRR Conglomerado'!A572</f>
        <v>PLT7910247B</v>
      </c>
      <c r="B15" s="17" t="str">
        <f aca="false">'MRR Conglomerado'!B572</f>
        <v>PRODUCTOS LOL TUN</v>
      </c>
      <c r="C15" s="18" t="n">
        <f aca="false">'MRR Conglomerado'!AH572</f>
        <v>8161.7193</v>
      </c>
      <c r="D15" s="19" t="n">
        <f aca="false">C15/$K$1</f>
        <v>432.18</v>
      </c>
      <c r="E15" s="17" t="str">
        <f aca="false">IF(D15&lt;100,"Menos de 100 USD",IF(D15&lt;500,"100 a 500 USD",IF(D15&lt;2000,"500 a 2.000 USD","Más de 2.000 USD")))</f>
        <v>100 a 500 USD</v>
      </c>
      <c r="F15" s="17" t="str">
        <f aca="false">LOOKUP(2,1/('MRR Conglomerado'!E572:AT572&gt;0),'MRR Conglomerado'!$E$1:$AT$1)</f>
        <v>2025-12</v>
      </c>
      <c r="G15" s="17" t="n">
        <f aca="false">COUNTIF('MRR Conglomerado'!E572:AT572,"&gt;0")</f>
        <v>36</v>
      </c>
      <c r="H15" s="18" t="n">
        <f aca="false">'MRR Conglomerado'!AT572</f>
        <v>0</v>
      </c>
    </row>
    <row r="16" customFormat="false" ht="15" hidden="false" customHeight="false" outlineLevel="0" collapsed="false">
      <c r="A16" s="17" t="str">
        <f aca="false">'MRR Conglomerado'!A43</f>
        <v>ALO0508239T</v>
      </c>
      <c r="B16" s="17" t="str">
        <f aca="false">'MRR Conglomerado'!B43</f>
        <v>ABC LOGISTICA</v>
      </c>
      <c r="C16" s="18" t="n">
        <f aca="false">'MRR Conglomerado'!AH43</f>
        <v>7337.01135</v>
      </c>
      <c r="D16" s="19" t="n">
        <f aca="false">C16/$K$1</f>
        <v>388.51</v>
      </c>
      <c r="E16" s="17" t="str">
        <f aca="false">IF(D16&lt;100,"Menos de 100 USD",IF(D16&lt;500,"100 a 500 USD",IF(D16&lt;2000,"500 a 2.000 USD","Más de 2.000 USD")))</f>
        <v>100 a 500 USD</v>
      </c>
      <c r="F16" s="17" t="str">
        <f aca="false">LOOKUP(2,1/('MRR Conglomerado'!E43:AT43&gt;0),'MRR Conglomerado'!$E$1:$AT$1)</f>
        <v>2025-06</v>
      </c>
      <c r="G16" s="17" t="n">
        <f aca="false">COUNTIF('MRR Conglomerado'!E43:AT43,"&gt;0")</f>
        <v>8</v>
      </c>
      <c r="H16" s="18" t="n">
        <f aca="false">'MRR Conglomerado'!AT43</f>
        <v>0</v>
      </c>
    </row>
    <row r="17" customFormat="false" ht="15" hidden="false" customHeight="false" outlineLevel="0" collapsed="false">
      <c r="A17" s="17" t="str">
        <f aca="false">'MRR Conglomerado'!A784</f>
        <v>ZSU920314FC</v>
      </c>
      <c r="B17" s="17" t="str">
        <f aca="false">'MRR Conglomerado'!B784</f>
        <v>ZAPATERIAS SUPER</v>
      </c>
      <c r="C17" s="18" t="n">
        <f aca="false">'MRR Conglomerado'!AH784</f>
        <v>7199.90625</v>
      </c>
      <c r="D17" s="19" t="n">
        <f aca="false">C17/$K$1</f>
        <v>381.25</v>
      </c>
      <c r="E17" s="17" t="str">
        <f aca="false">IF(D17&lt;100,"Menos de 100 USD",IF(D17&lt;500,"100 a 500 USD",IF(D17&lt;2000,"500 a 2.000 USD","Más de 2.000 USD")))</f>
        <v>100 a 500 USD</v>
      </c>
      <c r="F17" s="17" t="str">
        <f aca="false">LOOKUP(2,1/('MRR Conglomerado'!E784:AT784&gt;0),'MRR Conglomerado'!$E$1:$AT$1)</f>
        <v>2026-02</v>
      </c>
      <c r="G17" s="17" t="n">
        <f aca="false">COUNTIF('MRR Conglomerado'!E784:AT784,"&gt;0")</f>
        <v>20</v>
      </c>
      <c r="H17" s="18" t="n">
        <f aca="false">'MRR Conglomerado'!AT784</f>
        <v>0</v>
      </c>
    </row>
    <row r="18" customFormat="false" ht="15" hidden="false" customHeight="false" outlineLevel="0" collapsed="false">
      <c r="A18" s="17" t="str">
        <f aca="false">'MRR Conglomerado'!A72</f>
        <v>BAN191001Q6</v>
      </c>
      <c r="B18" s="17" t="str">
        <f aca="false">'MRR Conglomerado'!B72</f>
        <v>BKAYA</v>
      </c>
      <c r="C18" s="18" t="n">
        <f aca="false">'MRR Conglomerado'!AH72</f>
        <v>7091.3175</v>
      </c>
      <c r="D18" s="19" t="n">
        <f aca="false">C18/$K$1</f>
        <v>375.5</v>
      </c>
      <c r="E18" s="17" t="str">
        <f aca="false">IF(D18&lt;100,"Menos de 100 USD",IF(D18&lt;500,"100 a 500 USD",IF(D18&lt;2000,"500 a 2.000 USD","Más de 2.000 USD")))</f>
        <v>100 a 500 USD</v>
      </c>
      <c r="F18" s="17" t="str">
        <f aca="false">LOOKUP(2,1/('MRR Conglomerado'!E72:AT72&gt;0),'MRR Conglomerado'!$E$1:$AT$1)</f>
        <v>2026-04</v>
      </c>
      <c r="G18" s="17" t="n">
        <f aca="false">COUNTIF('MRR Conglomerado'!E72:AT72,"&gt;0")</f>
        <v>36</v>
      </c>
      <c r="H18" s="18" t="n">
        <f aca="false">'MRR Conglomerado'!AT72</f>
        <v>0</v>
      </c>
    </row>
    <row r="19" customFormat="false" ht="15" hidden="false" customHeight="false" outlineLevel="0" collapsed="false">
      <c r="A19" s="17" t="str">
        <f aca="false">'MRR Conglomerado'!A490</f>
        <v>MRC210607EW</v>
      </c>
      <c r="B19" s="17" t="str">
        <f aca="false">'MRR Conglomerado'!B490</f>
        <v>MEDICA RISO CDMX</v>
      </c>
      <c r="C19" s="18" t="n">
        <f aca="false">'MRR Conglomerado'!AH490</f>
        <v>6815.78535</v>
      </c>
      <c r="D19" s="19" t="n">
        <f aca="false">C19/$K$1</f>
        <v>360.91</v>
      </c>
      <c r="E19" s="17" t="str">
        <f aca="false">IF(D19&lt;100,"Menos de 100 USD",IF(D19&lt;500,"100 a 500 USD",IF(D19&lt;2000,"500 a 2.000 USD","Más de 2.000 USD")))</f>
        <v>100 a 500 USD</v>
      </c>
      <c r="F19" s="17" t="str">
        <f aca="false">LOOKUP(2,1/('MRR Conglomerado'!E490:AT490&gt;0),'MRR Conglomerado'!$E$1:$AT$1)</f>
        <v>2025-08</v>
      </c>
      <c r="G19" s="17" t="n">
        <f aca="false">COUNTIF('MRR Conglomerado'!E490:AT490,"&gt;0")</f>
        <v>13</v>
      </c>
      <c r="H19" s="18" t="n">
        <f aca="false">'MRR Conglomerado'!AT490</f>
        <v>0</v>
      </c>
    </row>
    <row r="20" customFormat="false" ht="15" hidden="false" customHeight="false" outlineLevel="0" collapsed="false">
      <c r="A20" s="17" t="str">
        <f aca="false">'MRR Conglomerado'!A111</f>
        <v>CCL8603057Q</v>
      </c>
      <c r="B20" s="17" t="str">
        <f aca="false">'MRR Conglomerado'!B111</f>
        <v>CONFECCIONES CLABECK</v>
      </c>
      <c r="C20" s="18" t="n">
        <f aca="false">'MRR Conglomerado'!AH111</f>
        <v>6196.5462</v>
      </c>
      <c r="D20" s="19" t="n">
        <f aca="false">C20/$K$1</f>
        <v>328.12</v>
      </c>
      <c r="E20" s="17" t="str">
        <f aca="false">IF(D20&lt;100,"Menos de 100 USD",IF(D20&lt;500,"100 a 500 USD",IF(D20&lt;2000,"500 a 2.000 USD","Más de 2.000 USD")))</f>
        <v>100 a 500 USD</v>
      </c>
      <c r="F20" s="17" t="str">
        <f aca="false">LOOKUP(2,1/('MRR Conglomerado'!E111:AT111&gt;0),'MRR Conglomerado'!$E$1:$AT$1)</f>
        <v>2025-08</v>
      </c>
      <c r="G20" s="17" t="n">
        <f aca="false">COUNTIF('MRR Conglomerado'!E111:AT111,"&gt;0")</f>
        <v>12</v>
      </c>
      <c r="H20" s="18" t="n">
        <f aca="false">'MRR Conglomerado'!AT111</f>
        <v>0</v>
      </c>
    </row>
    <row r="21" customFormat="false" ht="15" hidden="false" customHeight="false" outlineLevel="0" collapsed="false">
      <c r="A21" s="17" t="str">
        <f aca="false">'MRR Conglomerado'!A324</f>
        <v>GED62010165</v>
      </c>
      <c r="B21" s="17" t="str">
        <f aca="false">'MRR Conglomerado'!B324</f>
        <v>GOBIERNO DEL ESTADO DE DURANGO</v>
      </c>
      <c r="C21" s="18" t="n">
        <f aca="false">'MRR Conglomerado'!AH324</f>
        <v>5876.6343</v>
      </c>
      <c r="D21" s="19" t="n">
        <f aca="false">C21/$K$1</f>
        <v>311.18</v>
      </c>
      <c r="E21" s="17" t="str">
        <f aca="false">IF(D21&lt;100,"Menos de 100 USD",IF(D21&lt;500,"100 a 500 USD",IF(D21&lt;2000,"500 a 2.000 USD","Más de 2.000 USD")))</f>
        <v>100 a 500 USD</v>
      </c>
      <c r="F21" s="17" t="str">
        <f aca="false">LOOKUP(2,1/('MRR Conglomerado'!E324:AT324&gt;0),'MRR Conglomerado'!$E$1:$AT$1)</f>
        <v>2026-03</v>
      </c>
      <c r="G21" s="17" t="n">
        <f aca="false">COUNTIF('MRR Conglomerado'!E324:AT324,"&gt;0")</f>
        <v>34</v>
      </c>
      <c r="H21" s="18" t="n">
        <f aca="false">'MRR Conglomerado'!AT324</f>
        <v>0</v>
      </c>
    </row>
    <row r="22" customFormat="false" ht="15" hidden="false" customHeight="false" outlineLevel="0" collapsed="false">
      <c r="A22" s="17" t="str">
        <f aca="false">'MRR Conglomerado'!A207</f>
        <v>DMA150609DQ</v>
      </c>
      <c r="B22" s="17" t="str">
        <f aca="false">'MRR Conglomerado'!B207</f>
        <v>DESARROLLOS MAFERSA</v>
      </c>
      <c r="C22" s="18" t="n">
        <f aca="false">'MRR Conglomerado'!AH207</f>
        <v>5856.04965</v>
      </c>
      <c r="D22" s="19" t="n">
        <f aca="false">C22/$K$1</f>
        <v>310.09</v>
      </c>
      <c r="E22" s="17" t="str">
        <f aca="false">IF(D22&lt;100,"Menos de 100 USD",IF(D22&lt;500,"100 a 500 USD",IF(D22&lt;2000,"500 a 2.000 USD","Más de 2.000 USD")))</f>
        <v>100 a 500 USD</v>
      </c>
      <c r="F22" s="17" t="str">
        <f aca="false">LOOKUP(2,1/('MRR Conglomerado'!E207:AT207&gt;0),'MRR Conglomerado'!$E$1:$AT$1)</f>
        <v>2025-11</v>
      </c>
      <c r="G22" s="17" t="n">
        <f aca="false">COUNTIF('MRR Conglomerado'!E207:AT207,"&gt;0")</f>
        <v>6</v>
      </c>
      <c r="H22" s="18" t="n">
        <f aca="false">'MRR Conglomerado'!AT207</f>
        <v>0</v>
      </c>
    </row>
    <row r="23" customFormat="false" ht="15" hidden="false" customHeight="false" outlineLevel="0" collapsed="false">
      <c r="A23" s="17" t="str">
        <f aca="false">'MRR Conglomerado'!A669</f>
        <v>SIP050722BA</v>
      </c>
      <c r="B23" s="17" t="str">
        <f aca="false">'MRR Conglomerado'!B669</f>
        <v>SUMINISTROS INTEGRALES PANAMERICANOS</v>
      </c>
      <c r="C23" s="18" t="n">
        <f aca="false">'MRR Conglomerado'!AH669</f>
        <v>5789.95215</v>
      </c>
      <c r="D23" s="19" t="n">
        <f aca="false">C23/$K$1</f>
        <v>306.59</v>
      </c>
      <c r="E23" s="17" t="str">
        <f aca="false">IF(D23&lt;100,"Menos de 100 USD",IF(D23&lt;500,"100 a 500 USD",IF(D23&lt;2000,"500 a 2.000 USD","Más de 2.000 USD")))</f>
        <v>100 a 500 USD</v>
      </c>
      <c r="F23" s="17" t="str">
        <f aca="false">LOOKUP(2,1/('MRR Conglomerado'!E669:AT669&gt;0),'MRR Conglomerado'!$E$1:$AT$1)</f>
        <v>2025-09</v>
      </c>
      <c r="G23" s="17" t="n">
        <f aca="false">COUNTIF('MRR Conglomerado'!E669:AT669,"&gt;0")</f>
        <v>14</v>
      </c>
      <c r="H23" s="18" t="n">
        <f aca="false">'MRR Conglomerado'!AT669</f>
        <v>0</v>
      </c>
    </row>
    <row r="24" customFormat="false" ht="15" hidden="false" customHeight="false" outlineLevel="0" collapsed="false">
      <c r="A24" s="17" t="str">
        <f aca="false">'MRR Conglomerado'!A750</f>
        <v>VAPR870821D</v>
      </c>
      <c r="B24" s="17" t="str">
        <f aca="false">'MRR Conglomerado'!B750</f>
        <v>RODOLFO VALTIERRA PICOS</v>
      </c>
      <c r="C24" s="18" t="n">
        <f aca="false">'MRR Conglomerado'!AH750</f>
        <v>5619.60945</v>
      </c>
      <c r="D24" s="19" t="n">
        <f aca="false">C24/$K$1</f>
        <v>297.57</v>
      </c>
      <c r="E24" s="17" t="str">
        <f aca="false">IF(D24&lt;100,"Menos de 100 USD",IF(D24&lt;500,"100 a 500 USD",IF(D24&lt;2000,"500 a 2.000 USD","Más de 2.000 USD")))</f>
        <v>100 a 500 USD</v>
      </c>
      <c r="F24" s="17" t="str">
        <f aca="false">LOOKUP(2,1/('MRR Conglomerado'!E750:AT750&gt;0),'MRR Conglomerado'!$E$1:$AT$1)</f>
        <v>2025-12</v>
      </c>
      <c r="G24" s="17" t="n">
        <f aca="false">COUNTIF('MRR Conglomerado'!E750:AT750,"&gt;0")</f>
        <v>36</v>
      </c>
      <c r="H24" s="18" t="n">
        <f aca="false">'MRR Conglomerado'!AT750</f>
        <v>0</v>
      </c>
    </row>
    <row r="25" customFormat="false" ht="15" hidden="false" customHeight="false" outlineLevel="0" collapsed="false">
      <c r="A25" s="17" t="str">
        <f aca="false">'MRR Conglomerado'!A517</f>
        <v>OGA101029LS</v>
      </c>
      <c r="B25" s="17" t="str">
        <f aca="false">'MRR Conglomerado'!B517</f>
        <v>OPERADORA DE GRANOS Y ALMACENES</v>
      </c>
      <c r="C25" s="18" t="n">
        <f aca="false">'MRR Conglomerado'!AH517</f>
        <v>5451.91065</v>
      </c>
      <c r="D25" s="19" t="n">
        <f aca="false">C25/$K$1</f>
        <v>288.69</v>
      </c>
      <c r="E25" s="17" t="str">
        <f aca="false">IF(D25&lt;100,"Menos de 100 USD",IF(D25&lt;500,"100 a 500 USD",IF(D25&lt;2000,"500 a 2.000 USD","Más de 2.000 USD")))</f>
        <v>100 a 500 USD</v>
      </c>
      <c r="F25" s="17" t="str">
        <f aca="false">LOOKUP(2,1/('MRR Conglomerado'!E517:AT517&gt;0),'MRR Conglomerado'!$E$1:$AT$1)</f>
        <v>2026-02</v>
      </c>
      <c r="G25" s="17" t="n">
        <f aca="false">COUNTIF('MRR Conglomerado'!E517:AT517,"&gt;0")</f>
        <v>23</v>
      </c>
      <c r="H25" s="18" t="n">
        <f aca="false">'MRR Conglomerado'!AT517</f>
        <v>0</v>
      </c>
    </row>
    <row r="26" customFormat="false" ht="15" hidden="false" customHeight="false" outlineLevel="0" collapsed="false">
      <c r="A26" s="17" t="str">
        <f aca="false">'MRR Conglomerado'!A634</f>
        <v>SAC18120569</v>
      </c>
      <c r="B26" s="17" t="str">
        <f aca="false">'MRR Conglomerado'!B634</f>
        <v>SERVICIOS DE AUTOTRANSPORTE CAZAMA</v>
      </c>
      <c r="C26" s="18" t="n">
        <f aca="false">'MRR Conglomerado'!AH634</f>
        <v>5395.0668</v>
      </c>
      <c r="D26" s="19" t="n">
        <f aca="false">C26/$K$1</f>
        <v>285.68</v>
      </c>
      <c r="E26" s="17" t="str">
        <f aca="false">IF(D26&lt;100,"Menos de 100 USD",IF(D26&lt;500,"100 a 500 USD",IF(D26&lt;2000,"500 a 2.000 USD","Más de 2.000 USD")))</f>
        <v>100 a 500 USD</v>
      </c>
      <c r="F26" s="17" t="str">
        <f aca="false">LOOKUP(2,1/('MRR Conglomerado'!E634:AT634&gt;0),'MRR Conglomerado'!$E$1:$AT$1)</f>
        <v>2026-01</v>
      </c>
      <c r="G26" s="17" t="n">
        <f aca="false">COUNTIF('MRR Conglomerado'!E634:AT634,"&gt;0")</f>
        <v>13</v>
      </c>
      <c r="H26" s="18" t="n">
        <f aca="false">'MRR Conglomerado'!AT634</f>
        <v>0</v>
      </c>
    </row>
    <row r="27" customFormat="false" ht="15" hidden="false" customHeight="false" outlineLevel="0" collapsed="false">
      <c r="A27" s="17" t="str">
        <f aca="false">'MRR Conglomerado'!A382</f>
        <v>HUC21101387</v>
      </c>
      <c r="B27" s="17" t="str">
        <f aca="false">'MRR Conglomerado'!B382</f>
        <v>HAICO URBANIZACION Y CONSTRUCCION</v>
      </c>
      <c r="C27" s="18" t="n">
        <f aca="false">'MRR Conglomerado'!AH382</f>
        <v>5361.64035</v>
      </c>
      <c r="D27" s="19" t="n">
        <f aca="false">C27/$K$1</f>
        <v>283.91</v>
      </c>
      <c r="E27" s="17" t="str">
        <f aca="false">IF(D27&lt;100,"Menos de 100 USD",IF(D27&lt;500,"100 a 500 USD",IF(D27&lt;2000,"500 a 2.000 USD","Más de 2.000 USD")))</f>
        <v>100 a 500 USD</v>
      </c>
      <c r="F27" s="17" t="str">
        <f aca="false">LOOKUP(2,1/('MRR Conglomerado'!E382:AT382&gt;0),'MRR Conglomerado'!$E$1:$AT$1)</f>
        <v>2025-11</v>
      </c>
      <c r="G27" s="17" t="n">
        <f aca="false">COUNTIF('MRR Conglomerado'!E382:AT382,"&gt;0")</f>
        <v>28</v>
      </c>
      <c r="H27" s="18" t="n">
        <f aca="false">'MRR Conglomerado'!AT382</f>
        <v>0</v>
      </c>
    </row>
    <row r="28" customFormat="false" ht="15" hidden="false" customHeight="false" outlineLevel="0" collapsed="false">
      <c r="A28" s="17" t="str">
        <f aca="false">'MRR Conglomerado'!A262</f>
        <v>ETP2208223L</v>
      </c>
      <c r="B28" s="17" t="str">
        <f aca="false">'MRR Conglomerado'!B262</f>
        <v>ESQUEMAS TACTICOS DE PROMOCION</v>
      </c>
      <c r="C28" s="18" t="n">
        <f aca="false">'MRR Conglomerado'!AH262</f>
        <v>4200.024</v>
      </c>
      <c r="D28" s="19" t="n">
        <f aca="false">C28/$K$1</f>
        <v>222.4</v>
      </c>
      <c r="E28" s="17" t="str">
        <f aca="false">IF(D28&lt;100,"Menos de 100 USD",IF(D28&lt;500,"100 a 500 USD",IF(D28&lt;2000,"500 a 2.000 USD","Más de 2.000 USD")))</f>
        <v>100 a 500 USD</v>
      </c>
      <c r="F28" s="17" t="str">
        <f aca="false">LOOKUP(2,1/('MRR Conglomerado'!E262:AT262&gt;0),'MRR Conglomerado'!$E$1:$AT$1)</f>
        <v>2025-07</v>
      </c>
      <c r="G28" s="17" t="n">
        <f aca="false">COUNTIF('MRR Conglomerado'!E262:AT262,"&gt;0")</f>
        <v>6</v>
      </c>
      <c r="H28" s="18" t="n">
        <f aca="false">'MRR Conglomerado'!AT262</f>
        <v>0</v>
      </c>
    </row>
    <row r="29" customFormat="false" ht="15" hidden="false" customHeight="false" outlineLevel="0" collapsed="false">
      <c r="A29" s="17" t="str">
        <f aca="false">'MRR Conglomerado'!A250</f>
        <v>ENE150506UG</v>
      </c>
      <c r="B29" s="17" t="str">
        <f aca="false">'MRR Conglomerado'!B250</f>
        <v>ENESTAS</v>
      </c>
      <c r="C29" s="18" t="n">
        <f aca="false">'MRR Conglomerado'!AH250</f>
        <v>4192.47</v>
      </c>
      <c r="D29" s="19" t="n">
        <f aca="false">C29/$K$1</f>
        <v>222</v>
      </c>
      <c r="E29" s="17" t="str">
        <f aca="false">IF(D29&lt;100,"Menos de 100 USD",IF(D29&lt;500,"100 a 500 USD",IF(D29&lt;2000,"500 a 2.000 USD","Más de 2.000 USD")))</f>
        <v>100 a 500 USD</v>
      </c>
      <c r="F29" s="17" t="str">
        <f aca="false">LOOKUP(2,1/('MRR Conglomerado'!E250:AT250&gt;0),'MRR Conglomerado'!$E$1:$AT$1)</f>
        <v>2026-01</v>
      </c>
      <c r="G29" s="17" t="n">
        <f aca="false">COUNTIF('MRR Conglomerado'!E250:AT250,"&gt;0")</f>
        <v>13</v>
      </c>
      <c r="H29" s="18" t="n">
        <f aca="false">'MRR Conglomerado'!AT250</f>
        <v>0</v>
      </c>
    </row>
    <row r="30" customFormat="false" ht="15" hidden="false" customHeight="false" outlineLevel="0" collapsed="false">
      <c r="A30" s="17" t="str">
        <f aca="false">'MRR Conglomerado'!A310</f>
        <v>GCA100623EZ</v>
      </c>
      <c r="B30" s="17" t="str">
        <f aca="false">'MRR Conglomerado'!B310</f>
        <v>GRUPO CONSTRUCTOR AQUILES</v>
      </c>
      <c r="C30" s="18" t="n">
        <f aca="false">'MRR Conglomerado'!AH310</f>
        <v>4149.97875</v>
      </c>
      <c r="D30" s="19" t="n">
        <f aca="false">C30/$K$1</f>
        <v>219.75</v>
      </c>
      <c r="E30" s="17" t="str">
        <f aca="false">IF(D30&lt;100,"Menos de 100 USD",IF(D30&lt;500,"100 a 500 USD",IF(D30&lt;2000,"500 a 2.000 USD","Más de 2.000 USD")))</f>
        <v>100 a 500 USD</v>
      </c>
      <c r="F30" s="17" t="str">
        <f aca="false">LOOKUP(2,1/('MRR Conglomerado'!E310:AT310&gt;0),'MRR Conglomerado'!$E$1:$AT$1)</f>
        <v>2025-10</v>
      </c>
      <c r="G30" s="17" t="n">
        <f aca="false">COUNTIF('MRR Conglomerado'!E310:AT310,"&gt;0")</f>
        <v>5</v>
      </c>
      <c r="H30" s="18" t="n">
        <f aca="false">'MRR Conglomerado'!AT310</f>
        <v>0</v>
      </c>
    </row>
    <row r="31" customFormat="false" ht="15" hidden="false" customHeight="false" outlineLevel="0" collapsed="false">
      <c r="A31" s="17" t="str">
        <f aca="false">'MRR Conglomerado'!A742</f>
        <v>UCO040903MP</v>
      </c>
      <c r="B31" s="17" t="str">
        <f aca="false">'MRR Conglomerado'!B742</f>
        <v>UNIQUE COMM</v>
      </c>
      <c r="C31" s="18" t="n">
        <f aca="false">'MRR Conglomerado'!AH742</f>
        <v>3875.9574</v>
      </c>
      <c r="D31" s="19" t="n">
        <f aca="false">C31/$K$1</f>
        <v>205.24</v>
      </c>
      <c r="E31" s="17" t="str">
        <f aca="false">IF(D31&lt;100,"Menos de 100 USD",IF(D31&lt;500,"100 a 500 USD",IF(D31&lt;2000,"500 a 2.000 USD","Más de 2.000 USD")))</f>
        <v>100 a 500 USD</v>
      </c>
      <c r="F31" s="17" t="str">
        <f aca="false">LOOKUP(2,1/('MRR Conglomerado'!E742:AT742&gt;0),'MRR Conglomerado'!$E$1:$AT$1)</f>
        <v>2026-01</v>
      </c>
      <c r="G31" s="17" t="n">
        <f aca="false">COUNTIF('MRR Conglomerado'!E742:AT742,"&gt;0")</f>
        <v>14</v>
      </c>
      <c r="H31" s="18" t="n">
        <f aca="false">'MRR Conglomerado'!AT742</f>
        <v>0</v>
      </c>
    </row>
    <row r="32" customFormat="false" ht="15" hidden="false" customHeight="false" outlineLevel="0" collapsed="false">
      <c r="A32" s="17" t="str">
        <f aca="false">'MRR Conglomerado'!A349</f>
        <v>GNE21082028</v>
      </c>
      <c r="B32" s="17" t="str">
        <f aca="false">'MRR Conglomerado'!B349</f>
        <v>GRUPO NEEF</v>
      </c>
      <c r="C32" s="18" t="n">
        <f aca="false">'MRR Conglomerado'!AH349</f>
        <v>3560.01135</v>
      </c>
      <c r="D32" s="19" t="n">
        <f aca="false">C32/$K$1</f>
        <v>188.51</v>
      </c>
      <c r="E32" s="17" t="str">
        <f aca="false">IF(D32&lt;100,"Menos de 100 USD",IF(D32&lt;500,"100 a 500 USD",IF(D32&lt;2000,"500 a 2.000 USD","Más de 2.000 USD")))</f>
        <v>100 a 500 USD</v>
      </c>
      <c r="F32" s="17" t="str">
        <f aca="false">LOOKUP(2,1/('MRR Conglomerado'!E349:AT349&gt;0),'MRR Conglomerado'!$E$1:$AT$1)</f>
        <v>2025-07</v>
      </c>
      <c r="G32" s="17" t="n">
        <f aca="false">COUNTIF('MRR Conglomerado'!E349:AT349,"&gt;0")</f>
        <v>6</v>
      </c>
      <c r="H32" s="18" t="n">
        <f aca="false">'MRR Conglomerado'!AT349</f>
        <v>0</v>
      </c>
    </row>
    <row r="33" customFormat="false" ht="15" hidden="false" customHeight="false" outlineLevel="0" collapsed="false">
      <c r="A33" s="17" t="str">
        <f aca="false">'MRR Conglomerado'!A450</f>
        <v>LSM020731CZ</v>
      </c>
      <c r="B33" s="17" t="str">
        <f aca="false">'MRR Conglomerado'!B450</f>
        <v>LEE SPRING DE MEXICO</v>
      </c>
      <c r="C33" s="18" t="n">
        <f aca="false">'MRR Conglomerado'!AH450</f>
        <v>3554.9124</v>
      </c>
      <c r="D33" s="19" t="n">
        <f aca="false">C33/$K$1</f>
        <v>188.24</v>
      </c>
      <c r="E33" s="17" t="str">
        <f aca="false">IF(D33&lt;100,"Menos de 100 USD",IF(D33&lt;500,"100 a 500 USD",IF(D33&lt;2000,"500 a 2.000 USD","Más de 2.000 USD")))</f>
        <v>100 a 500 USD</v>
      </c>
      <c r="F33" s="17" t="str">
        <f aca="false">LOOKUP(2,1/('MRR Conglomerado'!E450:AT450&gt;0),'MRR Conglomerado'!$E$1:$AT$1)</f>
        <v>2025-06</v>
      </c>
      <c r="G33" s="17" t="n">
        <f aca="false">COUNTIF('MRR Conglomerado'!E450:AT450,"&gt;0")</f>
        <v>5</v>
      </c>
      <c r="H33" s="18" t="n">
        <f aca="false">'MRR Conglomerado'!AT450</f>
        <v>0</v>
      </c>
    </row>
    <row r="34" customFormat="false" ht="15" hidden="false" customHeight="false" outlineLevel="0" collapsed="false">
      <c r="A34" s="17" t="str">
        <f aca="false">'MRR Conglomerado'!A545</f>
        <v>PBA191125B3</v>
      </c>
      <c r="B34" s="17" t="str">
        <f aca="false">'MRR Conglomerado'!B545</f>
        <v>PALMERA BONITA ACAPULCO</v>
      </c>
      <c r="C34" s="18" t="n">
        <f aca="false">'MRR Conglomerado'!AH545</f>
        <v>3516.7647</v>
      </c>
      <c r="D34" s="19" t="n">
        <f aca="false">C34/$K$1</f>
        <v>186.22</v>
      </c>
      <c r="E34" s="17" t="str">
        <f aca="false">IF(D34&lt;100,"Menos de 100 USD",IF(D34&lt;500,"100 a 500 USD",IF(D34&lt;2000,"500 a 2.000 USD","Más de 2.000 USD")))</f>
        <v>100 a 500 USD</v>
      </c>
      <c r="F34" s="17" t="str">
        <f aca="false">LOOKUP(2,1/('MRR Conglomerado'!E545:AT545&gt;0),'MRR Conglomerado'!$E$1:$AT$1)</f>
        <v>2025-09</v>
      </c>
      <c r="G34" s="17" t="n">
        <f aca="false">COUNTIF('MRR Conglomerado'!E545:AT545,"&gt;0")</f>
        <v>17</v>
      </c>
      <c r="H34" s="18" t="n">
        <f aca="false">'MRR Conglomerado'!AT545</f>
        <v>0</v>
      </c>
    </row>
    <row r="35" customFormat="false" ht="15" hidden="false" customHeight="false" outlineLevel="0" collapsed="false">
      <c r="A35" s="17" t="str">
        <f aca="false">'MRR Conglomerado'!A29</f>
        <v>AEAR791019G</v>
      </c>
      <c r="B35" s="17" t="str">
        <f aca="false">'MRR Conglomerado'!B29</f>
        <v>RONALD ARELLANO ARELLANO</v>
      </c>
      <c r="C35" s="18" t="n">
        <f aca="false">'MRR Conglomerado'!AH29</f>
        <v>3180.04515</v>
      </c>
      <c r="D35" s="19" t="n">
        <f aca="false">C35/$K$1</f>
        <v>168.39</v>
      </c>
      <c r="E35" s="17" t="str">
        <f aca="false">IF(D35&lt;100,"Menos de 100 USD",IF(D35&lt;500,"100 a 500 USD",IF(D35&lt;2000,"500 a 2.000 USD","Más de 2.000 USD")))</f>
        <v>100 a 500 USD</v>
      </c>
      <c r="F35" s="17" t="str">
        <f aca="false">LOOKUP(2,1/('MRR Conglomerado'!E29:AT29&gt;0),'MRR Conglomerado'!$E$1:$AT$1)</f>
        <v>2025-08</v>
      </c>
      <c r="G35" s="17" t="n">
        <f aca="false">COUNTIF('MRR Conglomerado'!E29:AT29,"&gt;0")</f>
        <v>3</v>
      </c>
      <c r="H35" s="18" t="n">
        <f aca="false">'MRR Conglomerado'!AT29</f>
        <v>0</v>
      </c>
    </row>
    <row r="36" customFormat="false" ht="15" hidden="false" customHeight="false" outlineLevel="0" collapsed="false">
      <c r="A36" s="17" t="str">
        <f aca="false">'MRR Conglomerado'!A264</f>
        <v>EVN190625UL</v>
      </c>
      <c r="B36" s="17" t="str">
        <f aca="false">'MRR Conglomerado'!B264</f>
        <v>ENERGIA VERDE Y NEGOCIOS SUSTENTABLES</v>
      </c>
      <c r="C36" s="18" t="n">
        <f aca="false">'MRR Conglomerado'!AH264</f>
        <v>2844.081</v>
      </c>
      <c r="D36" s="19" t="n">
        <f aca="false">C36/$K$1</f>
        <v>150.6</v>
      </c>
      <c r="E36" s="17" t="str">
        <f aca="false">IF(D36&lt;100,"Menos de 100 USD",IF(D36&lt;500,"100 a 500 USD",IF(D36&lt;2000,"500 a 2.000 USD","Más de 2.000 USD")))</f>
        <v>100 a 500 USD</v>
      </c>
      <c r="F36" s="17" t="str">
        <f aca="false">LOOKUP(2,1/('MRR Conglomerado'!E264:AT264&gt;0),'MRR Conglomerado'!$E$1:$AT$1)</f>
        <v>2026-05</v>
      </c>
      <c r="G36" s="17" t="n">
        <f aca="false">COUNTIF('MRR Conglomerado'!E264:AT264,"&gt;0")</f>
        <v>19</v>
      </c>
      <c r="H36" s="18" t="n">
        <f aca="false">'MRR Conglomerado'!AT264</f>
        <v>0</v>
      </c>
    </row>
    <row r="37" customFormat="false" ht="15" hidden="false" customHeight="false" outlineLevel="0" collapsed="false">
      <c r="A37" s="17" t="str">
        <f aca="false">'MRR Conglomerado'!A180</f>
        <v>CTE1804309D</v>
      </c>
      <c r="B37" s="17" t="str">
        <f aca="false">'MRR Conglomerado'!B180</f>
        <v>CARIBE TAXI EXPRESS</v>
      </c>
      <c r="C37" s="18" t="n">
        <f aca="false">'MRR Conglomerado'!AH180</f>
        <v>2699.98845</v>
      </c>
      <c r="D37" s="19" t="n">
        <f aca="false">C37/$K$1</f>
        <v>142.97</v>
      </c>
      <c r="E37" s="17" t="str">
        <f aca="false">IF(D37&lt;100,"Menos de 100 USD",IF(D37&lt;500,"100 a 500 USD",IF(D37&lt;2000,"500 a 2.000 USD","Más de 2.000 USD")))</f>
        <v>100 a 500 USD</v>
      </c>
      <c r="F37" s="17" t="str">
        <f aca="false">LOOKUP(2,1/('MRR Conglomerado'!E180:AT180&gt;0),'MRR Conglomerado'!$E$1:$AT$1)</f>
        <v>2026-01</v>
      </c>
      <c r="G37" s="17" t="n">
        <f aca="false">COUNTIF('MRR Conglomerado'!E180:AT180,"&gt;0")</f>
        <v>8</v>
      </c>
      <c r="H37" s="18" t="n">
        <f aca="false">'MRR Conglomerado'!AT180</f>
        <v>0</v>
      </c>
    </row>
    <row r="38" customFormat="false" ht="15" hidden="false" customHeight="false" outlineLevel="0" collapsed="false">
      <c r="A38" s="17" t="str">
        <f aca="false">'MRR Conglomerado'!A654</f>
        <v>SEI240528FF</v>
      </c>
      <c r="B38" s="17" t="str">
        <f aca="false">'MRR Conglomerado'!B654</f>
        <v>SOLUCIONES EMPRESARIALES INTEGRALES LIZAMA</v>
      </c>
      <c r="C38" s="18" t="n">
        <f aca="false">'MRR Conglomerado'!AH654</f>
        <v>2625.015</v>
      </c>
      <c r="D38" s="19" t="n">
        <f aca="false">C38/$K$1</f>
        <v>139</v>
      </c>
      <c r="E38" s="17" t="str">
        <f aca="false">IF(D38&lt;100,"Menos de 100 USD",IF(D38&lt;500,"100 a 500 USD",IF(D38&lt;2000,"500 a 2.000 USD","Más de 2.000 USD")))</f>
        <v>100 a 500 USD</v>
      </c>
      <c r="F38" s="17" t="str">
        <f aca="false">LOOKUP(2,1/('MRR Conglomerado'!E654:AT654&gt;0),'MRR Conglomerado'!$E$1:$AT$1)</f>
        <v>2025-06</v>
      </c>
      <c r="G38" s="17" t="n">
        <f aca="false">COUNTIF('MRR Conglomerado'!E654:AT654,"&gt;0")</f>
        <v>3</v>
      </c>
      <c r="H38" s="18" t="n">
        <f aca="false">'MRR Conglomerado'!AT654</f>
        <v>0</v>
      </c>
    </row>
    <row r="39" customFormat="false" ht="15" hidden="false" customHeight="false" outlineLevel="0" collapsed="false">
      <c r="A39" s="17" t="str">
        <f aca="false">'MRR Conglomerado'!A694</f>
        <v>STI070725SA</v>
      </c>
      <c r="B39" s="17" t="str">
        <f aca="false">'MRR Conglomerado'!B694</f>
        <v>SOLUCIONES PARA TI</v>
      </c>
      <c r="C39" s="18" t="n">
        <f aca="false">'MRR Conglomerado'!AH694</f>
        <v>2448.2514</v>
      </c>
      <c r="D39" s="19" t="n">
        <f aca="false">C39/$K$1</f>
        <v>129.64</v>
      </c>
      <c r="E39" s="17" t="str">
        <f aca="false">IF(D39&lt;100,"Menos de 100 USD",IF(D39&lt;500,"100 a 500 USD",IF(D39&lt;2000,"500 a 2.000 USD","Más de 2.000 USD")))</f>
        <v>100 a 500 USD</v>
      </c>
      <c r="F39" s="17" t="str">
        <f aca="false">LOOKUP(2,1/('MRR Conglomerado'!E694:AT694&gt;0),'MRR Conglomerado'!$E$1:$AT$1)</f>
        <v>2025-12</v>
      </c>
      <c r="G39" s="17" t="n">
        <f aca="false">COUNTIF('MRR Conglomerado'!E694:AT694,"&gt;0")</f>
        <v>23</v>
      </c>
      <c r="H39" s="18" t="n">
        <f aca="false">'MRR Conglomerado'!AT694</f>
        <v>0</v>
      </c>
    </row>
    <row r="40" customFormat="false" ht="15" hidden="false" customHeight="false" outlineLevel="0" collapsed="false">
      <c r="A40" s="17" t="str">
        <f aca="false">'MRR Conglomerado'!A679</f>
        <v>SMM090918UU</v>
      </c>
      <c r="B40" s="17" t="str">
        <f aca="false">'MRR Conglomerado'!B679</f>
        <v>SERVICIOS MEDICOS MAGAMED</v>
      </c>
      <c r="C40" s="18" t="n">
        <f aca="false">'MRR Conglomerado'!AH679</f>
        <v>2083.95975</v>
      </c>
      <c r="D40" s="19" t="n">
        <f aca="false">C40/$K$1</f>
        <v>110.35</v>
      </c>
      <c r="E40" s="17" t="str">
        <f aca="false">IF(D40&lt;100,"Menos de 100 USD",IF(D40&lt;500,"100 a 500 USD",IF(D40&lt;2000,"500 a 2.000 USD","Más de 2.000 USD")))</f>
        <v>100 a 500 USD</v>
      </c>
      <c r="F40" s="17" t="str">
        <f aca="false">LOOKUP(2,1/('MRR Conglomerado'!E679:AT679&gt;0),'MRR Conglomerado'!$E$1:$AT$1)</f>
        <v>2025-06</v>
      </c>
      <c r="G40" s="17" t="n">
        <f aca="false">COUNTIF('MRR Conglomerado'!E679:AT679,"&gt;0")</f>
        <v>15</v>
      </c>
      <c r="H40" s="18" t="n">
        <f aca="false">'MRR Conglomerado'!AT679</f>
        <v>0</v>
      </c>
    </row>
    <row r="41" customFormat="false" ht="15" hidden="false" customHeight="false" outlineLevel="0" collapsed="false">
      <c r="A41" s="17" t="str">
        <f aca="false">'MRR Conglomerado'!A19</f>
        <v>ABY14100757</v>
      </c>
      <c r="B41" s="17" t="str">
        <f aca="false">'MRR Conglomerado'!B19</f>
        <v>ABYGIM</v>
      </c>
      <c r="C41" s="18" t="n">
        <f aca="false">'MRR Conglomerado'!AH19</f>
        <v>1890.0108</v>
      </c>
      <c r="D41" s="19" t="n">
        <f aca="false">C41/$K$1</f>
        <v>100.08</v>
      </c>
      <c r="E41" s="17" t="str">
        <f aca="false">IF(D41&lt;100,"Menos de 100 USD",IF(D41&lt;500,"100 a 500 USD",IF(D41&lt;2000,"500 a 2.000 USD","Más de 2.000 USD")))</f>
        <v>100 a 500 USD</v>
      </c>
      <c r="F41" s="17" t="str">
        <f aca="false">LOOKUP(2,1/('MRR Conglomerado'!E19:AT19&gt;0),'MRR Conglomerado'!$E$1:$AT$1)</f>
        <v>2026-01</v>
      </c>
      <c r="G41" s="17" t="n">
        <f aca="false">COUNTIF('MRR Conglomerado'!E19:AT19,"&gt;0")</f>
        <v>21</v>
      </c>
      <c r="H41" s="18" t="n">
        <f aca="false">'MRR Conglomerado'!AT19</f>
        <v>0</v>
      </c>
    </row>
    <row r="42" customFormat="false" ht="15" hidden="false" customHeight="false" outlineLevel="0" collapsed="false">
      <c r="A42" s="17" t="str">
        <f aca="false">'MRR Conglomerado'!A478</f>
        <v>MIN180426CD</v>
      </c>
      <c r="B42" s="17" t="str">
        <f aca="false">'MRR Conglomerado'!B478</f>
        <v>MARVIC INGENIERIA</v>
      </c>
      <c r="C42" s="18" t="n">
        <f aca="false">'MRR Conglomerado'!AH478</f>
        <v>1772.73495</v>
      </c>
      <c r="D42" s="19" t="n">
        <f aca="false">C42/$K$1</f>
        <v>93.87</v>
      </c>
      <c r="E42" s="17" t="str">
        <f aca="false">IF(D42&lt;100,"Menos de 100 USD",IF(D42&lt;500,"100 a 500 USD",IF(D42&lt;2000,"500 a 2.000 USD","Más de 2.000 USD")))</f>
        <v>Menos de 100 USD</v>
      </c>
      <c r="F42" s="17" t="str">
        <f aca="false">LOOKUP(2,1/('MRR Conglomerado'!E478:AT478&gt;0),'MRR Conglomerado'!$E$1:$AT$1)</f>
        <v>2025-07</v>
      </c>
      <c r="G42" s="17" t="n">
        <f aca="false">COUNTIF('MRR Conglomerado'!E478:AT478,"&gt;0")</f>
        <v>23</v>
      </c>
      <c r="H42" s="18" t="n">
        <f aca="false">'MRR Conglomerado'!AT478</f>
        <v>0</v>
      </c>
    </row>
    <row r="43" customFormat="false" ht="15" hidden="false" customHeight="false" outlineLevel="0" collapsed="false">
      <c r="A43" s="17" t="str">
        <f aca="false">'MRR Conglomerado'!A329</f>
        <v>GEV1304128D</v>
      </c>
      <c r="B43" s="17" t="str">
        <f aca="false">'MRR Conglomerado'!B329</f>
        <v>GEVILLA</v>
      </c>
      <c r="C43" s="18" t="n">
        <f aca="false">'MRR Conglomerado'!AH329</f>
        <v>1628.07585</v>
      </c>
      <c r="D43" s="19" t="n">
        <f aca="false">C43/$K$1</f>
        <v>86.21</v>
      </c>
      <c r="E43" s="17" t="str">
        <f aca="false">IF(D43&lt;100,"Menos de 100 USD",IF(D43&lt;500,"100 a 500 USD",IF(D43&lt;2000,"500 a 2.000 USD","Más de 2.000 USD")))</f>
        <v>Menos de 100 USD</v>
      </c>
      <c r="F43" s="17" t="str">
        <f aca="false">LOOKUP(2,1/('MRR Conglomerado'!E329:AT329&gt;0),'MRR Conglomerado'!$E$1:$AT$1)</f>
        <v>2026-04</v>
      </c>
      <c r="G43" s="17" t="n">
        <f aca="false">COUNTIF('MRR Conglomerado'!E329:AT329,"&gt;0")</f>
        <v>27</v>
      </c>
      <c r="H43" s="18" t="n">
        <f aca="false">'MRR Conglomerado'!AT329</f>
        <v>0</v>
      </c>
    </row>
    <row r="44" customFormat="false" ht="15" hidden="false" customHeight="false" outlineLevel="0" collapsed="false">
      <c r="A44" s="17" t="str">
        <f aca="false">'MRR Conglomerado'!A284</f>
        <v>FME160905EC</v>
      </c>
      <c r="B44" s="17" t="str">
        <f aca="false">'MRR Conglomerado'!B284</f>
        <v>FREEDOMPOP MEXICO</v>
      </c>
      <c r="C44" s="18" t="n">
        <f aca="false">'MRR Conglomerado'!AH284</f>
        <v>1435.07115</v>
      </c>
      <c r="D44" s="19" t="n">
        <f aca="false">C44/$K$1</f>
        <v>75.99</v>
      </c>
      <c r="E44" s="17" t="str">
        <f aca="false">IF(D44&lt;100,"Menos de 100 USD",IF(D44&lt;500,"100 a 500 USD",IF(D44&lt;2000,"500 a 2.000 USD","Más de 2.000 USD")))</f>
        <v>Menos de 100 USD</v>
      </c>
      <c r="F44" s="17" t="str">
        <f aca="false">LOOKUP(2,1/('MRR Conglomerado'!E284:AT284&gt;0),'MRR Conglomerado'!$E$1:$AT$1)</f>
        <v>2025-09</v>
      </c>
      <c r="G44" s="17" t="n">
        <f aca="false">COUNTIF('MRR Conglomerado'!E284:AT284,"&gt;0")</f>
        <v>4</v>
      </c>
      <c r="H44" s="18" t="n">
        <f aca="false">'MRR Conglomerado'!AT284</f>
        <v>0</v>
      </c>
    </row>
    <row r="45" customFormat="false" ht="15" hidden="false" customHeight="false" outlineLevel="0" collapsed="false">
      <c r="A45" s="17" t="str">
        <f aca="false">'MRR Conglomerado'!A242</f>
        <v>ELP180201M2</v>
      </c>
      <c r="B45" s="17" t="str">
        <f aca="false">'MRR Conglomerado'!B242</f>
        <v>ENTRETENIMIENTO LPBC</v>
      </c>
      <c r="C45" s="18" t="n">
        <f aca="false">'MRR Conglomerado'!AH242</f>
        <v>1413.91995</v>
      </c>
      <c r="D45" s="19" t="n">
        <f aca="false">C45/$K$1</f>
        <v>74.87</v>
      </c>
      <c r="E45" s="17" t="str">
        <f aca="false">IF(D45&lt;100,"Menos de 100 USD",IF(D45&lt;500,"100 a 500 USD",IF(D45&lt;2000,"500 a 2.000 USD","Más de 2.000 USD")))</f>
        <v>Menos de 100 USD</v>
      </c>
      <c r="F45" s="17" t="str">
        <f aca="false">LOOKUP(2,1/('MRR Conglomerado'!E242:AT242&gt;0),'MRR Conglomerado'!$E$1:$AT$1)</f>
        <v>2025-09</v>
      </c>
      <c r="G45" s="17" t="n">
        <f aca="false">COUNTIF('MRR Conglomerado'!E242:AT242,"&gt;0")</f>
        <v>18</v>
      </c>
      <c r="H45" s="18" t="n">
        <f aca="false">'MRR Conglomerado'!AT242</f>
        <v>0</v>
      </c>
    </row>
    <row r="46" customFormat="false" ht="15" hidden="false" customHeight="false" outlineLevel="0" collapsed="false">
      <c r="A46" s="17" t="str">
        <f aca="false">'MRR Conglomerado'!A610</f>
        <v>REI160425MD</v>
      </c>
      <c r="B46" s="17" t="str">
        <f aca="false">'MRR Conglomerado'!B610</f>
        <v>REISIX</v>
      </c>
      <c r="C46" s="18" t="n">
        <f aca="false">'MRR Conglomerado'!AH610</f>
        <v>1300.60995</v>
      </c>
      <c r="D46" s="19" t="n">
        <f aca="false">C46/$K$1</f>
        <v>68.87</v>
      </c>
      <c r="E46" s="17" t="str">
        <f aca="false">IF(D46&lt;100,"Menos de 100 USD",IF(D46&lt;500,"100 a 500 USD",IF(D46&lt;2000,"500 a 2.000 USD","Más de 2.000 USD")))</f>
        <v>Menos de 100 USD</v>
      </c>
      <c r="F46" s="17" t="str">
        <f aca="false">LOOKUP(2,1/('MRR Conglomerado'!E610:AT610&gt;0),'MRR Conglomerado'!$E$1:$AT$1)</f>
        <v>2025-09</v>
      </c>
      <c r="G46" s="17" t="n">
        <f aca="false">COUNTIF('MRR Conglomerado'!E610:AT610,"&gt;0")</f>
        <v>13</v>
      </c>
      <c r="H46" s="18" t="n">
        <f aca="false">'MRR Conglomerado'!AT610</f>
        <v>0</v>
      </c>
    </row>
    <row r="47" customFormat="false" ht="15" hidden="false" customHeight="false" outlineLevel="0" collapsed="false">
      <c r="A47" s="17" t="str">
        <f aca="false">'MRR Conglomerado'!A460</f>
        <v>MAS220617T3</v>
      </c>
      <c r="B47" s="17" t="str">
        <f aca="false">'MRR Conglomerado'!B460</f>
        <v>MEZCLILLEROS ASOCIADOS</v>
      </c>
      <c r="C47" s="18" t="n">
        <f aca="false">'MRR Conglomerado'!AH460</f>
        <v>1278.32565</v>
      </c>
      <c r="D47" s="19" t="n">
        <f aca="false">C47/$K$1</f>
        <v>67.69</v>
      </c>
      <c r="E47" s="17" t="str">
        <f aca="false">IF(D47&lt;100,"Menos de 100 USD",IF(D47&lt;500,"100 a 500 USD",IF(D47&lt;2000,"500 a 2.000 USD","Más de 2.000 USD")))</f>
        <v>Menos de 100 USD</v>
      </c>
      <c r="F47" s="17" t="str">
        <f aca="false">LOOKUP(2,1/('MRR Conglomerado'!E460:AT460&gt;0),'MRR Conglomerado'!$E$1:$AT$1)</f>
        <v>2025-11</v>
      </c>
      <c r="G47" s="17" t="n">
        <f aca="false">COUNTIF('MRR Conglomerado'!E460:AT460,"&gt;0")</f>
        <v>35</v>
      </c>
      <c r="H47" s="18" t="n">
        <f aca="false">'MRR Conglomerado'!AT460</f>
        <v>0</v>
      </c>
    </row>
    <row r="48" customFormat="false" ht="15" hidden="false" customHeight="false" outlineLevel="0" collapsed="false">
      <c r="A48" s="17" t="str">
        <f aca="false">'MRR Conglomerado'!A392</f>
        <v>ICA230127AT</v>
      </c>
      <c r="B48" s="17" t="str">
        <f aca="false">'MRR Conglomerado'!B392</f>
        <v>IME CANCUN</v>
      </c>
      <c r="C48" s="18" t="n">
        <f aca="false">'MRR Conglomerado'!AH392</f>
        <v>1260.0072</v>
      </c>
      <c r="D48" s="19" t="n">
        <f aca="false">C48/$K$1</f>
        <v>66.72</v>
      </c>
      <c r="E48" s="17" t="str">
        <f aca="false">IF(D48&lt;100,"Menos de 100 USD",IF(D48&lt;500,"100 a 500 USD",IF(D48&lt;2000,"500 a 2.000 USD","Más de 2.000 USD")))</f>
        <v>Menos de 100 USD</v>
      </c>
      <c r="F48" s="17" t="str">
        <f aca="false">LOOKUP(2,1/('MRR Conglomerado'!E392:AT392&gt;0),'MRR Conglomerado'!$E$1:$AT$1)</f>
        <v>2025-06</v>
      </c>
      <c r="G48" s="17" t="n">
        <f aca="false">COUNTIF('MRR Conglomerado'!E392:AT392,"&gt;0")</f>
        <v>7</v>
      </c>
      <c r="H48" s="18" t="n">
        <f aca="false">'MRR Conglomerado'!AT392</f>
        <v>0</v>
      </c>
    </row>
    <row r="49" customFormat="false" ht="15" hidden="false" customHeight="false" outlineLevel="0" collapsed="false">
      <c r="A49" s="17" t="str">
        <f aca="false">'MRR Conglomerado'!A76</f>
        <v>BGM191223LI</v>
      </c>
      <c r="B49" s="17" t="str">
        <f aca="false">'MRR Conglomerado'!B76</f>
        <v>BOTICAS GRIEGAS DE MEXICO</v>
      </c>
      <c r="C49" s="18" t="n">
        <f aca="false">'MRR Conglomerado'!AH76</f>
        <v>1199.9529</v>
      </c>
      <c r="D49" s="19" t="n">
        <f aca="false">C49/$K$1</f>
        <v>63.54</v>
      </c>
      <c r="E49" s="17" t="str">
        <f aca="false">IF(D49&lt;100,"Menos de 100 USD",IF(D49&lt;500,"100 a 500 USD",IF(D49&lt;2000,"500 a 2.000 USD","Más de 2.000 USD")))</f>
        <v>Menos de 100 USD</v>
      </c>
      <c r="F49" s="17" t="str">
        <f aca="false">LOOKUP(2,1/('MRR Conglomerado'!E76:AT76&gt;0),'MRR Conglomerado'!$E$1:$AT$1)</f>
        <v>2026-02</v>
      </c>
      <c r="G49" s="17" t="n">
        <f aca="false">COUNTIF('MRR Conglomerado'!E76:AT76,"&gt;0")</f>
        <v>15</v>
      </c>
      <c r="H49" s="18" t="n">
        <f aca="false">'MRR Conglomerado'!AT76</f>
        <v>0</v>
      </c>
    </row>
    <row r="50" customFormat="false" ht="15" hidden="false" customHeight="false" outlineLevel="0" collapsed="false">
      <c r="A50" s="17" t="str">
        <f aca="false">'MRR Conglomerado'!A102</f>
        <v>CBA11111137</v>
      </c>
      <c r="B50" s="17" t="str">
        <f aca="false">'MRR Conglomerado'!B102</f>
        <v>CONSTRUCTORA BALBEK</v>
      </c>
      <c r="C50" s="18" t="n">
        <f aca="false">'MRR Conglomerado'!AH102</f>
        <v>1144.0533</v>
      </c>
      <c r="D50" s="19" t="n">
        <f aca="false">C50/$K$1</f>
        <v>60.58</v>
      </c>
      <c r="E50" s="17" t="str">
        <f aca="false">IF(D50&lt;100,"Menos de 100 USD",IF(D50&lt;500,"100 a 500 USD",IF(D50&lt;2000,"500 a 2.000 USD","Más de 2.000 USD")))</f>
        <v>Menos de 100 USD</v>
      </c>
      <c r="F50" s="17" t="str">
        <f aca="false">LOOKUP(2,1/('MRR Conglomerado'!E102:AT102&gt;0),'MRR Conglomerado'!$E$1:$AT$1)</f>
        <v>2025-12</v>
      </c>
      <c r="G50" s="17" t="n">
        <f aca="false">COUNTIF('MRR Conglomerado'!E102:AT102,"&gt;0")</f>
        <v>14</v>
      </c>
      <c r="H50" s="18" t="n">
        <f aca="false">'MRR Conglomerado'!AT102</f>
        <v>0</v>
      </c>
    </row>
    <row r="51" customFormat="false" ht="15" hidden="false" customHeight="false" outlineLevel="0" collapsed="false">
      <c r="A51" s="17" t="str">
        <f aca="false">'MRR Conglomerado'!A65</f>
        <v>AUT160620UK</v>
      </c>
      <c r="B51" s="17" t="str">
        <f aca="false">'MRR Conglomerado'!B65</f>
        <v>AUTSOL</v>
      </c>
      <c r="C51" s="18" t="n">
        <f aca="false">'MRR Conglomerado'!AH65</f>
        <v>1140.08745</v>
      </c>
      <c r="D51" s="19" t="n">
        <f aca="false">C51/$K$1</f>
        <v>60.37</v>
      </c>
      <c r="E51" s="17" t="str">
        <f aca="false">IF(D51&lt;100,"Menos de 100 USD",IF(D51&lt;500,"100 a 500 USD",IF(D51&lt;2000,"500 a 2.000 USD","Más de 2.000 USD")))</f>
        <v>Menos de 100 USD</v>
      </c>
      <c r="F51" s="17" t="str">
        <f aca="false">LOOKUP(2,1/('MRR Conglomerado'!E65:AT65&gt;0),'MRR Conglomerado'!$E$1:$AT$1)</f>
        <v>2025-12</v>
      </c>
      <c r="G51" s="17" t="n">
        <f aca="false">COUNTIF('MRR Conglomerado'!E65:AT65,"&gt;0")</f>
        <v>11</v>
      </c>
      <c r="H51" s="18" t="n">
        <f aca="false">'MRR Conglomerado'!AT65</f>
        <v>0</v>
      </c>
    </row>
    <row r="52" customFormat="false" ht="15" hidden="false" customHeight="false" outlineLevel="0" collapsed="false">
      <c r="A52" s="17" t="str">
        <f aca="false">'MRR Conglomerado'!A684</f>
        <v>SOA051222UW</v>
      </c>
      <c r="B52" s="17" t="str">
        <f aca="false">'MRR Conglomerado'!B684</f>
        <v>SERVICIOS OPERATIVOS DEL ATLANTICO</v>
      </c>
      <c r="C52" s="18" t="n">
        <f aca="false">'MRR Conglomerado'!AH684</f>
        <v>1117.992</v>
      </c>
      <c r="D52" s="19" t="n">
        <f aca="false">C52/$K$1</f>
        <v>59.2</v>
      </c>
      <c r="E52" s="17" t="str">
        <f aca="false">IF(D52&lt;100,"Menos de 100 USD",IF(D52&lt;500,"100 a 500 USD",IF(D52&lt;2000,"500 a 2.000 USD","Más de 2.000 USD")))</f>
        <v>Menos de 100 USD</v>
      </c>
      <c r="F52" s="17" t="str">
        <f aca="false">LOOKUP(2,1/('MRR Conglomerado'!E684:AT684&gt;0),'MRR Conglomerado'!$E$1:$AT$1)</f>
        <v>2025-11</v>
      </c>
      <c r="G52" s="17" t="n">
        <f aca="false">COUNTIF('MRR Conglomerado'!E684:AT684,"&gt;0")</f>
        <v>10</v>
      </c>
      <c r="H52" s="18" t="n">
        <f aca="false">'MRR Conglomerado'!AT684</f>
        <v>0</v>
      </c>
    </row>
    <row r="53" customFormat="false" ht="15" hidden="false" customHeight="false" outlineLevel="0" collapsed="false">
      <c r="A53" s="17" t="str">
        <f aca="false">'MRR Conglomerado'!A216</f>
        <v>DUD0806184D</v>
      </c>
      <c r="B53" s="17" t="str">
        <f aca="false">'MRR Conglomerado'!B216</f>
        <v>DESARROLLADORA URBANISTICA DE OCCIDENTE</v>
      </c>
      <c r="C53" s="18" t="n">
        <f aca="false">'MRR Conglomerado'!AH216</f>
        <v>1094.1969</v>
      </c>
      <c r="D53" s="19" t="n">
        <f aca="false">C53/$K$1</f>
        <v>57.94</v>
      </c>
      <c r="E53" s="17" t="str">
        <f aca="false">IF(D53&lt;100,"Menos de 100 USD",IF(D53&lt;500,"100 a 500 USD",IF(D53&lt;2000,"500 a 2.000 USD","Más de 2.000 USD")))</f>
        <v>Menos de 100 USD</v>
      </c>
      <c r="F53" s="17" t="str">
        <f aca="false">LOOKUP(2,1/('MRR Conglomerado'!E216:AT216&gt;0),'MRR Conglomerado'!$E$1:$AT$1)</f>
        <v>2025-11</v>
      </c>
      <c r="G53" s="17" t="n">
        <f aca="false">COUNTIF('MRR Conglomerado'!E216:AT216,"&gt;0")</f>
        <v>29</v>
      </c>
      <c r="H53" s="18" t="n">
        <f aca="false">'MRR Conglomerado'!AT216</f>
        <v>0</v>
      </c>
    </row>
    <row r="54" customFormat="false" ht="15" hidden="false" customHeight="false" outlineLevel="0" collapsed="false">
      <c r="A54" s="17" t="str">
        <f aca="false">'MRR Conglomerado'!A434</f>
        <v>LBG211011SX</v>
      </c>
      <c r="B54" s="17" t="str">
        <f aca="false">'MRR Conglomerado'!B434</f>
        <v>LUXURY BUILDING GROUP</v>
      </c>
      <c r="C54" s="18" t="n">
        <f aca="false">'MRR Conglomerado'!AH434</f>
        <v>1050.006</v>
      </c>
      <c r="D54" s="19" t="n">
        <f aca="false">C54/$K$1</f>
        <v>55.6</v>
      </c>
      <c r="E54" s="17" t="str">
        <f aca="false">IF(D54&lt;100,"Menos de 100 USD",IF(D54&lt;500,"100 a 500 USD",IF(D54&lt;2000,"500 a 2.000 USD","Más de 2.000 USD")))</f>
        <v>Menos de 100 USD</v>
      </c>
      <c r="F54" s="17" t="str">
        <f aca="false">LOOKUP(2,1/('MRR Conglomerado'!E434:AT434&gt;0),'MRR Conglomerado'!$E$1:$AT$1)</f>
        <v>2025-09</v>
      </c>
      <c r="G54" s="17" t="n">
        <f aca="false">COUNTIF('MRR Conglomerado'!E434:AT434,"&gt;0")</f>
        <v>4</v>
      </c>
      <c r="H54" s="18" t="n">
        <f aca="false">'MRR Conglomerado'!AT434</f>
        <v>0</v>
      </c>
    </row>
    <row r="55" customFormat="false" ht="15" hidden="false" customHeight="false" outlineLevel="0" collapsed="false">
      <c r="A55" s="17" t="str">
        <f aca="false">'MRR Conglomerado'!A137</f>
        <v>CHS190405V5</v>
      </c>
      <c r="B55" s="17" t="str">
        <f aca="false">'MRR Conglomerado'!B137</f>
        <v>CONVERTIDOR DE HIGIENICO Y SERVILLETA</v>
      </c>
      <c r="C55" s="18" t="n">
        <f aca="false">'MRR Conglomerado'!AH137</f>
        <v>936.50715</v>
      </c>
      <c r="D55" s="19" t="n">
        <f aca="false">C55/$K$1</f>
        <v>49.59</v>
      </c>
      <c r="E55" s="17" t="str">
        <f aca="false">IF(D55&lt;100,"Menos de 100 USD",IF(D55&lt;500,"100 a 500 USD",IF(D55&lt;2000,"500 a 2.000 USD","Más de 2.000 USD")))</f>
        <v>Menos de 100 USD</v>
      </c>
      <c r="F55" s="17" t="str">
        <f aca="false">LOOKUP(2,1/('MRR Conglomerado'!E137:AT137&gt;0),'MRR Conglomerado'!$E$1:$AT$1)</f>
        <v>2025-06</v>
      </c>
      <c r="G55" s="17" t="n">
        <f aca="false">COUNTIF('MRR Conglomerado'!E137:AT137,"&gt;0")</f>
        <v>30</v>
      </c>
      <c r="H55" s="18" t="n">
        <f aca="false">'MRR Conglomerado'!AT137</f>
        <v>0</v>
      </c>
    </row>
    <row r="56" customFormat="false" ht="15" hidden="false" customHeight="false" outlineLevel="0" collapsed="false">
      <c r="A56" s="17" t="str">
        <f aca="false">'MRR Conglomerado'!A651</f>
        <v>SDM24031392</v>
      </c>
      <c r="B56" s="17" t="str">
        <f aca="false">'MRR Conglomerado'!B651</f>
        <v>SERVICIOS DCOMERCIALES MAXMEX</v>
      </c>
      <c r="C56" s="18" t="n">
        <f aca="false">'MRR Conglomerado'!AH651</f>
        <v>913.46745</v>
      </c>
      <c r="D56" s="19" t="n">
        <f aca="false">C56/$K$1</f>
        <v>48.37</v>
      </c>
      <c r="E56" s="17" t="str">
        <f aca="false">IF(D56&lt;100,"Menos de 100 USD",IF(D56&lt;500,"100 a 500 USD",IF(D56&lt;2000,"500 a 2.000 USD","Más de 2.000 USD")))</f>
        <v>Menos de 100 USD</v>
      </c>
      <c r="F56" s="17" t="str">
        <f aca="false">LOOKUP(2,1/('MRR Conglomerado'!E651:AT651&gt;0),'MRR Conglomerado'!$E$1:$AT$1)</f>
        <v>2025-07</v>
      </c>
      <c r="G56" s="17" t="n">
        <f aca="false">COUNTIF('MRR Conglomerado'!E651:AT651,"&gt;0")</f>
        <v>12</v>
      </c>
      <c r="H56" s="18" t="n">
        <f aca="false">'MRR Conglomerado'!AT651</f>
        <v>0</v>
      </c>
    </row>
    <row r="57" customFormat="false" ht="15" hidden="false" customHeight="false" outlineLevel="0" collapsed="false">
      <c r="A57" s="17" t="str">
        <f aca="false">'MRR Conglomerado'!A88</f>
        <v>CAEE6306059</v>
      </c>
      <c r="B57" s="17" t="str">
        <f aca="false">'MRR Conglomerado'!B88</f>
        <v>EDWIN MARTIN CAUICH ESCALANTE</v>
      </c>
      <c r="C57" s="18" t="n">
        <f aca="false">'MRR Conglomerado'!AH88</f>
        <v>881.9295</v>
      </c>
      <c r="D57" s="19" t="n">
        <f aca="false">C57/$K$1</f>
        <v>46.7</v>
      </c>
      <c r="E57" s="17" t="str">
        <f aca="false">IF(D57&lt;100,"Menos de 100 USD",IF(D57&lt;500,"100 a 500 USD",IF(D57&lt;2000,"500 a 2.000 USD","Más de 2.000 USD")))</f>
        <v>Menos de 100 USD</v>
      </c>
      <c r="F57" s="17" t="str">
        <f aca="false">LOOKUP(2,1/('MRR Conglomerado'!E88:AT88&gt;0),'MRR Conglomerado'!$E$1:$AT$1)</f>
        <v>2025-08</v>
      </c>
      <c r="G57" s="17" t="n">
        <f aca="false">COUNTIF('MRR Conglomerado'!E88:AT88,"&gt;0")</f>
        <v>9</v>
      </c>
      <c r="H57" s="18" t="n">
        <f aca="false">'MRR Conglomerado'!AT88</f>
        <v>0</v>
      </c>
    </row>
    <row r="58" customFormat="false" ht="15" hidden="false" customHeight="false" outlineLevel="0" collapsed="false">
      <c r="A58" s="17" t="str">
        <f aca="false">'MRR Conglomerado'!A298</f>
        <v>FUCH820720Q</v>
      </c>
      <c r="B58" s="17" t="str">
        <f aca="false">'MRR Conglomerado'!B298</f>
        <v>HECTOR FUERTES CARDENAS</v>
      </c>
      <c r="C58" s="18" t="n">
        <f aca="false">'MRR Conglomerado'!AH298</f>
        <v>878.1525</v>
      </c>
      <c r="D58" s="19" t="n">
        <f aca="false">C58/$K$1</f>
        <v>46.5</v>
      </c>
      <c r="E58" s="17" t="str">
        <f aca="false">IF(D58&lt;100,"Menos de 100 USD",IF(D58&lt;500,"100 a 500 USD",IF(D58&lt;2000,"500 a 2.000 USD","Más de 2.000 USD")))</f>
        <v>Menos de 100 USD</v>
      </c>
      <c r="F58" s="17" t="str">
        <f aca="false">LOOKUP(2,1/('MRR Conglomerado'!E298:AT298&gt;0),'MRR Conglomerado'!$E$1:$AT$1)</f>
        <v>2025-11</v>
      </c>
      <c r="G58" s="17" t="n">
        <f aca="false">COUNTIF('MRR Conglomerado'!E298:AT298,"&gt;0")</f>
        <v>35</v>
      </c>
      <c r="H58" s="18" t="n">
        <f aca="false">'MRR Conglomerado'!AT298</f>
        <v>0</v>
      </c>
    </row>
    <row r="59" customFormat="false" ht="15" hidden="false" customHeight="false" outlineLevel="0" collapsed="false">
      <c r="A59" s="17" t="str">
        <f aca="false">'MRR Conglomerado'!A541</f>
        <v>PAL250303Q4</v>
      </c>
      <c r="B59" s="17" t="str">
        <f aca="false">'MRR Conglomerado'!B541</f>
        <v>PUNTO ALQUIMIA</v>
      </c>
      <c r="C59" s="18" t="n">
        <f aca="false">'MRR Conglomerado'!AH541</f>
        <v>878.1525</v>
      </c>
      <c r="D59" s="19" t="n">
        <f aca="false">C59/$K$1</f>
        <v>46.5</v>
      </c>
      <c r="E59" s="17" t="str">
        <f aca="false">IF(D59&lt;100,"Menos de 100 USD",IF(D59&lt;500,"100 a 500 USD",IF(D59&lt;2000,"500 a 2.000 USD","Más de 2.000 USD")))</f>
        <v>Menos de 100 USD</v>
      </c>
      <c r="F59" s="17" t="str">
        <f aca="false">LOOKUP(2,1/('MRR Conglomerado'!E541:AT541&gt;0),'MRR Conglomerado'!$E$1:$AT$1)</f>
        <v>2026-02</v>
      </c>
      <c r="G59" s="17" t="n">
        <f aca="false">COUNTIF('MRR Conglomerado'!E541:AT541,"&gt;0")</f>
        <v>9</v>
      </c>
      <c r="H59" s="18" t="n">
        <f aca="false">'MRR Conglomerado'!AT541</f>
        <v>0</v>
      </c>
    </row>
    <row r="60" customFormat="false" ht="15" hidden="false" customHeight="false" outlineLevel="0" collapsed="false">
      <c r="A60" s="17" t="str">
        <f aca="false">'MRR Conglomerado'!A145</f>
        <v>CJA240311RB</v>
      </c>
      <c r="B60" s="17" t="str">
        <f aca="false">'MRR Conglomerado'!B145</f>
        <v>COMERCIALIZADORA JAGAKAR</v>
      </c>
      <c r="C60" s="18" t="n">
        <f aca="false">'MRR Conglomerado'!AH145</f>
        <v>850.5804</v>
      </c>
      <c r="D60" s="19" t="n">
        <f aca="false">C60/$K$1</f>
        <v>45.04</v>
      </c>
      <c r="E60" s="17" t="str">
        <f aca="false">IF(D60&lt;100,"Menos de 100 USD",IF(D60&lt;500,"100 a 500 USD",IF(D60&lt;2000,"500 a 2.000 USD","Más de 2.000 USD")))</f>
        <v>Menos de 100 USD</v>
      </c>
      <c r="F60" s="17" t="str">
        <f aca="false">LOOKUP(2,1/('MRR Conglomerado'!E145:AT145&gt;0),'MRR Conglomerado'!$E$1:$AT$1)</f>
        <v>2025-07</v>
      </c>
      <c r="G60" s="17" t="n">
        <f aca="false">COUNTIF('MRR Conglomerado'!E145:AT145,"&gt;0")</f>
        <v>12</v>
      </c>
      <c r="H60" s="18" t="n">
        <f aca="false">'MRR Conglomerado'!AT145</f>
        <v>0</v>
      </c>
    </row>
    <row r="61" customFormat="false" ht="15" hidden="false" customHeight="false" outlineLevel="0" collapsed="false">
      <c r="A61" s="17" t="str">
        <f aca="false">'MRR Conglomerado'!A288</f>
        <v>FON120110S6</v>
      </c>
      <c r="B61" s="17" t="str">
        <f aca="false">'MRR Conglomerado'!B288</f>
        <v>FEDERACION OBRERA NACIONALISTA</v>
      </c>
      <c r="C61" s="18" t="n">
        <f aca="false">'MRR Conglomerado'!AH288</f>
        <v>819.04245</v>
      </c>
      <c r="D61" s="19" t="n">
        <f aca="false">C61/$K$1</f>
        <v>43.37</v>
      </c>
      <c r="E61" s="17" t="str">
        <f aca="false">IF(D61&lt;100,"Menos de 100 USD",IF(D61&lt;500,"100 a 500 USD",IF(D61&lt;2000,"500 a 2.000 USD","Más de 2.000 USD")))</f>
        <v>Menos de 100 USD</v>
      </c>
      <c r="F61" s="17" t="str">
        <f aca="false">LOOKUP(2,1/('MRR Conglomerado'!E288:AT288&gt;0),'MRR Conglomerado'!$E$1:$AT$1)</f>
        <v>2026-01</v>
      </c>
      <c r="G61" s="17" t="n">
        <f aca="false">COUNTIF('MRR Conglomerado'!E288:AT288,"&gt;0")</f>
        <v>14</v>
      </c>
      <c r="H61" s="18" t="n">
        <f aca="false">'MRR Conglomerado'!AT288</f>
        <v>0</v>
      </c>
    </row>
    <row r="62" customFormat="false" ht="15" hidden="false" customHeight="false" outlineLevel="0" collapsed="false">
      <c r="A62" s="17" t="str">
        <f aca="false">'MRR Conglomerado'!A371</f>
        <v>HESE6103164</v>
      </c>
      <c r="B62" s="17" t="str">
        <f aca="false">'MRR Conglomerado'!B371</f>
        <v>MARIA EUGENIA HERNANDEZ SANCHEZ</v>
      </c>
      <c r="C62" s="18" t="n">
        <f aca="false">'MRR Conglomerado'!AH371</f>
        <v>781.65015</v>
      </c>
      <c r="D62" s="19" t="n">
        <f aca="false">C62/$K$1</f>
        <v>41.39</v>
      </c>
      <c r="E62" s="17" t="str">
        <f aca="false">IF(D62&lt;100,"Menos de 100 USD",IF(D62&lt;500,"100 a 500 USD",IF(D62&lt;2000,"500 a 2.000 USD","Más de 2.000 USD")))</f>
        <v>Menos de 100 USD</v>
      </c>
      <c r="F62" s="17" t="str">
        <f aca="false">LOOKUP(2,1/('MRR Conglomerado'!E371:AT371&gt;0),'MRR Conglomerado'!$E$1:$AT$1)</f>
        <v>2025-06</v>
      </c>
      <c r="G62" s="17" t="n">
        <f aca="false">COUNTIF('MRR Conglomerado'!E371:AT371,"&gt;0")</f>
        <v>17</v>
      </c>
      <c r="H62" s="18" t="n">
        <f aca="false">'MRR Conglomerado'!AT371</f>
        <v>0</v>
      </c>
    </row>
    <row r="63" customFormat="false" ht="15" hidden="false" customHeight="false" outlineLevel="0" collapsed="false">
      <c r="A63" s="17" t="str">
        <f aca="false">'MRR Conglomerado'!A380</f>
        <v>HTR1511103A</v>
      </c>
      <c r="B63" s="17" t="str">
        <f aca="false">'MRR Conglomerado'!B380</f>
        <v>HARI TRADING</v>
      </c>
      <c r="C63" s="18" t="n">
        <f aca="false">'MRR Conglomerado'!AH380</f>
        <v>769.94145</v>
      </c>
      <c r="D63" s="19" t="n">
        <f aca="false">C63/$K$1</f>
        <v>40.77</v>
      </c>
      <c r="E63" s="17" t="str">
        <f aca="false">IF(D63&lt;100,"Menos de 100 USD",IF(D63&lt;500,"100 a 500 USD",IF(D63&lt;2000,"500 a 2.000 USD","Más de 2.000 USD")))</f>
        <v>Menos de 100 USD</v>
      </c>
      <c r="F63" s="17" t="str">
        <f aca="false">LOOKUP(2,1/('MRR Conglomerado'!E380:AT380&gt;0),'MRR Conglomerado'!$E$1:$AT$1)</f>
        <v>2025-06</v>
      </c>
      <c r="G63" s="17" t="n">
        <f aca="false">COUNTIF('MRR Conglomerado'!E380:AT380,"&gt;0")</f>
        <v>8</v>
      </c>
      <c r="H63" s="18" t="n">
        <f aca="false">'MRR Conglomerado'!AT380</f>
        <v>0</v>
      </c>
    </row>
    <row r="64" customFormat="false" ht="15" hidden="false" customHeight="false" outlineLevel="0" collapsed="false">
      <c r="A64" s="17" t="str">
        <f aca="false">'MRR Conglomerado'!A94</f>
        <v>CAMH990519T</v>
      </c>
      <c r="B64" s="17" t="str">
        <f aca="false">'MRR Conglomerado'!B94</f>
        <v>HECTOR ANTONIO CAMARGO MORALES</v>
      </c>
      <c r="C64" s="18" t="n">
        <f aca="false">'MRR Conglomerado'!AH94</f>
        <v>749.92335</v>
      </c>
      <c r="D64" s="19" t="n">
        <f aca="false">C64/$K$1</f>
        <v>39.71</v>
      </c>
      <c r="E64" s="17" t="str">
        <f aca="false">IF(D64&lt;100,"Menos de 100 USD",IF(D64&lt;500,"100 a 500 USD",IF(D64&lt;2000,"500 a 2.000 USD","Más de 2.000 USD")))</f>
        <v>Menos de 100 USD</v>
      </c>
      <c r="F64" s="17" t="str">
        <f aca="false">LOOKUP(2,1/('MRR Conglomerado'!E94:AT94&gt;0),'MRR Conglomerado'!$E$1:$AT$1)</f>
        <v>2025-06</v>
      </c>
      <c r="G64" s="17" t="n">
        <f aca="false">COUNTIF('MRR Conglomerado'!E94:AT94,"&gt;0")</f>
        <v>8</v>
      </c>
      <c r="H64" s="18" t="n">
        <f aca="false">'MRR Conglomerado'!AT94</f>
        <v>0</v>
      </c>
    </row>
    <row r="65" customFormat="false" ht="15" hidden="false" customHeight="false" outlineLevel="0" collapsed="false">
      <c r="A65" s="17" t="str">
        <f aca="false">'MRR Conglomerado'!A421</f>
        <v>JAV14112059</v>
      </c>
      <c r="B65" s="17" t="str">
        <f aca="false">'MRR Conglomerado'!B421</f>
        <v>JUF ACTIVANDO VALORES</v>
      </c>
      <c r="C65" s="18" t="n">
        <f aca="false">'MRR Conglomerado'!AH421</f>
        <v>749.92335</v>
      </c>
      <c r="D65" s="19" t="n">
        <f aca="false">C65/$K$1</f>
        <v>39.71</v>
      </c>
      <c r="E65" s="17" t="str">
        <f aca="false">IF(D65&lt;100,"Menos de 100 USD",IF(D65&lt;500,"100 a 500 USD",IF(D65&lt;2000,"500 a 2.000 USD","Más de 2.000 USD")))</f>
        <v>Menos de 100 USD</v>
      </c>
      <c r="F65" s="17" t="str">
        <f aca="false">LOOKUP(2,1/('MRR Conglomerado'!E421:AT421&gt;0),'MRR Conglomerado'!$E$1:$AT$1)</f>
        <v>2025-12</v>
      </c>
      <c r="G65" s="17" t="n">
        <f aca="false">COUNTIF('MRR Conglomerado'!E421:AT421,"&gt;0")</f>
        <v>14</v>
      </c>
      <c r="H65" s="18" t="n">
        <f aca="false">'MRR Conglomerado'!AT421</f>
        <v>0</v>
      </c>
    </row>
    <row r="66" customFormat="false" ht="15" hidden="false" customHeight="false" outlineLevel="0" collapsed="false">
      <c r="A66" s="17" t="str">
        <f aca="false">'MRR Conglomerado'!A512</f>
        <v>OAN13040289</v>
      </c>
      <c r="B66" s="17" t="str">
        <f aca="false">'MRR Conglomerado'!B512</f>
        <v>ORTOPEDIA ANA</v>
      </c>
      <c r="C66" s="18" t="n">
        <f aca="false">'MRR Conglomerado'!AH512</f>
        <v>749.92335</v>
      </c>
      <c r="D66" s="19" t="n">
        <f aca="false">C66/$K$1</f>
        <v>39.71</v>
      </c>
      <c r="E66" s="17" t="str">
        <f aca="false">IF(D66&lt;100,"Menos de 100 USD",IF(D66&lt;500,"100 a 500 USD",IF(D66&lt;2000,"500 a 2.000 USD","Más de 2.000 USD")))</f>
        <v>Menos de 100 USD</v>
      </c>
      <c r="F66" s="17" t="str">
        <f aca="false">LOOKUP(2,1/('MRR Conglomerado'!E512:AT512&gt;0),'MRR Conglomerado'!$E$1:$AT$1)</f>
        <v>2025-11</v>
      </c>
      <c r="G66" s="17" t="n">
        <f aca="false">COUNTIF('MRR Conglomerado'!E512:AT512,"&gt;0")</f>
        <v>15</v>
      </c>
      <c r="H66" s="18" t="n">
        <f aca="false">'MRR Conglomerado'!AT512</f>
        <v>0</v>
      </c>
    </row>
    <row r="67" customFormat="false" ht="15" hidden="false" customHeight="false" outlineLevel="0" collapsed="false">
      <c r="A67" s="17" t="str">
        <f aca="false">'MRR Conglomerado'!A642</f>
        <v>SBC070427N3</v>
      </c>
      <c r="B67" s="17" t="str">
        <f aca="false">'MRR Conglomerado'!B642</f>
        <v>SOUTH BAJA CONSTRUCTORA</v>
      </c>
      <c r="C67" s="18" t="n">
        <f aca="false">'MRR Conglomerado'!AH642</f>
        <v>704.0328</v>
      </c>
      <c r="D67" s="19" t="n">
        <f aca="false">C67/$K$1</f>
        <v>37.28</v>
      </c>
      <c r="E67" s="17" t="str">
        <f aca="false">IF(D67&lt;100,"Menos de 100 USD",IF(D67&lt;500,"100 a 500 USD",IF(D67&lt;2000,"500 a 2.000 USD","Más de 2.000 USD")))</f>
        <v>Menos de 100 USD</v>
      </c>
      <c r="F67" s="17" t="str">
        <f aca="false">LOOKUP(2,1/('MRR Conglomerado'!E642:AT642&gt;0),'MRR Conglomerado'!$E$1:$AT$1)</f>
        <v>2026-04</v>
      </c>
      <c r="G67" s="17" t="n">
        <f aca="false">COUNTIF('MRR Conglomerado'!E642:AT642,"&gt;0")</f>
        <v>26</v>
      </c>
      <c r="H67" s="18" t="n">
        <f aca="false">'MRR Conglomerado'!AT642</f>
        <v>0</v>
      </c>
    </row>
    <row r="68" customFormat="false" ht="15" hidden="false" customHeight="false" outlineLevel="0" collapsed="false">
      <c r="A68" s="17" t="str">
        <f aca="false">'MRR Conglomerado'!A587</f>
        <v>PRI0306054C</v>
      </c>
      <c r="B68" s="17" t="str">
        <f aca="false">'MRR Conglomerado'!B587</f>
        <v>PRO RIEGO</v>
      </c>
      <c r="C68" s="18" t="n">
        <f aca="false">'MRR Conglomerado'!AH587</f>
        <v>681.93735</v>
      </c>
      <c r="D68" s="19" t="n">
        <f aca="false">C68/$K$1</f>
        <v>36.11</v>
      </c>
      <c r="E68" s="17" t="str">
        <f aca="false">IF(D68&lt;100,"Menos de 100 USD",IF(D68&lt;500,"100 a 500 USD",IF(D68&lt;2000,"500 a 2.000 USD","Más de 2.000 USD")))</f>
        <v>Menos de 100 USD</v>
      </c>
      <c r="F68" s="17" t="str">
        <f aca="false">LOOKUP(2,1/('MRR Conglomerado'!E587:AT587&gt;0),'MRR Conglomerado'!$E$1:$AT$1)</f>
        <v>2026-04</v>
      </c>
      <c r="G68" s="17" t="n">
        <f aca="false">COUNTIF('MRR Conglomerado'!E587:AT587,"&gt;0")</f>
        <v>17</v>
      </c>
      <c r="H68" s="18" t="n">
        <f aca="false">'MRR Conglomerado'!AT587</f>
        <v>0</v>
      </c>
    </row>
    <row r="69" customFormat="false" ht="15" hidden="false" customHeight="false" outlineLevel="0" collapsed="false">
      <c r="A69" s="17" t="str">
        <f aca="false">'MRR Conglomerado'!A631</f>
        <v>RURR800901H</v>
      </c>
      <c r="B69" s="17" t="str">
        <f aca="false">'MRR Conglomerado'!B631</f>
        <v>REMEDIOS SERGIO ALBERTO RUIZ RAMIREZ</v>
      </c>
      <c r="C69" s="18" t="n">
        <f aca="false">'MRR Conglomerado'!AH631</f>
        <v>599.97645</v>
      </c>
      <c r="D69" s="19" t="n">
        <f aca="false">C69/$K$1</f>
        <v>31.77</v>
      </c>
      <c r="E69" s="17" t="str">
        <f aca="false">IF(D69&lt;100,"Menos de 100 USD",IF(D69&lt;500,"100 a 500 USD",IF(D69&lt;2000,"500 a 2.000 USD","Más de 2.000 USD")))</f>
        <v>Menos de 100 USD</v>
      </c>
      <c r="F69" s="17" t="str">
        <f aca="false">LOOKUP(2,1/('MRR Conglomerado'!E631:AT631&gt;0),'MRR Conglomerado'!$E$1:$AT$1)</f>
        <v>2025-11</v>
      </c>
      <c r="G69" s="17" t="n">
        <f aca="false">COUNTIF('MRR Conglomerado'!E631:AT631,"&gt;0")</f>
        <v>6</v>
      </c>
      <c r="H69" s="18" t="n">
        <f aca="false">'MRR Conglomerado'!AT631</f>
        <v>0</v>
      </c>
    </row>
    <row r="70" customFormat="false" ht="15" hidden="false" customHeight="false" outlineLevel="0" collapsed="false">
      <c r="A70" s="17" t="str">
        <f aca="false">'MRR Conglomerado'!A8</f>
        <v>AAGA570212I</v>
      </c>
      <c r="B70" s="17" t="str">
        <f aca="false">'MRR Conglomerado'!B8</f>
        <v>ARTURO ALMARAZ GARCIA</v>
      </c>
      <c r="C70" s="18" t="n">
        <f aca="false">'MRR Conglomerado'!AH8</f>
        <v>562.773</v>
      </c>
      <c r="D70" s="19" t="n">
        <f aca="false">C70/$K$1</f>
        <v>29.8</v>
      </c>
      <c r="E70" s="17" t="str">
        <f aca="false">IF(D70&lt;100,"Menos de 100 USD",IF(D70&lt;500,"100 a 500 USD",IF(D70&lt;2000,"500 a 2.000 USD","Más de 2.000 USD")))</f>
        <v>Menos de 100 USD</v>
      </c>
      <c r="F70" s="17" t="str">
        <f aca="false">LOOKUP(2,1/('MRR Conglomerado'!E8:AT8&gt;0),'MRR Conglomerado'!$E$1:$AT$1)</f>
        <v>2025-06</v>
      </c>
      <c r="G70" s="17" t="n">
        <f aca="false">COUNTIF('MRR Conglomerado'!E8:AT8,"&gt;0")</f>
        <v>22</v>
      </c>
      <c r="H70" s="18" t="n">
        <f aca="false">'MRR Conglomerado'!AT8</f>
        <v>0</v>
      </c>
    </row>
    <row r="71" customFormat="false" ht="15" hidden="false" customHeight="false" outlineLevel="0" collapsed="false">
      <c r="A71" s="17" t="str">
        <f aca="false">'MRR Conglomerado'!A38</f>
        <v>AIN230522RC</v>
      </c>
      <c r="B71" s="17" t="str">
        <f aca="false">'MRR Conglomerado'!B38</f>
        <v>AGRAIRON INDUSTRIAL</v>
      </c>
      <c r="C71" s="18" t="n">
        <f aca="false">'MRR Conglomerado'!AH38</f>
        <v>559.94025</v>
      </c>
      <c r="D71" s="19" t="n">
        <f aca="false">C71/$K$1</f>
        <v>29.65</v>
      </c>
      <c r="E71" s="17" t="str">
        <f aca="false">IF(D71&lt;100,"Menos de 100 USD",IF(D71&lt;500,"100 a 500 USD",IF(D71&lt;2000,"500 a 2.000 USD","Más de 2.000 USD")))</f>
        <v>Menos de 100 USD</v>
      </c>
      <c r="F71" s="17" t="str">
        <f aca="false">LOOKUP(2,1/('MRR Conglomerado'!E38:AT38&gt;0),'MRR Conglomerado'!$E$1:$AT$1)</f>
        <v>2025-10</v>
      </c>
      <c r="G71" s="17" t="n">
        <f aca="false">COUNTIF('MRR Conglomerado'!E38:AT38,"&gt;0")</f>
        <v>6</v>
      </c>
      <c r="H71" s="18" t="n">
        <f aca="false">'MRR Conglomerado'!AT38</f>
        <v>0</v>
      </c>
    </row>
    <row r="72" customFormat="false" ht="15" hidden="false" customHeight="false" outlineLevel="0" collapsed="false">
      <c r="A72" s="17" t="str">
        <f aca="false">'MRR Conglomerado'!A625</f>
        <v>ROOR9108136</v>
      </c>
      <c r="B72" s="17" t="str">
        <f aca="false">'MRR Conglomerado'!B625</f>
        <v>REYMUNDO ROSAS OLVERA</v>
      </c>
      <c r="C72" s="18" t="n">
        <f aca="false">'MRR Conglomerado'!AH625</f>
        <v>521.03715</v>
      </c>
      <c r="D72" s="19" t="n">
        <f aca="false">C72/$K$1</f>
        <v>27.59</v>
      </c>
      <c r="E72" s="17" t="str">
        <f aca="false">IF(D72&lt;100,"Menos de 100 USD",IF(D72&lt;500,"100 a 500 USD",IF(D72&lt;2000,"500 a 2.000 USD","Más de 2.000 USD")))</f>
        <v>Menos de 100 USD</v>
      </c>
      <c r="F72" s="17" t="str">
        <f aca="false">LOOKUP(2,1/('MRR Conglomerado'!E625:AT625&gt;0),'MRR Conglomerado'!$E$1:$AT$1)</f>
        <v>2025-06</v>
      </c>
      <c r="G72" s="17" t="n">
        <f aca="false">COUNTIF('MRR Conglomerado'!E625:AT625,"&gt;0")</f>
        <v>15</v>
      </c>
      <c r="H72" s="18" t="n">
        <f aca="false">'MRR Conglomerado'!AT625</f>
        <v>0</v>
      </c>
    </row>
    <row r="73" customFormat="false" ht="15" hidden="false" customHeight="false" outlineLevel="0" collapsed="false">
      <c r="A73" s="17" t="str">
        <f aca="false">'MRR Conglomerado'!A693</f>
        <v>SSP240411D6</v>
      </c>
      <c r="B73" s="17" t="str">
        <f aca="false">'MRR Conglomerado'!B693</f>
        <v>SAHORIMA SERVICIOS PROFESIONALES</v>
      </c>
      <c r="C73" s="18" t="n">
        <f aca="false">'MRR Conglomerado'!AH693</f>
        <v>504.04065</v>
      </c>
      <c r="D73" s="19" t="n">
        <f aca="false">C73/$K$1</f>
        <v>26.69</v>
      </c>
      <c r="E73" s="17" t="str">
        <f aca="false">IF(D73&lt;100,"Menos de 100 USD",IF(D73&lt;500,"100 a 500 USD",IF(D73&lt;2000,"500 a 2.000 USD","Más de 2.000 USD")))</f>
        <v>Menos de 100 USD</v>
      </c>
      <c r="F73" s="17" t="str">
        <f aca="false">LOOKUP(2,1/('MRR Conglomerado'!E693:AT693&gt;0),'MRR Conglomerado'!$E$1:$AT$1)</f>
        <v>2025-07</v>
      </c>
      <c r="G73" s="17" t="n">
        <f aca="false">COUNTIF('MRR Conglomerado'!E693:AT693,"&gt;0")</f>
        <v>12</v>
      </c>
      <c r="H73" s="18" t="n">
        <f aca="false">'MRR Conglomerado'!AT693</f>
        <v>0</v>
      </c>
    </row>
    <row r="74" customFormat="false" ht="15" hidden="false" customHeight="false" outlineLevel="0" collapsed="false">
      <c r="A74" s="17" t="str">
        <f aca="false">'MRR Conglomerado'!A215</f>
        <v>DSE221109CB</v>
      </c>
      <c r="B74" s="17" t="str">
        <f aca="false">'MRR Conglomerado'!B215</f>
        <v>DOORVEL SERVICES</v>
      </c>
      <c r="C74" s="18" t="n">
        <f aca="false">'MRR Conglomerado'!AH215</f>
        <v>487.6107</v>
      </c>
      <c r="D74" s="19" t="n">
        <f aca="false">C74/$K$1</f>
        <v>25.82</v>
      </c>
      <c r="E74" s="17" t="str">
        <f aca="false">IF(D74&lt;100,"Menos de 100 USD",IF(D74&lt;500,"100 a 500 USD",IF(D74&lt;2000,"500 a 2.000 USD","Más de 2.000 USD")))</f>
        <v>Menos de 100 USD</v>
      </c>
      <c r="F74" s="17" t="str">
        <f aca="false">LOOKUP(2,1/('MRR Conglomerado'!E215:AT215&gt;0),'MRR Conglomerado'!$E$1:$AT$1)</f>
        <v>2026-01</v>
      </c>
      <c r="G74" s="17" t="n">
        <f aca="false">COUNTIF('MRR Conglomerado'!E215:AT215,"&gt;0")</f>
        <v>23</v>
      </c>
      <c r="H74" s="18" t="n">
        <f aca="false">'MRR Conglomerado'!AT215</f>
        <v>0</v>
      </c>
    </row>
    <row r="75" customFormat="false" ht="15" hidden="false" customHeight="false" outlineLevel="0" collapsed="false">
      <c r="A75" s="17" t="str">
        <f aca="false">'MRR Conglomerado'!A650</f>
        <v>SDI211118U4</v>
      </c>
      <c r="B75" s="17" t="str">
        <f aca="false">'MRR Conglomerado'!B650</f>
        <v>SPORTS DATA INTELLIGENCE</v>
      </c>
      <c r="C75" s="18" t="n">
        <f aca="false">'MRR Conglomerado'!AH650</f>
        <v>461.9271</v>
      </c>
      <c r="D75" s="19" t="n">
        <f aca="false">C75/$K$1</f>
        <v>24.46</v>
      </c>
      <c r="E75" s="17" t="str">
        <f aca="false">IF(D75&lt;100,"Menos de 100 USD",IF(D75&lt;500,"100 a 500 USD",IF(D75&lt;2000,"500 a 2.000 USD","Más de 2.000 USD")))</f>
        <v>Menos de 100 USD</v>
      </c>
      <c r="F75" s="17" t="str">
        <f aca="false">LOOKUP(2,1/('MRR Conglomerado'!E650:AT650&gt;0),'MRR Conglomerado'!$E$1:$AT$1)</f>
        <v>2025-09</v>
      </c>
      <c r="G75" s="17" t="n">
        <f aca="false">COUNTIF('MRR Conglomerado'!E650:AT650,"&gt;0")</f>
        <v>15</v>
      </c>
      <c r="H75" s="18" t="n">
        <f aca="false">'MRR Conglomerado'!AT650</f>
        <v>0</v>
      </c>
    </row>
    <row r="76" customFormat="false" ht="15" hidden="false" customHeight="false" outlineLevel="0" collapsed="false">
      <c r="A76" s="17" t="str">
        <f aca="false">'MRR Conglomerado'!A369</f>
        <v>HEB230509UV</v>
      </c>
      <c r="B76" s="17" t="str">
        <f aca="false">'MRR Conglomerado'!B369</f>
        <v>HOC EST BONUM</v>
      </c>
      <c r="C76" s="18" t="n">
        <f aca="false">'MRR Conglomerado'!AH369</f>
        <v>437.56545</v>
      </c>
      <c r="D76" s="19" t="n">
        <f aca="false">C76/$K$1</f>
        <v>23.17</v>
      </c>
      <c r="E76" s="17" t="str">
        <f aca="false">IF(D76&lt;100,"Menos de 100 USD",IF(D76&lt;500,"100 a 500 USD",IF(D76&lt;2000,"500 a 2.000 USD","Más de 2.000 USD")))</f>
        <v>Menos de 100 USD</v>
      </c>
      <c r="F76" s="17" t="str">
        <f aca="false">LOOKUP(2,1/('MRR Conglomerado'!E369:AT369&gt;0),'MRR Conglomerado'!$E$1:$AT$1)</f>
        <v>2026-04</v>
      </c>
      <c r="G76" s="17" t="n">
        <f aca="false">COUNTIF('MRR Conglomerado'!E369:AT369,"&gt;0")</f>
        <v>12</v>
      </c>
      <c r="H76" s="18" t="n">
        <f aca="false">'MRR Conglomerado'!AT369</f>
        <v>0</v>
      </c>
    </row>
    <row r="77" customFormat="false" ht="15" hidden="false" customHeight="false" outlineLevel="0" collapsed="false">
      <c r="A77" s="17" t="str">
        <f aca="false">'MRR Conglomerado'!A469</f>
        <v>MER140402BP</v>
      </c>
      <c r="B77" s="17" t="str">
        <f aca="false">'MRR Conglomerado'!B469</f>
        <v>MERCAFLASH</v>
      </c>
      <c r="C77" s="18" t="n">
        <f aca="false">'MRR Conglomerado'!AH469</f>
        <v>420.0024</v>
      </c>
      <c r="D77" s="19" t="n">
        <f aca="false">C77/$K$1</f>
        <v>22.24</v>
      </c>
      <c r="E77" s="17" t="str">
        <f aca="false">IF(D77&lt;100,"Menos de 100 USD",IF(D77&lt;500,"100 a 500 USD",IF(D77&lt;2000,"500 a 2.000 USD","Más de 2.000 USD")))</f>
        <v>Menos de 100 USD</v>
      </c>
      <c r="F77" s="17" t="str">
        <f aca="false">LOOKUP(2,1/('MRR Conglomerado'!E469:AT469&gt;0),'MRR Conglomerado'!$E$1:$AT$1)</f>
        <v>2025-07</v>
      </c>
      <c r="G77" s="17" t="n">
        <f aca="false">COUNTIF('MRR Conglomerado'!E469:AT469,"&gt;0")</f>
        <v>2</v>
      </c>
      <c r="H77" s="18" t="n">
        <f aca="false">'MRR Conglomerado'!AT469</f>
        <v>0</v>
      </c>
    </row>
    <row r="78" customFormat="false" ht="15" hidden="false" customHeight="false" outlineLevel="0" collapsed="false">
      <c r="A78" s="17" t="str">
        <f aca="false">'MRR Conglomerado'!A93</f>
        <v>CAGC780928U</v>
      </c>
      <c r="B78" s="17" t="str">
        <f aca="false">'MRR Conglomerado'!B93</f>
        <v>CECILIA CABRERA GARCIA</v>
      </c>
      <c r="C78" s="18" t="n">
        <f aca="false">'MRR Conglomerado'!AH93</f>
        <v>375.0561</v>
      </c>
      <c r="D78" s="19" t="n">
        <f aca="false">C78/$K$1</f>
        <v>19.86</v>
      </c>
      <c r="E78" s="17" t="str">
        <f aca="false">IF(D78&lt;100,"Menos de 100 USD",IF(D78&lt;500,"100 a 500 USD",IF(D78&lt;2000,"500 a 2.000 USD","Más de 2.000 USD")))</f>
        <v>Menos de 100 USD</v>
      </c>
      <c r="F78" s="17" t="str">
        <f aca="false">LOOKUP(2,1/('MRR Conglomerado'!E93:AT93&gt;0),'MRR Conglomerado'!$E$1:$AT$1)</f>
        <v>2025-06</v>
      </c>
      <c r="G78" s="17" t="n">
        <f aca="false">COUNTIF('MRR Conglomerado'!E93:AT93,"&gt;0")</f>
        <v>17</v>
      </c>
      <c r="H78" s="18" t="n">
        <f aca="false">'MRR Conglomerado'!AT93</f>
        <v>0</v>
      </c>
    </row>
    <row r="79" customFormat="false" ht="15" hidden="false" customHeight="false" outlineLevel="0" collapsed="false">
      <c r="A79" s="17" t="str">
        <f aca="false">'MRR Conglomerado'!A114</f>
        <v>CCO220121FM</v>
      </c>
      <c r="B79" s="17" t="str">
        <f aca="false">'MRR Conglomerado'!B114</f>
        <v>CARBONO COMSOLTA</v>
      </c>
      <c r="C79" s="18" t="n">
        <f aca="false">'MRR Conglomerado'!AH114</f>
        <v>350.1279</v>
      </c>
      <c r="D79" s="19" t="n">
        <f aca="false">C79/$K$1</f>
        <v>18.54</v>
      </c>
      <c r="E79" s="17" t="str">
        <f aca="false">IF(D79&lt;100,"Menos de 100 USD",IF(D79&lt;500,"100 a 500 USD",IF(D79&lt;2000,"500 a 2.000 USD","Más de 2.000 USD")))</f>
        <v>Menos de 100 USD</v>
      </c>
      <c r="F79" s="17" t="str">
        <f aca="false">LOOKUP(2,1/('MRR Conglomerado'!E114:AT114&gt;0),'MRR Conglomerado'!$E$1:$AT$1)</f>
        <v>2026-02</v>
      </c>
      <c r="G79" s="17" t="n">
        <f aca="false">COUNTIF('MRR Conglomerado'!E114:AT114,"&gt;0")</f>
        <v>34</v>
      </c>
      <c r="H79" s="18" t="n">
        <f aca="false">'MRR Conglomerado'!AT114</f>
        <v>0</v>
      </c>
    </row>
    <row r="80" customFormat="false" ht="15" hidden="false" customHeight="false" outlineLevel="0" collapsed="false">
      <c r="A80" s="17" t="str">
        <f aca="false">'MRR Conglomerado'!A569</f>
        <v>PLE190709UN</v>
      </c>
      <c r="B80" s="17" t="str">
        <f aca="false">'MRR Conglomerado'!B569</f>
        <v>PLEGMA</v>
      </c>
      <c r="C80" s="18" t="n">
        <f aca="false">'MRR Conglomerado'!AH569</f>
        <v>338.60805</v>
      </c>
      <c r="D80" s="19" t="n">
        <f aca="false">C80/$K$1</f>
        <v>17.93</v>
      </c>
      <c r="E80" s="17" t="str">
        <f aca="false">IF(D80&lt;100,"Menos de 100 USD",IF(D80&lt;500,"100 a 500 USD",IF(D80&lt;2000,"500 a 2.000 USD","Más de 2.000 USD")))</f>
        <v>Menos de 100 USD</v>
      </c>
      <c r="F80" s="17" t="str">
        <f aca="false">LOOKUP(2,1/('MRR Conglomerado'!E569:AT569&gt;0),'MRR Conglomerado'!$E$1:$AT$1)</f>
        <v>2025-12</v>
      </c>
      <c r="G80" s="17" t="n">
        <f aca="false">COUNTIF('MRR Conglomerado'!E569:AT569,"&gt;0")</f>
        <v>25</v>
      </c>
      <c r="H80" s="18" t="n">
        <f aca="false">'MRR Conglomerado'!AT569</f>
        <v>0</v>
      </c>
    </row>
    <row r="81" customFormat="false" ht="15" hidden="false" customHeight="false" outlineLevel="0" collapsed="false">
      <c r="A81" s="17" t="str">
        <f aca="false">'MRR Conglomerado'!A665</f>
        <v>SID1312207I</v>
      </c>
      <c r="B81" s="17" t="str">
        <f aca="false">'MRR Conglomerado'!B665</f>
        <v>SERVICIOS INTEGRALES DIACONMA</v>
      </c>
      <c r="C81" s="18" t="n">
        <f aca="false">'MRR Conglomerado'!AH665</f>
        <v>306.3147</v>
      </c>
      <c r="D81" s="19" t="n">
        <f aca="false">C81/$K$1</f>
        <v>16.22</v>
      </c>
      <c r="E81" s="17" t="str">
        <f aca="false">IF(D81&lt;100,"Menos de 100 USD",IF(D81&lt;500,"100 a 500 USD",IF(D81&lt;2000,"500 a 2.000 USD","Más de 2.000 USD")))</f>
        <v>Menos de 100 USD</v>
      </c>
      <c r="F81" s="17" t="str">
        <f aca="false">LOOKUP(2,1/('MRR Conglomerado'!E665:AT665&gt;0),'MRR Conglomerado'!$E$1:$AT$1)</f>
        <v>2025-11</v>
      </c>
      <c r="G81" s="17" t="n">
        <f aca="false">COUNTIF('MRR Conglomerado'!E665:AT665,"&gt;0")</f>
        <v>30</v>
      </c>
      <c r="H81" s="18" t="n">
        <f aca="false">'MRR Conglomerado'!AT665</f>
        <v>0</v>
      </c>
    </row>
    <row r="82" customFormat="false" ht="15" hidden="false" customHeight="false" outlineLevel="0" collapsed="false">
      <c r="A82" s="17" t="str">
        <f aca="false">'MRR Conglomerado'!A479</f>
        <v>MJO2007177J</v>
      </c>
      <c r="B82" s="17" t="str">
        <f aca="false">'MRR Conglomerado'!B479</f>
        <v>MERCADERIAS JON</v>
      </c>
      <c r="C82" s="18" t="n">
        <f aca="false">'MRR Conglomerado'!AH479</f>
        <v>300.08265</v>
      </c>
      <c r="D82" s="19" t="n">
        <f aca="false">C82/$K$1</f>
        <v>15.89</v>
      </c>
      <c r="E82" s="17" t="str">
        <f aca="false">IF(D82&lt;100,"Menos de 100 USD",IF(D82&lt;500,"100 a 500 USD",IF(D82&lt;2000,"500 a 2.000 USD","Más de 2.000 USD")))</f>
        <v>Menos de 100 USD</v>
      </c>
      <c r="F82" s="17" t="str">
        <f aca="false">LOOKUP(2,1/('MRR Conglomerado'!E479:AT479&gt;0),'MRR Conglomerado'!$E$1:$AT$1)</f>
        <v>2026-04</v>
      </c>
      <c r="G82" s="17" t="n">
        <f aca="false">COUNTIF('MRR Conglomerado'!E479:AT479,"&gt;0")</f>
        <v>14</v>
      </c>
      <c r="H82" s="18" t="n">
        <f aca="false">'MRR Conglomerado'!AT479</f>
        <v>0</v>
      </c>
    </row>
    <row r="83" customFormat="false" ht="15" hidden="false" customHeight="false" outlineLevel="0" collapsed="false">
      <c r="A83" s="17" t="str">
        <f aca="false">'MRR Conglomerado'!A330</f>
        <v>GFA151022KI</v>
      </c>
      <c r="B83" s="17" t="str">
        <f aca="false">'MRR Conglomerado'!B330</f>
        <v>GO FARMACIAS</v>
      </c>
      <c r="C83" s="18" t="n">
        <f aca="false">'MRR Conglomerado'!AH330</f>
        <v>260.613</v>
      </c>
      <c r="D83" s="19" t="n">
        <f aca="false">C83/$K$1</f>
        <v>13.8</v>
      </c>
      <c r="E83" s="17" t="str">
        <f aca="false">IF(D83&lt;100,"Menos de 100 USD",IF(D83&lt;500,"100 a 500 USD",IF(D83&lt;2000,"500 a 2.000 USD","Más de 2.000 USD")))</f>
        <v>Menos de 100 USD</v>
      </c>
      <c r="F83" s="17" t="str">
        <f aca="false">LOOKUP(2,1/('MRR Conglomerado'!E330:AT330&gt;0),'MRR Conglomerado'!$E$1:$AT$1)</f>
        <v>2025-06</v>
      </c>
      <c r="G83" s="17" t="n">
        <f aca="false">COUNTIF('MRR Conglomerado'!E330:AT330,"&gt;0")</f>
        <v>16</v>
      </c>
      <c r="H83" s="18" t="n">
        <f aca="false">'MRR Conglomerado'!AT330</f>
        <v>0</v>
      </c>
    </row>
    <row r="84" customFormat="false" ht="15" hidden="false" customHeight="false" outlineLevel="0" collapsed="false">
      <c r="A84" s="17" t="str">
        <f aca="false">'MRR Conglomerado'!A455</f>
        <v>MAC090304HT</v>
      </c>
      <c r="B84" s="17" t="str">
        <f aca="false">'MRR Conglomerado'!B455</f>
        <v>MANTENIMIENTO AUTOMOTRIZ DE CABO</v>
      </c>
      <c r="C84" s="18" t="n">
        <f aca="false">'MRR Conglomerado'!AH455</f>
        <v>220.01025</v>
      </c>
      <c r="D84" s="19" t="n">
        <f aca="false">C84/$K$1</f>
        <v>11.65</v>
      </c>
      <c r="E84" s="17" t="str">
        <f aca="false">IF(D84&lt;100,"Menos de 100 USD",IF(D84&lt;500,"100 a 500 USD",IF(D84&lt;2000,"500 a 2.000 USD","Más de 2.000 USD")))</f>
        <v>Menos de 100 USD</v>
      </c>
      <c r="F84" s="17" t="str">
        <f aca="false">LOOKUP(2,1/('MRR Conglomerado'!E455:AT455&gt;0),'MRR Conglomerado'!$E$1:$AT$1)</f>
        <v>2026-04</v>
      </c>
      <c r="G84" s="17" t="n">
        <f aca="false">COUNTIF('MRR Conglomerado'!E455:AT455,"&gt;0")</f>
        <v>27</v>
      </c>
      <c r="H84" s="18" t="n">
        <f aca="false">'MRR Conglomerado'!AT455</f>
        <v>0</v>
      </c>
    </row>
    <row r="85" customFormat="false" ht="15" hidden="false" customHeight="false" outlineLevel="0" collapsed="false">
      <c r="A85" s="17" t="str">
        <f aca="false">'MRR Conglomerado'!A766</f>
        <v>VRE020626SQ</v>
      </c>
      <c r="B85" s="17" t="str">
        <f aca="false">'MRR Conglomerado'!B766</f>
        <v>VINICOLA REGIONAL DE ENSENADA</v>
      </c>
      <c r="C85" s="18" t="n">
        <f aca="false">'MRR Conglomerado'!AH766</f>
        <v>158.44515</v>
      </c>
      <c r="D85" s="19" t="n">
        <f aca="false">C85/$K$1</f>
        <v>8.39</v>
      </c>
      <c r="E85" s="17" t="str">
        <f aca="false">IF(D85&lt;100,"Menos de 100 USD",IF(D85&lt;500,"100 a 500 USD",IF(D85&lt;2000,"500 a 2.000 USD","Más de 2.000 USD")))</f>
        <v>Menos de 100 USD</v>
      </c>
      <c r="F85" s="17" t="str">
        <f aca="false">LOOKUP(2,1/('MRR Conglomerado'!E766:AT766&gt;0),'MRR Conglomerado'!$E$1:$AT$1)</f>
        <v>2025-06</v>
      </c>
      <c r="G85" s="17" t="n">
        <f aca="false">COUNTIF('MRR Conglomerado'!E766:AT766,"&gt;0")</f>
        <v>5</v>
      </c>
      <c r="H85" s="18" t="n">
        <f aca="false">'MRR Conglomerado'!AT766</f>
        <v>0</v>
      </c>
    </row>
    <row r="86" customFormat="false" ht="15" hidden="false" customHeight="false" outlineLevel="0" collapsed="false">
      <c r="A86" s="17" t="str">
        <f aca="false">'MRR Conglomerado'!A768</f>
        <v>VVG040114UT</v>
      </c>
      <c r="B86" s="17" t="str">
        <f aca="false">'MRR Conglomerado'!B768</f>
        <v>VIÑAS DEL VALLE DE GUADALUPE</v>
      </c>
      <c r="C86" s="18" t="n">
        <f aca="false">'MRR Conglomerado'!AH768</f>
        <v>118.78665</v>
      </c>
      <c r="D86" s="19" t="n">
        <f aca="false">C86/$K$1</f>
        <v>6.29</v>
      </c>
      <c r="E86" s="17" t="str">
        <f aca="false">IF(D86&lt;100,"Menos de 100 USD",IF(D86&lt;500,"100 a 500 USD",IF(D86&lt;2000,"500 a 2.000 USD","Más de 2.000 USD")))</f>
        <v>Menos de 100 USD</v>
      </c>
      <c r="F86" s="17" t="str">
        <f aca="false">LOOKUP(2,1/('MRR Conglomerado'!E768:AT768&gt;0),'MRR Conglomerado'!$E$1:$AT$1)</f>
        <v>2026-01</v>
      </c>
      <c r="G86" s="17" t="n">
        <f aca="false">COUNTIF('MRR Conglomerado'!E768:AT768,"&gt;0")</f>
        <v>11</v>
      </c>
      <c r="H86" s="18" t="n">
        <f aca="false">'MRR Conglomerado'!AT768</f>
        <v>0</v>
      </c>
    </row>
    <row r="87" customFormat="false" ht="15" hidden="false" customHeight="false" outlineLevel="0" collapsed="false">
      <c r="A87" s="17" t="str">
        <f aca="false">'MRR Conglomerado'!A156</f>
        <v>CMN210903IE</v>
      </c>
      <c r="B87" s="17" t="str">
        <f aca="false">'MRR Conglomerado'!B156</f>
        <v>COMERCIALIZADORA DE MATERIALES NEFS</v>
      </c>
      <c r="C87" s="18" t="n">
        <f aca="false">'MRR Conglomerado'!AH156</f>
        <v>63.0759</v>
      </c>
      <c r="D87" s="19" t="n">
        <f aca="false">C87/$K$1</f>
        <v>3.34</v>
      </c>
      <c r="E87" s="17" t="str">
        <f aca="false">IF(D87&lt;100,"Menos de 100 USD",IF(D87&lt;500,"100 a 500 USD",IF(D87&lt;2000,"500 a 2.000 USD","Más de 2.000 USD")))</f>
        <v>Menos de 100 USD</v>
      </c>
      <c r="F87" s="17" t="str">
        <f aca="false">LOOKUP(2,1/('MRR Conglomerado'!E156:AT156&gt;0),'MRR Conglomerado'!$E$1:$AT$1)</f>
        <v>2025-07</v>
      </c>
      <c r="G87" s="17" t="n">
        <f aca="false">COUNTIF('MRR Conglomerado'!E156:AT156,"&gt;0")</f>
        <v>12</v>
      </c>
      <c r="H87" s="18" t="n">
        <f aca="false">'MRR Conglomerado'!AT156</f>
        <v>0</v>
      </c>
    </row>
    <row r="88" customFormat="false" ht="15" hidden="false" customHeight="false" outlineLevel="0" collapsed="false">
      <c r="A88" s="20" t="s">
        <v>2417</v>
      </c>
      <c r="B88" s="20" t="str">
        <f aca="false">COUNTA(A2:A87)&amp;" conglomerados"</f>
        <v>86 conglomerados</v>
      </c>
      <c r="C88" s="21" t="n">
        <f aca="false">SUM(C2:C87)</f>
        <v>323984.6391</v>
      </c>
      <c r="D88" s="21" t="n">
        <f aca="false">SUM(D2:D87)</f>
        <v>17155.66</v>
      </c>
      <c r="E88" s="22"/>
      <c r="F88" s="22"/>
      <c r="G88" s="22"/>
      <c r="H88" s="22"/>
    </row>
    <row r="90" customFormat="false" ht="15" hidden="false" customHeight="false" outlineLevel="0" collapsed="false">
      <c r="A90" s="23" t="s">
        <v>2418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5"/>
  </cols>
  <sheetData>
    <row r="1" customFormat="false" ht="15" hidden="false" customHeight="true" outlineLevel="0" collapsed="false">
      <c r="A1" s="24" t="s">
        <v>2419</v>
      </c>
    </row>
    <row r="2" customFormat="false" ht="15" hidden="false" customHeight="true" outlineLevel="0" collapsed="false">
      <c r="A2" s="25"/>
    </row>
    <row r="3" customFormat="false" ht="15" hidden="false" customHeight="true" outlineLevel="0" collapsed="false">
      <c r="A3" s="25" t="s">
        <v>2420</v>
      </c>
    </row>
    <row r="4" customFormat="false" ht="15" hidden="false" customHeight="true" outlineLevel="0" collapsed="false">
      <c r="A4" s="25" t="s">
        <v>2421</v>
      </c>
    </row>
    <row r="5" customFormat="false" ht="15" hidden="false" customHeight="true" outlineLevel="0" collapsed="false">
      <c r="A5" s="25" t="s">
        <v>2422</v>
      </c>
    </row>
    <row r="6" customFormat="false" ht="15" hidden="false" customHeight="true" outlineLevel="0" collapsed="false">
      <c r="A6" s="25" t="s">
        <v>2423</v>
      </c>
    </row>
    <row r="7" customFormat="false" ht="15" hidden="false" customHeight="true" outlineLevel="0" collapsed="false">
      <c r="A7" s="25" t="s">
        <v>2424</v>
      </c>
    </row>
    <row r="8" customFormat="false" ht="15" hidden="false" customHeight="true" outlineLevel="0" collapsed="false">
      <c r="A8" s="25"/>
    </row>
    <row r="9" customFormat="false" ht="15" hidden="false" customHeight="true" outlineLevel="0" collapsed="false">
      <c r="A9" s="25" t="s">
        <v>2425</v>
      </c>
    </row>
    <row r="10" customFormat="false" ht="15" hidden="false" customHeight="true" outlineLevel="0" collapsed="false">
      <c r="A10" s="25" t="s">
        <v>2426</v>
      </c>
    </row>
    <row r="11" customFormat="false" ht="15" hidden="false" customHeight="true" outlineLevel="0" collapsed="false">
      <c r="A11" s="25" t="s">
        <v>2427</v>
      </c>
    </row>
    <row r="12" customFormat="false" ht="15" hidden="false" customHeight="true" outlineLevel="0" collapsed="false">
      <c r="A12" s="25" t="s">
        <v>2428</v>
      </c>
    </row>
    <row r="13" customFormat="false" ht="15" hidden="false" customHeight="true" outlineLevel="0" collapsed="false">
      <c r="A13" s="25"/>
    </row>
    <row r="14" customFormat="false" ht="15" hidden="false" customHeight="true" outlineLevel="0" collapsed="false">
      <c r="A14" s="25" t="s">
        <v>2429</v>
      </c>
    </row>
    <row r="16" customFormat="false" ht="15" hidden="false" customHeight="false" outlineLevel="0" collapsed="false">
      <c r="A16" s="26" t="s">
        <v>2430</v>
      </c>
    </row>
    <row r="17" customFormat="false" ht="15" hidden="false" customHeight="false" outlineLevel="0" collapsed="false">
      <c r="A17" s="26" t="s">
        <v>2431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2026-08-03T19:00:27Z</dcterms:created>
  <dc:creator>openpyxl</dc:creator>
  <dc:description/>
  <dc:language>en-US</dc:language>
  <cp:lastModifiedBy/>
  <dcterms:modified xsi:type="dcterms:W3CDTF">2026-08-03T20:04:02Z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